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on.silva\Desktop\"/>
    </mc:Choice>
  </mc:AlternateContent>
  <xr:revisionPtr revIDLastSave="0" documentId="13_ncr:1_{A2CDF44C-1B0A-4371-9C65-7102B242CE32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strucoes" sheetId="1" r:id="rId1"/>
    <sheet name="Parametros" sheetId="2" r:id="rId2"/>
    <sheet name="Cadastro_Navio" sheetId="3" r:id="rId3"/>
    <sheet name="Base_Porao_Turno" sheetId="4" r:id="rId4"/>
    <sheet name="Paradas_Detalhadas" sheetId="5" r:id="rId5"/>
    <sheet name="Poroes_Resumo" sheetId="6" r:id="rId6"/>
    <sheet name="KPI_Resumo" sheetId="7" r:id="rId7"/>
    <sheet name="Metodologia_KPIs" sheetId="8" r:id="rId8"/>
    <sheet name="Dashboard" sheetId="9" r:id="rId9"/>
    <sheet name="Auditoria_Correcoes" sheetId="10" r:id="rId10"/>
  </sheets>
  <definedNames>
    <definedName name="Bercos">Parametros!$B$2:$B$6</definedName>
    <definedName name="Categorias_Parada">Parametros!$E$2:$E$10</definedName>
    <definedName name="Janelas">Parametros!$D$2:$D$5</definedName>
    <definedName name="Poroes">Parametros!$G$2:$G$13</definedName>
    <definedName name="Terminais">Parametros!$A$2:$A$5</definedName>
    <definedName name="Tipos_Operacao">Parametros!$F$2:$F$4</definedName>
    <definedName name="Turnos">Parametros!$C$2:$C$5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B5" i="7"/>
  <c r="B4" i="7"/>
  <c r="B3" i="9"/>
  <c r="B23" i="9" s="1"/>
  <c r="B12" i="7"/>
  <c r="B9" i="7"/>
  <c r="B8" i="7"/>
  <c r="G601" i="6"/>
  <c r="D601" i="6"/>
  <c r="G600" i="6"/>
  <c r="D600" i="6"/>
  <c r="G599" i="6"/>
  <c r="D599" i="6"/>
  <c r="E599" i="6" s="1"/>
  <c r="G598" i="6"/>
  <c r="D598" i="6"/>
  <c r="G597" i="6"/>
  <c r="D597" i="6"/>
  <c r="F597" i="6" s="1"/>
  <c r="G596" i="6"/>
  <c r="D596" i="6"/>
  <c r="G595" i="6"/>
  <c r="D595" i="6"/>
  <c r="G594" i="6"/>
  <c r="D594" i="6"/>
  <c r="G593" i="6"/>
  <c r="D593" i="6"/>
  <c r="E593" i="6" s="1"/>
  <c r="G592" i="6"/>
  <c r="D592" i="6"/>
  <c r="G591" i="6"/>
  <c r="D591" i="6"/>
  <c r="G590" i="6"/>
  <c r="D590" i="6"/>
  <c r="F590" i="6" s="1"/>
  <c r="G589" i="6"/>
  <c r="D589" i="6"/>
  <c r="F589" i="6" s="1"/>
  <c r="G588" i="6"/>
  <c r="D588" i="6"/>
  <c r="F588" i="6" s="1"/>
  <c r="G587" i="6"/>
  <c r="D587" i="6"/>
  <c r="E587" i="6" s="1"/>
  <c r="G586" i="6"/>
  <c r="D586" i="6"/>
  <c r="G585" i="6"/>
  <c r="D585" i="6"/>
  <c r="F585" i="6" s="1"/>
  <c r="G584" i="6"/>
  <c r="D584" i="6"/>
  <c r="G583" i="6"/>
  <c r="D583" i="6"/>
  <c r="E583" i="6" s="1"/>
  <c r="G582" i="6"/>
  <c r="D582" i="6"/>
  <c r="G581" i="6"/>
  <c r="D581" i="6"/>
  <c r="G580" i="6"/>
  <c r="D580" i="6"/>
  <c r="G579" i="6"/>
  <c r="D579" i="6"/>
  <c r="E579" i="6" s="1"/>
  <c r="G578" i="6"/>
  <c r="D578" i="6"/>
  <c r="G577" i="6"/>
  <c r="D577" i="6"/>
  <c r="E577" i="6" s="1"/>
  <c r="G576" i="6"/>
  <c r="D576" i="6"/>
  <c r="G575" i="6"/>
  <c r="D575" i="6"/>
  <c r="E575" i="6" s="1"/>
  <c r="G574" i="6"/>
  <c r="D574" i="6"/>
  <c r="G573" i="6"/>
  <c r="D573" i="6"/>
  <c r="F573" i="6" s="1"/>
  <c r="G572" i="6"/>
  <c r="D572" i="6"/>
  <c r="G571" i="6"/>
  <c r="D571" i="6"/>
  <c r="G570" i="6"/>
  <c r="D570" i="6"/>
  <c r="G569" i="6"/>
  <c r="D569" i="6"/>
  <c r="G568" i="6"/>
  <c r="D568" i="6"/>
  <c r="G567" i="6"/>
  <c r="D567" i="6"/>
  <c r="E567" i="6" s="1"/>
  <c r="G566" i="6"/>
  <c r="D566" i="6"/>
  <c r="F566" i="6" s="1"/>
  <c r="G565" i="6"/>
  <c r="D565" i="6"/>
  <c r="F565" i="6" s="1"/>
  <c r="G564" i="6"/>
  <c r="D564" i="6"/>
  <c r="E564" i="6" s="1"/>
  <c r="G563" i="6"/>
  <c r="D563" i="6"/>
  <c r="G562" i="6"/>
  <c r="D562" i="6"/>
  <c r="G561" i="6"/>
  <c r="D561" i="6"/>
  <c r="F561" i="6" s="1"/>
  <c r="G560" i="6"/>
  <c r="D560" i="6"/>
  <c r="E560" i="6" s="1"/>
  <c r="G559" i="6"/>
  <c r="D559" i="6"/>
  <c r="G558" i="6"/>
  <c r="D558" i="6"/>
  <c r="G557" i="6"/>
  <c r="D557" i="6"/>
  <c r="G556" i="6"/>
  <c r="D556" i="6"/>
  <c r="F556" i="6" s="1"/>
  <c r="G555" i="6"/>
  <c r="D555" i="6"/>
  <c r="E555" i="6" s="1"/>
  <c r="G554" i="6"/>
  <c r="D554" i="6"/>
  <c r="G553" i="6"/>
  <c r="D553" i="6"/>
  <c r="F553" i="6" s="1"/>
  <c r="G552" i="6"/>
  <c r="D552" i="6"/>
  <c r="G551" i="6"/>
  <c r="D551" i="6"/>
  <c r="G550" i="6"/>
  <c r="D550" i="6"/>
  <c r="G549" i="6"/>
  <c r="D549" i="6"/>
  <c r="G548" i="6"/>
  <c r="D548" i="6"/>
  <c r="E548" i="6" s="1"/>
  <c r="G547" i="6"/>
  <c r="D547" i="6"/>
  <c r="G546" i="6"/>
  <c r="D546" i="6"/>
  <c r="G545" i="6"/>
  <c r="D545" i="6"/>
  <c r="G544" i="6"/>
  <c r="D544" i="6"/>
  <c r="G543" i="6"/>
  <c r="D543" i="6"/>
  <c r="E543" i="6" s="1"/>
  <c r="G542" i="6"/>
  <c r="D542" i="6"/>
  <c r="G541" i="6"/>
  <c r="D541" i="6"/>
  <c r="G540" i="6"/>
  <c r="D540" i="6"/>
  <c r="G539" i="6"/>
  <c r="D539" i="6"/>
  <c r="F539" i="6" s="1"/>
  <c r="G538" i="6"/>
  <c r="D538" i="6"/>
  <c r="G537" i="6"/>
  <c r="D537" i="6"/>
  <c r="G536" i="6"/>
  <c r="D536" i="6"/>
  <c r="G535" i="6"/>
  <c r="D535" i="6"/>
  <c r="E535" i="6" s="1"/>
  <c r="G534" i="6"/>
  <c r="D534" i="6"/>
  <c r="F534" i="6" s="1"/>
  <c r="G533" i="6"/>
  <c r="D533" i="6"/>
  <c r="G532" i="6"/>
  <c r="D532" i="6"/>
  <c r="G531" i="6"/>
  <c r="D531" i="6"/>
  <c r="E531" i="6" s="1"/>
  <c r="G530" i="6"/>
  <c r="D530" i="6"/>
  <c r="G529" i="6"/>
  <c r="D529" i="6"/>
  <c r="G528" i="6"/>
  <c r="D528" i="6"/>
  <c r="G527" i="6"/>
  <c r="D527" i="6"/>
  <c r="G526" i="6"/>
  <c r="D526" i="6"/>
  <c r="F526" i="6" s="1"/>
  <c r="G525" i="6"/>
  <c r="D525" i="6"/>
  <c r="G524" i="6"/>
  <c r="D524" i="6"/>
  <c r="F524" i="6" s="1"/>
  <c r="G523" i="6"/>
  <c r="D523" i="6"/>
  <c r="E523" i="6" s="1"/>
  <c r="G522" i="6"/>
  <c r="D522" i="6"/>
  <c r="G521" i="6"/>
  <c r="D521" i="6"/>
  <c r="F521" i="6" s="1"/>
  <c r="G520" i="6"/>
  <c r="D520" i="6"/>
  <c r="G519" i="6"/>
  <c r="D519" i="6"/>
  <c r="E519" i="6" s="1"/>
  <c r="G518" i="6"/>
  <c r="D518" i="6"/>
  <c r="F518" i="6" s="1"/>
  <c r="G517" i="6"/>
  <c r="D517" i="6"/>
  <c r="G516" i="6"/>
  <c r="D516" i="6"/>
  <c r="F516" i="6" s="1"/>
  <c r="G515" i="6"/>
  <c r="D515" i="6"/>
  <c r="E515" i="6" s="1"/>
  <c r="G514" i="6"/>
  <c r="D514" i="6"/>
  <c r="G513" i="6"/>
  <c r="D513" i="6"/>
  <c r="G512" i="6"/>
  <c r="D512" i="6"/>
  <c r="G511" i="6"/>
  <c r="D511" i="6"/>
  <c r="E511" i="6" s="1"/>
  <c r="G510" i="6"/>
  <c r="D510" i="6"/>
  <c r="G509" i="6"/>
  <c r="D509" i="6"/>
  <c r="F509" i="6" s="1"/>
  <c r="G508" i="6"/>
  <c r="D508" i="6"/>
  <c r="G507" i="6"/>
  <c r="D507" i="6"/>
  <c r="F507" i="6" s="1"/>
  <c r="G506" i="6"/>
  <c r="D506" i="6"/>
  <c r="G505" i="6"/>
  <c r="D505" i="6"/>
  <c r="F505" i="6" s="1"/>
  <c r="G504" i="6"/>
  <c r="D504" i="6"/>
  <c r="E504" i="6" s="1"/>
  <c r="G503" i="6"/>
  <c r="D503" i="6"/>
  <c r="E503" i="6" s="1"/>
  <c r="G502" i="6"/>
  <c r="D502" i="6"/>
  <c r="G501" i="6"/>
  <c r="D501" i="6"/>
  <c r="E501" i="6" s="1"/>
  <c r="G500" i="6"/>
  <c r="D500" i="6"/>
  <c r="G499" i="6"/>
  <c r="D499" i="6"/>
  <c r="F499" i="6" s="1"/>
  <c r="G498" i="6"/>
  <c r="D498" i="6"/>
  <c r="G497" i="6"/>
  <c r="D497" i="6"/>
  <c r="F497" i="6" s="1"/>
  <c r="G496" i="6"/>
  <c r="D496" i="6"/>
  <c r="G495" i="6"/>
  <c r="D495" i="6"/>
  <c r="E495" i="6" s="1"/>
  <c r="G494" i="6"/>
  <c r="D494" i="6"/>
  <c r="E494" i="6" s="1"/>
  <c r="G493" i="6"/>
  <c r="D493" i="6"/>
  <c r="G492" i="6"/>
  <c r="D492" i="6"/>
  <c r="F492" i="6" s="1"/>
  <c r="G491" i="6"/>
  <c r="D491" i="6"/>
  <c r="E491" i="6" s="1"/>
  <c r="G490" i="6"/>
  <c r="D490" i="6"/>
  <c r="G489" i="6"/>
  <c r="D489" i="6"/>
  <c r="F489" i="6" s="1"/>
  <c r="G488" i="6"/>
  <c r="D488" i="6"/>
  <c r="G487" i="6"/>
  <c r="D487" i="6"/>
  <c r="F487" i="6" s="1"/>
  <c r="G486" i="6"/>
  <c r="D486" i="6"/>
  <c r="G485" i="6"/>
  <c r="D485" i="6"/>
  <c r="G484" i="6"/>
  <c r="D484" i="6"/>
  <c r="E484" i="6" s="1"/>
  <c r="G483" i="6"/>
  <c r="D483" i="6"/>
  <c r="G482" i="6"/>
  <c r="D482" i="6"/>
  <c r="G481" i="6"/>
  <c r="D481" i="6"/>
  <c r="E481" i="6" s="1"/>
  <c r="G480" i="6"/>
  <c r="D480" i="6"/>
  <c r="G479" i="6"/>
  <c r="D479" i="6"/>
  <c r="E479" i="6" s="1"/>
  <c r="G478" i="6"/>
  <c r="D478" i="6"/>
  <c r="G477" i="6"/>
  <c r="D477" i="6"/>
  <c r="G476" i="6"/>
  <c r="D476" i="6"/>
  <c r="F476" i="6" s="1"/>
  <c r="G475" i="6"/>
  <c r="D475" i="6"/>
  <c r="G474" i="6"/>
  <c r="D474" i="6"/>
  <c r="G473" i="6"/>
  <c r="D473" i="6"/>
  <c r="G472" i="6"/>
  <c r="D472" i="6"/>
  <c r="G471" i="6"/>
  <c r="D471" i="6"/>
  <c r="E471" i="6" s="1"/>
  <c r="G470" i="6"/>
  <c r="D470" i="6"/>
  <c r="G469" i="6"/>
  <c r="D469" i="6"/>
  <c r="G468" i="6"/>
  <c r="D468" i="6"/>
  <c r="G467" i="6"/>
  <c r="D467" i="6"/>
  <c r="G466" i="6"/>
  <c r="D466" i="6"/>
  <c r="G465" i="6"/>
  <c r="D465" i="6"/>
  <c r="G464" i="6"/>
  <c r="D464" i="6"/>
  <c r="E464" i="6" s="1"/>
  <c r="G463" i="6"/>
  <c r="D463" i="6"/>
  <c r="G462" i="6"/>
  <c r="D462" i="6"/>
  <c r="E462" i="6" s="1"/>
  <c r="G461" i="6"/>
  <c r="D461" i="6"/>
  <c r="G460" i="6"/>
  <c r="D460" i="6"/>
  <c r="F460" i="6" s="1"/>
  <c r="G459" i="6"/>
  <c r="D459" i="6"/>
  <c r="E459" i="6" s="1"/>
  <c r="G458" i="6"/>
  <c r="D458" i="6"/>
  <c r="G457" i="6"/>
  <c r="D457" i="6"/>
  <c r="F457" i="6" s="1"/>
  <c r="G456" i="6"/>
  <c r="D456" i="6"/>
  <c r="F456" i="6" s="1"/>
  <c r="G455" i="6"/>
  <c r="D455" i="6"/>
  <c r="G454" i="6"/>
  <c r="D454" i="6"/>
  <c r="G453" i="6"/>
  <c r="D453" i="6"/>
  <c r="G452" i="6"/>
  <c r="D452" i="6"/>
  <c r="G451" i="6"/>
  <c r="D451" i="6"/>
  <c r="G450" i="6"/>
  <c r="D450" i="6"/>
  <c r="G449" i="6"/>
  <c r="D449" i="6"/>
  <c r="E449" i="6" s="1"/>
  <c r="G448" i="6"/>
  <c r="D448" i="6"/>
  <c r="F448" i="6" s="1"/>
  <c r="G447" i="6"/>
  <c r="D447" i="6"/>
  <c r="E447" i="6" s="1"/>
  <c r="G446" i="6"/>
  <c r="D446" i="6"/>
  <c r="G445" i="6"/>
  <c r="D445" i="6"/>
  <c r="G444" i="6"/>
  <c r="D444" i="6"/>
  <c r="G443" i="6"/>
  <c r="D443" i="6"/>
  <c r="G442" i="6"/>
  <c r="D442" i="6"/>
  <c r="G441" i="6"/>
  <c r="D441" i="6"/>
  <c r="G440" i="6"/>
  <c r="D440" i="6"/>
  <c r="G439" i="6"/>
  <c r="D439" i="6"/>
  <c r="E439" i="6" s="1"/>
  <c r="G438" i="6"/>
  <c r="D438" i="6"/>
  <c r="F438" i="6" s="1"/>
  <c r="G437" i="6"/>
  <c r="D437" i="6"/>
  <c r="F437" i="6" s="1"/>
  <c r="G436" i="6"/>
  <c r="D436" i="6"/>
  <c r="F436" i="6" s="1"/>
  <c r="G435" i="6"/>
  <c r="D435" i="6"/>
  <c r="G434" i="6"/>
  <c r="D434" i="6"/>
  <c r="G433" i="6"/>
  <c r="D433" i="6"/>
  <c r="G432" i="6"/>
  <c r="D432" i="6"/>
  <c r="G431" i="6"/>
  <c r="D431" i="6"/>
  <c r="E431" i="6" s="1"/>
  <c r="G430" i="6"/>
  <c r="D430" i="6"/>
  <c r="E430" i="6" s="1"/>
  <c r="G429" i="6"/>
  <c r="D429" i="6"/>
  <c r="G428" i="6"/>
  <c r="D428" i="6"/>
  <c r="G427" i="6"/>
  <c r="D427" i="6"/>
  <c r="E427" i="6" s="1"/>
  <c r="G426" i="6"/>
  <c r="D426" i="6"/>
  <c r="G425" i="6"/>
  <c r="D425" i="6"/>
  <c r="F425" i="6" s="1"/>
  <c r="G424" i="6"/>
  <c r="D424" i="6"/>
  <c r="F424" i="6" s="1"/>
  <c r="G423" i="6"/>
  <c r="D423" i="6"/>
  <c r="G422" i="6"/>
  <c r="D422" i="6"/>
  <c r="F422" i="6" s="1"/>
  <c r="G421" i="6"/>
  <c r="D421" i="6"/>
  <c r="G420" i="6"/>
  <c r="D420" i="6"/>
  <c r="E420" i="6" s="1"/>
  <c r="G419" i="6"/>
  <c r="D419" i="6"/>
  <c r="G418" i="6"/>
  <c r="D418" i="6"/>
  <c r="F418" i="6" s="1"/>
  <c r="G417" i="6"/>
  <c r="D417" i="6"/>
  <c r="G416" i="6"/>
  <c r="D416" i="6"/>
  <c r="F416" i="6" s="1"/>
  <c r="G415" i="6"/>
  <c r="D415" i="6"/>
  <c r="E415" i="6" s="1"/>
  <c r="G414" i="6"/>
  <c r="D414" i="6"/>
  <c r="G413" i="6"/>
  <c r="D413" i="6"/>
  <c r="G412" i="6"/>
  <c r="D412" i="6"/>
  <c r="E412" i="6" s="1"/>
  <c r="G411" i="6"/>
  <c r="D411" i="6"/>
  <c r="G410" i="6"/>
  <c r="D410" i="6"/>
  <c r="F410" i="6" s="1"/>
  <c r="G409" i="6"/>
  <c r="D409" i="6"/>
  <c r="G408" i="6"/>
  <c r="D408" i="6"/>
  <c r="G407" i="6"/>
  <c r="D407" i="6"/>
  <c r="E407" i="6" s="1"/>
  <c r="G406" i="6"/>
  <c r="D406" i="6"/>
  <c r="F406" i="6" s="1"/>
  <c r="G405" i="6"/>
  <c r="D405" i="6"/>
  <c r="G404" i="6"/>
  <c r="D404" i="6"/>
  <c r="E404" i="6" s="1"/>
  <c r="G403" i="6"/>
  <c r="D403" i="6"/>
  <c r="F403" i="6" s="1"/>
  <c r="G402" i="6"/>
  <c r="D402" i="6"/>
  <c r="E402" i="6" s="1"/>
  <c r="G401" i="6"/>
  <c r="D401" i="6"/>
  <c r="G400" i="6"/>
  <c r="D400" i="6"/>
  <c r="G399" i="6"/>
  <c r="D399" i="6"/>
  <c r="E399" i="6" s="1"/>
  <c r="G398" i="6"/>
  <c r="D398" i="6"/>
  <c r="F398" i="6" s="1"/>
  <c r="G397" i="6"/>
  <c r="D397" i="6"/>
  <c r="G396" i="6"/>
  <c r="D396" i="6"/>
  <c r="E396" i="6" s="1"/>
  <c r="G395" i="6"/>
  <c r="D395" i="6"/>
  <c r="F395" i="6" s="1"/>
  <c r="G394" i="6"/>
  <c r="D394" i="6"/>
  <c r="F394" i="6" s="1"/>
  <c r="G393" i="6"/>
  <c r="D393" i="6"/>
  <c r="F393" i="6" s="1"/>
  <c r="G392" i="6"/>
  <c r="D392" i="6"/>
  <c r="F392" i="6" s="1"/>
  <c r="G391" i="6"/>
  <c r="D391" i="6"/>
  <c r="G390" i="6"/>
  <c r="D390" i="6"/>
  <c r="G389" i="6"/>
  <c r="D389" i="6"/>
  <c r="G388" i="6"/>
  <c r="D388" i="6"/>
  <c r="G387" i="6"/>
  <c r="D387" i="6"/>
  <c r="G386" i="6"/>
  <c r="D386" i="6"/>
  <c r="E386" i="6" s="1"/>
  <c r="G385" i="6"/>
  <c r="D385" i="6"/>
  <c r="G384" i="6"/>
  <c r="D384" i="6"/>
  <c r="F384" i="6" s="1"/>
  <c r="G383" i="6"/>
  <c r="D383" i="6"/>
  <c r="G382" i="6"/>
  <c r="D382" i="6"/>
  <c r="G381" i="6"/>
  <c r="D381" i="6"/>
  <c r="F381" i="6" s="1"/>
  <c r="G380" i="6"/>
  <c r="D380" i="6"/>
  <c r="G379" i="6"/>
  <c r="D379" i="6"/>
  <c r="F379" i="6" s="1"/>
  <c r="G378" i="6"/>
  <c r="D378" i="6"/>
  <c r="E378" i="6" s="1"/>
  <c r="G377" i="6"/>
  <c r="D377" i="6"/>
  <c r="E377" i="6" s="1"/>
  <c r="G376" i="6"/>
  <c r="D376" i="6"/>
  <c r="G375" i="6"/>
  <c r="D375" i="6"/>
  <c r="G374" i="6"/>
  <c r="D374" i="6"/>
  <c r="F374" i="6" s="1"/>
  <c r="G373" i="6"/>
  <c r="D373" i="6"/>
  <c r="F373" i="6" s="1"/>
  <c r="G372" i="6"/>
  <c r="D372" i="6"/>
  <c r="G371" i="6"/>
  <c r="D371" i="6"/>
  <c r="F371" i="6" s="1"/>
  <c r="G370" i="6"/>
  <c r="D370" i="6"/>
  <c r="G369" i="6"/>
  <c r="D369" i="6"/>
  <c r="F369" i="6" s="1"/>
  <c r="G368" i="6"/>
  <c r="D368" i="6"/>
  <c r="F368" i="6" s="1"/>
  <c r="G367" i="6"/>
  <c r="D367" i="6"/>
  <c r="E367" i="6" s="1"/>
  <c r="G366" i="6"/>
  <c r="D366" i="6"/>
  <c r="G365" i="6"/>
  <c r="D365" i="6"/>
  <c r="G364" i="6"/>
  <c r="D364" i="6"/>
  <c r="G363" i="6"/>
  <c r="D363" i="6"/>
  <c r="F363" i="6" s="1"/>
  <c r="G362" i="6"/>
  <c r="D362" i="6"/>
  <c r="F362" i="6" s="1"/>
  <c r="G361" i="6"/>
  <c r="D361" i="6"/>
  <c r="F361" i="6" s="1"/>
  <c r="G360" i="6"/>
  <c r="D360" i="6"/>
  <c r="F360" i="6" s="1"/>
  <c r="G359" i="6"/>
  <c r="D359" i="6"/>
  <c r="E359" i="6" s="1"/>
  <c r="G358" i="6"/>
  <c r="D358" i="6"/>
  <c r="G357" i="6"/>
  <c r="D357" i="6"/>
  <c r="G356" i="6"/>
  <c r="D356" i="6"/>
  <c r="E356" i="6" s="1"/>
  <c r="G355" i="6"/>
  <c r="D355" i="6"/>
  <c r="G354" i="6"/>
  <c r="D354" i="6"/>
  <c r="G353" i="6"/>
  <c r="D353" i="6"/>
  <c r="G352" i="6"/>
  <c r="D352" i="6"/>
  <c r="G351" i="6"/>
  <c r="D351" i="6"/>
  <c r="G350" i="6"/>
  <c r="D350" i="6"/>
  <c r="G349" i="6"/>
  <c r="D349" i="6"/>
  <c r="F349" i="6" s="1"/>
  <c r="G348" i="6"/>
  <c r="D348" i="6"/>
  <c r="E348" i="6" s="1"/>
  <c r="G347" i="6"/>
  <c r="D347" i="6"/>
  <c r="F347" i="6" s="1"/>
  <c r="G346" i="6"/>
  <c r="D346" i="6"/>
  <c r="G345" i="6"/>
  <c r="D345" i="6"/>
  <c r="E345" i="6" s="1"/>
  <c r="G344" i="6"/>
  <c r="D344" i="6"/>
  <c r="G343" i="6"/>
  <c r="D343" i="6"/>
  <c r="G342" i="6"/>
  <c r="D342" i="6"/>
  <c r="F342" i="6" s="1"/>
  <c r="G341" i="6"/>
  <c r="D341" i="6"/>
  <c r="G340" i="6"/>
  <c r="D340" i="6"/>
  <c r="E340" i="6" s="1"/>
  <c r="G339" i="6"/>
  <c r="D339" i="6"/>
  <c r="G338" i="6"/>
  <c r="D338" i="6"/>
  <c r="G337" i="6"/>
  <c r="D337" i="6"/>
  <c r="G336" i="6"/>
  <c r="D336" i="6"/>
  <c r="F336" i="6" s="1"/>
  <c r="G335" i="6"/>
  <c r="D335" i="6"/>
  <c r="G334" i="6"/>
  <c r="D334" i="6"/>
  <c r="F334" i="6" s="1"/>
  <c r="G333" i="6"/>
  <c r="D333" i="6"/>
  <c r="G332" i="6"/>
  <c r="D332" i="6"/>
  <c r="G331" i="6"/>
  <c r="D331" i="6"/>
  <c r="F331" i="6" s="1"/>
  <c r="G330" i="6"/>
  <c r="D330" i="6"/>
  <c r="F330" i="6" s="1"/>
  <c r="G329" i="6"/>
  <c r="D329" i="6"/>
  <c r="E329" i="6" s="1"/>
  <c r="G328" i="6"/>
  <c r="D328" i="6"/>
  <c r="F328" i="6" s="1"/>
  <c r="G327" i="6"/>
  <c r="D327" i="6"/>
  <c r="G326" i="6"/>
  <c r="D326" i="6"/>
  <c r="G325" i="6"/>
  <c r="D325" i="6"/>
  <c r="G324" i="6"/>
  <c r="D324" i="6"/>
  <c r="G323" i="6"/>
  <c r="D323" i="6"/>
  <c r="F323" i="6" s="1"/>
  <c r="G322" i="6"/>
  <c r="D322" i="6"/>
  <c r="G321" i="6"/>
  <c r="D321" i="6"/>
  <c r="F321" i="6" s="1"/>
  <c r="G320" i="6"/>
  <c r="D320" i="6"/>
  <c r="G319" i="6"/>
  <c r="D319" i="6"/>
  <c r="F319" i="6" s="1"/>
  <c r="G318" i="6"/>
  <c r="D318" i="6"/>
  <c r="E318" i="6" s="1"/>
  <c r="G317" i="6"/>
  <c r="D317" i="6"/>
  <c r="G316" i="6"/>
  <c r="D316" i="6"/>
  <c r="G315" i="6"/>
  <c r="D315" i="6"/>
  <c r="G314" i="6"/>
  <c r="D314" i="6"/>
  <c r="F314" i="6" s="1"/>
  <c r="G313" i="6"/>
  <c r="D313" i="6"/>
  <c r="F313" i="6" s="1"/>
  <c r="G312" i="6"/>
  <c r="D312" i="6"/>
  <c r="G311" i="6"/>
  <c r="D311" i="6"/>
  <c r="F311" i="6" s="1"/>
  <c r="G310" i="6"/>
  <c r="D310" i="6"/>
  <c r="F310" i="6" s="1"/>
  <c r="G309" i="6"/>
  <c r="D309" i="6"/>
  <c r="G308" i="6"/>
  <c r="D308" i="6"/>
  <c r="E308" i="6" s="1"/>
  <c r="G307" i="6"/>
  <c r="D307" i="6"/>
  <c r="G306" i="6"/>
  <c r="D306" i="6"/>
  <c r="G305" i="6"/>
  <c r="D305" i="6"/>
  <c r="F305" i="6" s="1"/>
  <c r="G304" i="6"/>
  <c r="D304" i="6"/>
  <c r="F304" i="6" s="1"/>
  <c r="G303" i="6"/>
  <c r="D303" i="6"/>
  <c r="G302" i="6"/>
  <c r="D302" i="6"/>
  <c r="G301" i="6"/>
  <c r="D301" i="6"/>
  <c r="F301" i="6" s="1"/>
  <c r="G300" i="6"/>
  <c r="D300" i="6"/>
  <c r="G299" i="6"/>
  <c r="D299" i="6"/>
  <c r="E299" i="6" s="1"/>
  <c r="G298" i="6"/>
  <c r="D298" i="6"/>
  <c r="G297" i="6"/>
  <c r="D297" i="6"/>
  <c r="F297" i="6" s="1"/>
  <c r="G296" i="6"/>
  <c r="D296" i="6"/>
  <c r="E296" i="6" s="1"/>
  <c r="G295" i="6"/>
  <c r="D295" i="6"/>
  <c r="G294" i="6"/>
  <c r="D294" i="6"/>
  <c r="G293" i="6"/>
  <c r="D293" i="6"/>
  <c r="F293" i="6" s="1"/>
  <c r="G292" i="6"/>
  <c r="D292" i="6"/>
  <c r="G291" i="6"/>
  <c r="D291" i="6"/>
  <c r="E291" i="6" s="1"/>
  <c r="G290" i="6"/>
  <c r="D290" i="6"/>
  <c r="G289" i="6"/>
  <c r="D289" i="6"/>
  <c r="F289" i="6" s="1"/>
  <c r="G288" i="6"/>
  <c r="D288" i="6"/>
  <c r="G287" i="6"/>
  <c r="D287" i="6"/>
  <c r="G286" i="6"/>
  <c r="D286" i="6"/>
  <c r="G285" i="6"/>
  <c r="D285" i="6"/>
  <c r="F285" i="6" s="1"/>
  <c r="G284" i="6"/>
  <c r="D284" i="6"/>
  <c r="G283" i="6"/>
  <c r="D283" i="6"/>
  <c r="E283" i="6" s="1"/>
  <c r="G282" i="6"/>
  <c r="D282" i="6"/>
  <c r="G281" i="6"/>
  <c r="D281" i="6"/>
  <c r="F281" i="6" s="1"/>
  <c r="G280" i="6"/>
  <c r="D280" i="6"/>
  <c r="E280" i="6" s="1"/>
  <c r="G279" i="6"/>
  <c r="D279" i="6"/>
  <c r="E279" i="6" s="1"/>
  <c r="G278" i="6"/>
  <c r="D278" i="6"/>
  <c r="G277" i="6"/>
  <c r="D277" i="6"/>
  <c r="G276" i="6"/>
  <c r="D276" i="6"/>
  <c r="G275" i="6"/>
  <c r="D275" i="6"/>
  <c r="F275" i="6" s="1"/>
  <c r="G274" i="6"/>
  <c r="D274" i="6"/>
  <c r="G273" i="6"/>
  <c r="D273" i="6"/>
  <c r="G272" i="6"/>
  <c r="D272" i="6"/>
  <c r="F272" i="6" s="1"/>
  <c r="G271" i="6"/>
  <c r="D271" i="6"/>
  <c r="G270" i="6"/>
  <c r="D270" i="6"/>
  <c r="G269" i="6"/>
  <c r="D269" i="6"/>
  <c r="G268" i="6"/>
  <c r="D268" i="6"/>
  <c r="E268" i="6" s="1"/>
  <c r="G267" i="6"/>
  <c r="D267" i="6"/>
  <c r="G266" i="6"/>
  <c r="D266" i="6"/>
  <c r="G265" i="6"/>
  <c r="D265" i="6"/>
  <c r="F265" i="6" s="1"/>
  <c r="G264" i="6"/>
  <c r="D264" i="6"/>
  <c r="F264" i="6" s="1"/>
  <c r="G263" i="6"/>
  <c r="D263" i="6"/>
  <c r="G262" i="6"/>
  <c r="D262" i="6"/>
  <c r="F262" i="6" s="1"/>
  <c r="G261" i="6"/>
  <c r="D261" i="6"/>
  <c r="F261" i="6" s="1"/>
  <c r="G260" i="6"/>
  <c r="D260" i="6"/>
  <c r="G259" i="6"/>
  <c r="D259" i="6"/>
  <c r="F259" i="6" s="1"/>
  <c r="G258" i="6"/>
  <c r="D258" i="6"/>
  <c r="G257" i="6"/>
  <c r="D257" i="6"/>
  <c r="F257" i="6" s="1"/>
  <c r="G256" i="6"/>
  <c r="D256" i="6"/>
  <c r="F256" i="6" s="1"/>
  <c r="G255" i="6"/>
  <c r="D255" i="6"/>
  <c r="E255" i="6" s="1"/>
  <c r="G254" i="6"/>
  <c r="D254" i="6"/>
  <c r="G253" i="6"/>
  <c r="D253" i="6"/>
  <c r="F253" i="6" s="1"/>
  <c r="G252" i="6"/>
  <c r="D252" i="6"/>
  <c r="G251" i="6"/>
  <c r="D251" i="6"/>
  <c r="F251" i="6" s="1"/>
  <c r="G250" i="6"/>
  <c r="D250" i="6"/>
  <c r="G249" i="6"/>
  <c r="D249" i="6"/>
  <c r="G248" i="6"/>
  <c r="D248" i="6"/>
  <c r="G247" i="6"/>
  <c r="D247" i="6"/>
  <c r="E247" i="6" s="1"/>
  <c r="G246" i="6"/>
  <c r="D246" i="6"/>
  <c r="G245" i="6"/>
  <c r="D245" i="6"/>
  <c r="F245" i="6" s="1"/>
  <c r="G244" i="6"/>
  <c r="D244" i="6"/>
  <c r="G243" i="6"/>
  <c r="D243" i="6"/>
  <c r="E243" i="6" s="1"/>
  <c r="G242" i="6"/>
  <c r="D242" i="6"/>
  <c r="G241" i="6"/>
  <c r="D241" i="6"/>
  <c r="F241" i="6" s="1"/>
  <c r="G240" i="6"/>
  <c r="D240" i="6"/>
  <c r="F240" i="6" s="1"/>
  <c r="G239" i="6"/>
  <c r="D239" i="6"/>
  <c r="G238" i="6"/>
  <c r="D238" i="6"/>
  <c r="F238" i="6" s="1"/>
  <c r="G237" i="6"/>
  <c r="D237" i="6"/>
  <c r="F237" i="6" s="1"/>
  <c r="G236" i="6"/>
  <c r="D236" i="6"/>
  <c r="G235" i="6"/>
  <c r="D235" i="6"/>
  <c r="G234" i="6"/>
  <c r="D234" i="6"/>
  <c r="G233" i="6"/>
  <c r="D233" i="6"/>
  <c r="F233" i="6" s="1"/>
  <c r="G232" i="6"/>
  <c r="D232" i="6"/>
  <c r="G231" i="6"/>
  <c r="D231" i="6"/>
  <c r="E231" i="6" s="1"/>
  <c r="G230" i="6"/>
  <c r="D230" i="6"/>
  <c r="E230" i="6" s="1"/>
  <c r="G229" i="6"/>
  <c r="D229" i="6"/>
  <c r="F229" i="6" s="1"/>
  <c r="G228" i="6"/>
  <c r="D228" i="6"/>
  <c r="E228" i="6" s="1"/>
  <c r="G227" i="6"/>
  <c r="D227" i="6"/>
  <c r="F227" i="6" s="1"/>
  <c r="G226" i="6"/>
  <c r="D226" i="6"/>
  <c r="G225" i="6"/>
  <c r="D225" i="6"/>
  <c r="G224" i="6"/>
  <c r="D224" i="6"/>
  <c r="G223" i="6"/>
  <c r="D223" i="6"/>
  <c r="E223" i="6" s="1"/>
  <c r="G222" i="6"/>
  <c r="D222" i="6"/>
  <c r="G221" i="6"/>
  <c r="D221" i="6"/>
  <c r="G220" i="6"/>
  <c r="D220" i="6"/>
  <c r="F220" i="6" s="1"/>
  <c r="G219" i="6"/>
  <c r="D219" i="6"/>
  <c r="F219" i="6" s="1"/>
  <c r="G218" i="6"/>
  <c r="D218" i="6"/>
  <c r="G217" i="6"/>
  <c r="D217" i="6"/>
  <c r="G216" i="6"/>
  <c r="D216" i="6"/>
  <c r="G215" i="6"/>
  <c r="D215" i="6"/>
  <c r="E215" i="6" s="1"/>
  <c r="G214" i="6"/>
  <c r="D214" i="6"/>
  <c r="E214" i="6" s="1"/>
  <c r="G213" i="6"/>
  <c r="D213" i="6"/>
  <c r="E213" i="6" s="1"/>
  <c r="G212" i="6"/>
  <c r="D212" i="6"/>
  <c r="G211" i="6"/>
  <c r="D211" i="6"/>
  <c r="G210" i="6"/>
  <c r="D210" i="6"/>
  <c r="G209" i="6"/>
  <c r="D209" i="6"/>
  <c r="G208" i="6"/>
  <c r="D208" i="6"/>
  <c r="G207" i="6"/>
  <c r="D207" i="6"/>
  <c r="G206" i="6"/>
  <c r="D206" i="6"/>
  <c r="G205" i="6"/>
  <c r="D205" i="6"/>
  <c r="G204" i="6"/>
  <c r="D204" i="6"/>
  <c r="G203" i="6"/>
  <c r="D203" i="6"/>
  <c r="F203" i="6" s="1"/>
  <c r="G202" i="6"/>
  <c r="D202" i="6"/>
  <c r="G201" i="6"/>
  <c r="D201" i="6"/>
  <c r="E201" i="6" s="1"/>
  <c r="G200" i="6"/>
  <c r="D200" i="6"/>
  <c r="G199" i="6"/>
  <c r="D199" i="6"/>
  <c r="E199" i="6" s="1"/>
  <c r="G198" i="6"/>
  <c r="D198" i="6"/>
  <c r="E198" i="6" s="1"/>
  <c r="G197" i="6"/>
  <c r="D197" i="6"/>
  <c r="F197" i="6" s="1"/>
  <c r="G196" i="6"/>
  <c r="D196" i="6"/>
  <c r="F196" i="6" s="1"/>
  <c r="G195" i="6"/>
  <c r="D195" i="6"/>
  <c r="G194" i="6"/>
  <c r="D194" i="6"/>
  <c r="G193" i="6"/>
  <c r="D193" i="6"/>
  <c r="F193" i="6" s="1"/>
  <c r="G192" i="6"/>
  <c r="D192" i="6"/>
  <c r="E192" i="6" s="1"/>
  <c r="G191" i="6"/>
  <c r="D191" i="6"/>
  <c r="G190" i="6"/>
  <c r="D190" i="6"/>
  <c r="G189" i="6"/>
  <c r="D189" i="6"/>
  <c r="G188" i="6"/>
  <c r="D188" i="6"/>
  <c r="G187" i="6"/>
  <c r="D187" i="6"/>
  <c r="F187" i="6" s="1"/>
  <c r="G186" i="6"/>
  <c r="D186" i="6"/>
  <c r="G185" i="6"/>
  <c r="D185" i="6"/>
  <c r="G184" i="6"/>
  <c r="D184" i="6"/>
  <c r="F184" i="6" s="1"/>
  <c r="G183" i="6"/>
  <c r="D183" i="6"/>
  <c r="F183" i="6" s="1"/>
  <c r="G182" i="6"/>
  <c r="D182" i="6"/>
  <c r="F182" i="6" s="1"/>
  <c r="G181" i="6"/>
  <c r="D181" i="6"/>
  <c r="G180" i="6"/>
  <c r="D180" i="6"/>
  <c r="E180" i="6" s="1"/>
  <c r="G179" i="6"/>
  <c r="D179" i="6"/>
  <c r="G178" i="6"/>
  <c r="D178" i="6"/>
  <c r="G177" i="6"/>
  <c r="D177" i="6"/>
  <c r="F177" i="6" s="1"/>
  <c r="G176" i="6"/>
  <c r="D176" i="6"/>
  <c r="G175" i="6"/>
  <c r="D175" i="6"/>
  <c r="E175" i="6" s="1"/>
  <c r="G174" i="6"/>
  <c r="D174" i="6"/>
  <c r="G173" i="6"/>
  <c r="D173" i="6"/>
  <c r="E173" i="6" s="1"/>
  <c r="G172" i="6"/>
  <c r="D172" i="6"/>
  <c r="F172" i="6" s="1"/>
  <c r="G171" i="6"/>
  <c r="D171" i="6"/>
  <c r="F171" i="6" s="1"/>
  <c r="G170" i="6"/>
  <c r="D170" i="6"/>
  <c r="G169" i="6"/>
  <c r="D169" i="6"/>
  <c r="G168" i="6"/>
  <c r="D168" i="6"/>
  <c r="F168" i="6" s="1"/>
  <c r="G167" i="6"/>
  <c r="D167" i="6"/>
  <c r="E167" i="6" s="1"/>
  <c r="G166" i="6"/>
  <c r="D166" i="6"/>
  <c r="G165" i="6"/>
  <c r="D165" i="6"/>
  <c r="G164" i="6"/>
  <c r="D164" i="6"/>
  <c r="G163" i="6"/>
  <c r="D163" i="6"/>
  <c r="G162" i="6"/>
  <c r="D162" i="6"/>
  <c r="G161" i="6"/>
  <c r="D161" i="6"/>
  <c r="G160" i="6"/>
  <c r="D160" i="6"/>
  <c r="E160" i="6" s="1"/>
  <c r="G159" i="6"/>
  <c r="D159" i="6"/>
  <c r="G158" i="6"/>
  <c r="D158" i="6"/>
  <c r="G157" i="6"/>
  <c r="D157" i="6"/>
  <c r="G156" i="6"/>
  <c r="D156" i="6"/>
  <c r="G155" i="6"/>
  <c r="D155" i="6"/>
  <c r="G154" i="6"/>
  <c r="D154" i="6"/>
  <c r="E154" i="6" s="1"/>
  <c r="G153" i="6"/>
  <c r="D153" i="6"/>
  <c r="G152" i="6"/>
  <c r="D152" i="6"/>
  <c r="G151" i="6"/>
  <c r="D151" i="6"/>
  <c r="G150" i="6"/>
  <c r="D150" i="6"/>
  <c r="E150" i="6" s="1"/>
  <c r="G149" i="6"/>
  <c r="D149" i="6"/>
  <c r="G148" i="6"/>
  <c r="D148" i="6"/>
  <c r="E148" i="6" s="1"/>
  <c r="G147" i="6"/>
  <c r="D147" i="6"/>
  <c r="G146" i="6"/>
  <c r="D146" i="6"/>
  <c r="G145" i="6"/>
  <c r="D145" i="6"/>
  <c r="G144" i="6"/>
  <c r="D144" i="6"/>
  <c r="G143" i="6"/>
  <c r="D143" i="6"/>
  <c r="F143" i="6" s="1"/>
  <c r="G142" i="6"/>
  <c r="D142" i="6"/>
  <c r="E142" i="6" s="1"/>
  <c r="G141" i="6"/>
  <c r="D141" i="6"/>
  <c r="G140" i="6"/>
  <c r="D140" i="6"/>
  <c r="F140" i="6" s="1"/>
  <c r="G139" i="6"/>
  <c r="D139" i="6"/>
  <c r="E139" i="6" s="1"/>
  <c r="G138" i="6"/>
  <c r="D138" i="6"/>
  <c r="E138" i="6" s="1"/>
  <c r="G137" i="6"/>
  <c r="D137" i="6"/>
  <c r="G136" i="6"/>
  <c r="D136" i="6"/>
  <c r="G135" i="6"/>
  <c r="D135" i="6"/>
  <c r="G134" i="6"/>
  <c r="D134" i="6"/>
  <c r="G133" i="6"/>
  <c r="D133" i="6"/>
  <c r="G132" i="6"/>
  <c r="D132" i="6"/>
  <c r="G131" i="6"/>
  <c r="D131" i="6"/>
  <c r="F131" i="6" s="1"/>
  <c r="G130" i="6"/>
  <c r="D130" i="6"/>
  <c r="E130" i="6" s="1"/>
  <c r="G129" i="6"/>
  <c r="D129" i="6"/>
  <c r="G128" i="6"/>
  <c r="D128" i="6"/>
  <c r="G127" i="6"/>
  <c r="D127" i="6"/>
  <c r="G126" i="6"/>
  <c r="D126" i="6"/>
  <c r="E126" i="6" s="1"/>
  <c r="G125" i="6"/>
  <c r="D125" i="6"/>
  <c r="G124" i="6"/>
  <c r="D124" i="6"/>
  <c r="G123" i="6"/>
  <c r="D123" i="6"/>
  <c r="E123" i="6" s="1"/>
  <c r="G122" i="6"/>
  <c r="D122" i="6"/>
  <c r="E122" i="6" s="1"/>
  <c r="G121" i="6"/>
  <c r="D121" i="6"/>
  <c r="G120" i="6"/>
  <c r="D120" i="6"/>
  <c r="G119" i="6"/>
  <c r="D119" i="6"/>
  <c r="F119" i="6" s="1"/>
  <c r="G118" i="6"/>
  <c r="D118" i="6"/>
  <c r="G117" i="6"/>
  <c r="D117" i="6"/>
  <c r="E117" i="6" s="1"/>
  <c r="G116" i="6"/>
  <c r="D116" i="6"/>
  <c r="G115" i="6"/>
  <c r="D115" i="6"/>
  <c r="G114" i="6"/>
  <c r="D114" i="6"/>
  <c r="F114" i="6" s="1"/>
  <c r="G113" i="6"/>
  <c r="D113" i="6"/>
  <c r="G112" i="6"/>
  <c r="D112" i="6"/>
  <c r="E112" i="6" s="1"/>
  <c r="G111" i="6"/>
  <c r="D111" i="6"/>
  <c r="G110" i="6"/>
  <c r="D110" i="6"/>
  <c r="G109" i="6"/>
  <c r="D109" i="6"/>
  <c r="E109" i="6" s="1"/>
  <c r="G108" i="6"/>
  <c r="D108" i="6"/>
  <c r="F108" i="6" s="1"/>
  <c r="G107" i="6"/>
  <c r="D107" i="6"/>
  <c r="F107" i="6" s="1"/>
  <c r="G106" i="6"/>
  <c r="D106" i="6"/>
  <c r="F106" i="6" s="1"/>
  <c r="G105" i="6"/>
  <c r="D105" i="6"/>
  <c r="G104" i="6"/>
  <c r="D104" i="6"/>
  <c r="E104" i="6" s="1"/>
  <c r="G103" i="6"/>
  <c r="D103" i="6"/>
  <c r="F103" i="6" s="1"/>
  <c r="G102" i="6"/>
  <c r="D102" i="6"/>
  <c r="E102" i="6" s="1"/>
  <c r="G101" i="6"/>
  <c r="D101" i="6"/>
  <c r="E101" i="6" s="1"/>
  <c r="G100" i="6"/>
  <c r="D100" i="6"/>
  <c r="G99" i="6"/>
  <c r="D99" i="6"/>
  <c r="G98" i="6"/>
  <c r="D98" i="6"/>
  <c r="F98" i="6" s="1"/>
  <c r="G97" i="6"/>
  <c r="D97" i="6"/>
  <c r="G96" i="6"/>
  <c r="D96" i="6"/>
  <c r="G95" i="6"/>
  <c r="D95" i="6"/>
  <c r="F95" i="6" s="1"/>
  <c r="G94" i="6"/>
  <c r="D94" i="6"/>
  <c r="E94" i="6" s="1"/>
  <c r="G93" i="6"/>
  <c r="D93" i="6"/>
  <c r="G92" i="6"/>
  <c r="D92" i="6"/>
  <c r="G91" i="6"/>
  <c r="D91" i="6"/>
  <c r="E91" i="6" s="1"/>
  <c r="G90" i="6"/>
  <c r="D90" i="6"/>
  <c r="G89" i="6"/>
  <c r="D89" i="6"/>
  <c r="G88" i="6"/>
  <c r="D88" i="6"/>
  <c r="G87" i="6"/>
  <c r="D87" i="6"/>
  <c r="G86" i="6"/>
  <c r="D86" i="6"/>
  <c r="G85" i="6"/>
  <c r="D85" i="6"/>
  <c r="E85" i="6" s="1"/>
  <c r="G84" i="6"/>
  <c r="D84" i="6"/>
  <c r="G83" i="6"/>
  <c r="D83" i="6"/>
  <c r="G82" i="6"/>
  <c r="D82" i="6"/>
  <c r="F82" i="6" s="1"/>
  <c r="G81" i="6"/>
  <c r="D81" i="6"/>
  <c r="G80" i="6"/>
  <c r="D80" i="6"/>
  <c r="G79" i="6"/>
  <c r="D79" i="6"/>
  <c r="F79" i="6" s="1"/>
  <c r="G78" i="6"/>
  <c r="D78" i="6"/>
  <c r="G77" i="6"/>
  <c r="D77" i="6"/>
  <c r="G76" i="6"/>
  <c r="D76" i="6"/>
  <c r="F76" i="6" s="1"/>
  <c r="G75" i="6"/>
  <c r="D75" i="6"/>
  <c r="E75" i="6" s="1"/>
  <c r="G74" i="6"/>
  <c r="D74" i="6"/>
  <c r="F74" i="6" s="1"/>
  <c r="G73" i="6"/>
  <c r="D73" i="6"/>
  <c r="F73" i="6" s="1"/>
  <c r="G72" i="6"/>
  <c r="D72" i="6"/>
  <c r="F72" i="6" s="1"/>
  <c r="G71" i="6"/>
  <c r="D71" i="6"/>
  <c r="F71" i="6" s="1"/>
  <c r="G70" i="6"/>
  <c r="D70" i="6"/>
  <c r="E70" i="6" s="1"/>
  <c r="G69" i="6"/>
  <c r="D69" i="6"/>
  <c r="G68" i="6"/>
  <c r="D68" i="6"/>
  <c r="E68" i="6" s="1"/>
  <c r="G67" i="6"/>
  <c r="D67" i="6"/>
  <c r="E67" i="6" s="1"/>
  <c r="G66" i="6"/>
  <c r="D66" i="6"/>
  <c r="F66" i="6" s="1"/>
  <c r="G65" i="6"/>
  <c r="D65" i="6"/>
  <c r="G64" i="6"/>
  <c r="D64" i="6"/>
  <c r="E64" i="6" s="1"/>
  <c r="G63" i="6"/>
  <c r="D63" i="6"/>
  <c r="G62" i="6"/>
  <c r="D62" i="6"/>
  <c r="E62" i="6" s="1"/>
  <c r="G61" i="6"/>
  <c r="D61" i="6"/>
  <c r="G60" i="6"/>
  <c r="D60" i="6"/>
  <c r="G59" i="6"/>
  <c r="D59" i="6"/>
  <c r="F59" i="6" s="1"/>
  <c r="G58" i="6"/>
  <c r="D58" i="6"/>
  <c r="F58" i="6" s="1"/>
  <c r="G57" i="6"/>
  <c r="D57" i="6"/>
  <c r="F57" i="6" s="1"/>
  <c r="G56" i="6"/>
  <c r="D56" i="6"/>
  <c r="G55" i="6"/>
  <c r="D55" i="6"/>
  <c r="F55" i="6" s="1"/>
  <c r="G54" i="6"/>
  <c r="D54" i="6"/>
  <c r="E54" i="6" s="1"/>
  <c r="G53" i="6"/>
  <c r="D53" i="6"/>
  <c r="E53" i="6" s="1"/>
  <c r="G52" i="6"/>
  <c r="D52" i="6"/>
  <c r="E52" i="6" s="1"/>
  <c r="G51" i="6"/>
  <c r="D51" i="6"/>
  <c r="F51" i="6" s="1"/>
  <c r="G50" i="6"/>
  <c r="D50" i="6"/>
  <c r="E50" i="6" s="1"/>
  <c r="G49" i="6"/>
  <c r="D49" i="6"/>
  <c r="F49" i="6" s="1"/>
  <c r="G48" i="6"/>
  <c r="D48" i="6"/>
  <c r="G47" i="6"/>
  <c r="D47" i="6"/>
  <c r="G46" i="6"/>
  <c r="D46" i="6"/>
  <c r="G45" i="6"/>
  <c r="D45" i="6"/>
  <c r="F45" i="6" s="1"/>
  <c r="G44" i="6"/>
  <c r="D44" i="6"/>
  <c r="E44" i="6" s="1"/>
  <c r="G43" i="6"/>
  <c r="D43" i="6"/>
  <c r="E43" i="6" s="1"/>
  <c r="G42" i="6"/>
  <c r="D42" i="6"/>
  <c r="F42" i="6" s="1"/>
  <c r="G41" i="6"/>
  <c r="D41" i="6"/>
  <c r="F41" i="6" s="1"/>
  <c r="G40" i="6"/>
  <c r="D40" i="6"/>
  <c r="F40" i="6" s="1"/>
  <c r="G39" i="6"/>
  <c r="D39" i="6"/>
  <c r="F39" i="6" s="1"/>
  <c r="G38" i="6"/>
  <c r="D38" i="6"/>
  <c r="E38" i="6" s="1"/>
  <c r="G37" i="6"/>
  <c r="D37" i="6"/>
  <c r="G36" i="6"/>
  <c r="D36" i="6"/>
  <c r="E36" i="6" s="1"/>
  <c r="G35" i="6"/>
  <c r="D35" i="6"/>
  <c r="G34" i="6"/>
  <c r="D34" i="6"/>
  <c r="E34" i="6" s="1"/>
  <c r="G33" i="6"/>
  <c r="D33" i="6"/>
  <c r="G32" i="6"/>
  <c r="D32" i="6"/>
  <c r="G31" i="6"/>
  <c r="D31" i="6"/>
  <c r="F31" i="6" s="1"/>
  <c r="G30" i="6"/>
  <c r="D30" i="6"/>
  <c r="E30" i="6" s="1"/>
  <c r="G29" i="6"/>
  <c r="D29" i="6"/>
  <c r="F29" i="6" s="1"/>
  <c r="G28" i="6"/>
  <c r="D28" i="6"/>
  <c r="E28" i="6" s="1"/>
  <c r="G27" i="6"/>
  <c r="D27" i="6"/>
  <c r="G26" i="6"/>
  <c r="D26" i="6"/>
  <c r="G25" i="6"/>
  <c r="D25" i="6"/>
  <c r="F25" i="6" s="1"/>
  <c r="G24" i="6"/>
  <c r="D24" i="6"/>
  <c r="F24" i="6" s="1"/>
  <c r="G23" i="6"/>
  <c r="D23" i="6"/>
  <c r="G22" i="6"/>
  <c r="D22" i="6"/>
  <c r="E22" i="6" s="1"/>
  <c r="G21" i="6"/>
  <c r="D21" i="6"/>
  <c r="G20" i="6"/>
  <c r="D20" i="6"/>
  <c r="G19" i="6"/>
  <c r="D19" i="6"/>
  <c r="F19" i="6" s="1"/>
  <c r="G18" i="6"/>
  <c r="D18" i="6"/>
  <c r="G17" i="6"/>
  <c r="D17" i="6"/>
  <c r="F17" i="6" s="1"/>
  <c r="G16" i="6"/>
  <c r="D16" i="6"/>
  <c r="G15" i="6"/>
  <c r="D15" i="6"/>
  <c r="G14" i="6"/>
  <c r="D14" i="6"/>
  <c r="G13" i="6"/>
  <c r="D13" i="6"/>
  <c r="G12" i="6"/>
  <c r="D12" i="6"/>
  <c r="G11" i="6"/>
  <c r="D11" i="6"/>
  <c r="G9" i="6"/>
  <c r="D9" i="6"/>
  <c r="F9" i="6" s="1"/>
  <c r="G7" i="6"/>
  <c r="D7" i="6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G48" i="4" s="1"/>
  <c r="H48" i="4" s="1"/>
  <c r="I54" i="5"/>
  <c r="G47" i="4" s="1"/>
  <c r="H47" i="4" s="1"/>
  <c r="I53" i="5"/>
  <c r="G46" i="4" s="1"/>
  <c r="I40" i="5"/>
  <c r="I39" i="5"/>
  <c r="G38" i="4" s="1"/>
  <c r="H38" i="4" s="1"/>
  <c r="I38" i="5"/>
  <c r="G37" i="4" s="1"/>
  <c r="H37" i="4" s="1"/>
  <c r="I37" i="5"/>
  <c r="G36" i="4" s="1"/>
  <c r="H36" i="4" s="1"/>
  <c r="N36" i="4" s="1"/>
  <c r="I36" i="5"/>
  <c r="G35" i="4" s="1"/>
  <c r="H35" i="4" s="1"/>
  <c r="I35" i="5"/>
  <c r="G34" i="4" s="1"/>
  <c r="H34" i="4" s="1"/>
  <c r="I34" i="5"/>
  <c r="I33" i="5"/>
  <c r="G33" i="4" s="1"/>
  <c r="H33" i="4" s="1"/>
  <c r="I32" i="5"/>
  <c r="G32" i="4" s="1"/>
  <c r="H32" i="4" s="1"/>
  <c r="N32" i="4" s="1"/>
  <c r="I31" i="5"/>
  <c r="G30" i="4" s="1"/>
  <c r="H30" i="4" s="1"/>
  <c r="I30" i="5"/>
  <c r="I29" i="5"/>
  <c r="G27" i="4" s="1"/>
  <c r="H27" i="4" s="1"/>
  <c r="I28" i="5"/>
  <c r="G26" i="4" s="1"/>
  <c r="H26" i="4" s="1"/>
  <c r="I27" i="5"/>
  <c r="G25" i="4" s="1"/>
  <c r="H25" i="4" s="1"/>
  <c r="N25" i="4" s="1"/>
  <c r="I26" i="5"/>
  <c r="G24" i="4" s="1"/>
  <c r="H24" i="4" s="1"/>
  <c r="N24" i="4" s="1"/>
  <c r="I25" i="5"/>
  <c r="I24" i="5"/>
  <c r="G22" i="4" s="1"/>
  <c r="H22" i="4" s="1"/>
  <c r="I23" i="5"/>
  <c r="G21" i="4" s="1"/>
  <c r="H21" i="4" s="1"/>
  <c r="N21" i="4" s="1"/>
  <c r="I22" i="5"/>
  <c r="G20" i="4" s="1"/>
  <c r="H20" i="4" s="1"/>
  <c r="N20" i="4" s="1"/>
  <c r="I21" i="5"/>
  <c r="G19" i="4" s="1"/>
  <c r="H19" i="4" s="1"/>
  <c r="I20" i="5"/>
  <c r="G18" i="4" s="1"/>
  <c r="H18" i="4" s="1"/>
  <c r="I19" i="5"/>
  <c r="G17" i="4" s="1"/>
  <c r="H17" i="4" s="1"/>
  <c r="I18" i="5"/>
  <c r="G16" i="4" s="1"/>
  <c r="H16" i="4" s="1"/>
  <c r="I17" i="5"/>
  <c r="G15" i="4" s="1"/>
  <c r="H15" i="4" s="1"/>
  <c r="I16" i="5"/>
  <c r="G14" i="4" s="1"/>
  <c r="H14" i="4" s="1"/>
  <c r="I15" i="5"/>
  <c r="G13" i="4" s="1"/>
  <c r="H13" i="4" s="1"/>
  <c r="N13" i="4" s="1"/>
  <c r="I14" i="5"/>
  <c r="G12" i="4" s="1"/>
  <c r="H12" i="4" s="1"/>
  <c r="I13" i="5"/>
  <c r="G11" i="4" s="1"/>
  <c r="H11" i="4" s="1"/>
  <c r="I12" i="5"/>
  <c r="G10" i="4" s="1"/>
  <c r="H10" i="4" s="1"/>
  <c r="I11" i="5"/>
  <c r="G9" i="4" s="1"/>
  <c r="H9" i="4" s="1"/>
  <c r="N9" i="4" s="1"/>
  <c r="I10" i="5"/>
  <c r="G8" i="4" s="1"/>
  <c r="H8" i="4" s="1"/>
  <c r="I9" i="5"/>
  <c r="G7" i="4" s="1"/>
  <c r="H7" i="4" s="1"/>
  <c r="I8" i="5"/>
  <c r="G6" i="4" s="1"/>
  <c r="H6" i="4" s="1"/>
  <c r="I7" i="5"/>
  <c r="G5" i="4" s="1"/>
  <c r="H5" i="4" s="1"/>
  <c r="M5" i="4" s="1"/>
  <c r="I6" i="5"/>
  <c r="G4" i="4" s="1"/>
  <c r="H4" i="4" s="1"/>
  <c r="I5" i="5"/>
  <c r="I4" i="5"/>
  <c r="I3" i="5"/>
  <c r="I2" i="5"/>
  <c r="K1501" i="4"/>
  <c r="G1501" i="4"/>
  <c r="H1501" i="4" s="1"/>
  <c r="K1500" i="4"/>
  <c r="G1500" i="4"/>
  <c r="H1500" i="4" s="1"/>
  <c r="K1499" i="4"/>
  <c r="G1499" i="4"/>
  <c r="H1499" i="4" s="1"/>
  <c r="K1498" i="4"/>
  <c r="G1498" i="4"/>
  <c r="H1498" i="4" s="1"/>
  <c r="K1497" i="4"/>
  <c r="G1497" i="4"/>
  <c r="H1497" i="4" s="1"/>
  <c r="K1496" i="4"/>
  <c r="G1496" i="4"/>
  <c r="H1496" i="4" s="1"/>
  <c r="K1495" i="4"/>
  <c r="G1495" i="4"/>
  <c r="H1495" i="4" s="1"/>
  <c r="K1494" i="4"/>
  <c r="G1494" i="4"/>
  <c r="H1494" i="4" s="1"/>
  <c r="K1493" i="4"/>
  <c r="G1493" i="4"/>
  <c r="H1493" i="4" s="1"/>
  <c r="K1492" i="4"/>
  <c r="G1492" i="4"/>
  <c r="H1492" i="4" s="1"/>
  <c r="K1491" i="4"/>
  <c r="G1491" i="4"/>
  <c r="H1491" i="4" s="1"/>
  <c r="N1491" i="4" s="1"/>
  <c r="K1490" i="4"/>
  <c r="G1490" i="4"/>
  <c r="H1490" i="4" s="1"/>
  <c r="K1489" i="4"/>
  <c r="G1489" i="4"/>
  <c r="H1489" i="4" s="1"/>
  <c r="K1488" i="4"/>
  <c r="G1488" i="4"/>
  <c r="H1488" i="4" s="1"/>
  <c r="K1487" i="4"/>
  <c r="G1487" i="4"/>
  <c r="H1487" i="4" s="1"/>
  <c r="N1487" i="4" s="1"/>
  <c r="K1486" i="4"/>
  <c r="G1486" i="4"/>
  <c r="H1486" i="4" s="1"/>
  <c r="K1485" i="4"/>
  <c r="G1485" i="4"/>
  <c r="H1485" i="4" s="1"/>
  <c r="K1484" i="4"/>
  <c r="G1484" i="4"/>
  <c r="H1484" i="4" s="1"/>
  <c r="N1484" i="4" s="1"/>
  <c r="K1483" i="4"/>
  <c r="G1483" i="4"/>
  <c r="H1483" i="4" s="1"/>
  <c r="K1482" i="4"/>
  <c r="G1482" i="4"/>
  <c r="H1482" i="4" s="1"/>
  <c r="K1481" i="4"/>
  <c r="G1481" i="4"/>
  <c r="H1481" i="4" s="1"/>
  <c r="K1480" i="4"/>
  <c r="G1480" i="4"/>
  <c r="H1480" i="4" s="1"/>
  <c r="N1480" i="4" s="1"/>
  <c r="K1479" i="4"/>
  <c r="G1479" i="4"/>
  <c r="H1479" i="4" s="1"/>
  <c r="K1478" i="4"/>
  <c r="G1478" i="4"/>
  <c r="H1478" i="4" s="1"/>
  <c r="K1477" i="4"/>
  <c r="G1477" i="4"/>
  <c r="H1477" i="4" s="1"/>
  <c r="K1476" i="4"/>
  <c r="G1476" i="4"/>
  <c r="H1476" i="4" s="1"/>
  <c r="K1475" i="4"/>
  <c r="G1475" i="4"/>
  <c r="H1475" i="4" s="1"/>
  <c r="K1474" i="4"/>
  <c r="G1474" i="4"/>
  <c r="H1474" i="4" s="1"/>
  <c r="K1473" i="4"/>
  <c r="G1473" i="4"/>
  <c r="H1473" i="4" s="1"/>
  <c r="K1472" i="4"/>
  <c r="G1472" i="4"/>
  <c r="H1472" i="4" s="1"/>
  <c r="N1472" i="4" s="1"/>
  <c r="K1471" i="4"/>
  <c r="G1471" i="4"/>
  <c r="H1471" i="4" s="1"/>
  <c r="K1470" i="4"/>
  <c r="G1470" i="4"/>
  <c r="H1470" i="4" s="1"/>
  <c r="K1469" i="4"/>
  <c r="G1469" i="4"/>
  <c r="H1469" i="4" s="1"/>
  <c r="K1468" i="4"/>
  <c r="G1468" i="4"/>
  <c r="H1468" i="4" s="1"/>
  <c r="K1467" i="4"/>
  <c r="G1467" i="4"/>
  <c r="H1467" i="4" s="1"/>
  <c r="N1467" i="4" s="1"/>
  <c r="K1466" i="4"/>
  <c r="G1466" i="4"/>
  <c r="H1466" i="4" s="1"/>
  <c r="K1465" i="4"/>
  <c r="G1465" i="4"/>
  <c r="H1465" i="4" s="1"/>
  <c r="K1464" i="4"/>
  <c r="G1464" i="4"/>
  <c r="H1464" i="4" s="1"/>
  <c r="N1464" i="4" s="1"/>
  <c r="K1463" i="4"/>
  <c r="G1463" i="4"/>
  <c r="H1463" i="4" s="1"/>
  <c r="K1462" i="4"/>
  <c r="G1462" i="4"/>
  <c r="H1462" i="4" s="1"/>
  <c r="K1461" i="4"/>
  <c r="G1461" i="4"/>
  <c r="H1461" i="4" s="1"/>
  <c r="K1460" i="4"/>
  <c r="G1460" i="4"/>
  <c r="H1460" i="4" s="1"/>
  <c r="K1459" i="4"/>
  <c r="G1459" i="4"/>
  <c r="H1459" i="4" s="1"/>
  <c r="M1459" i="4" s="1"/>
  <c r="K1458" i="4"/>
  <c r="G1458" i="4"/>
  <c r="H1458" i="4" s="1"/>
  <c r="K1457" i="4"/>
  <c r="G1457" i="4"/>
  <c r="H1457" i="4" s="1"/>
  <c r="K1456" i="4"/>
  <c r="G1456" i="4"/>
  <c r="H1456" i="4" s="1"/>
  <c r="M1456" i="4" s="1"/>
  <c r="K1455" i="4"/>
  <c r="G1455" i="4"/>
  <c r="H1455" i="4" s="1"/>
  <c r="N1455" i="4" s="1"/>
  <c r="K1454" i="4"/>
  <c r="G1454" i="4"/>
  <c r="H1454" i="4" s="1"/>
  <c r="K1453" i="4"/>
  <c r="G1453" i="4"/>
  <c r="H1453" i="4" s="1"/>
  <c r="M1453" i="4" s="1"/>
  <c r="K1452" i="4"/>
  <c r="G1452" i="4"/>
  <c r="H1452" i="4" s="1"/>
  <c r="M1452" i="4" s="1"/>
  <c r="K1451" i="4"/>
  <c r="G1451" i="4"/>
  <c r="H1451" i="4" s="1"/>
  <c r="K1450" i="4"/>
  <c r="G1450" i="4"/>
  <c r="H1450" i="4" s="1"/>
  <c r="K1449" i="4"/>
  <c r="G1449" i="4"/>
  <c r="H1449" i="4" s="1"/>
  <c r="K1448" i="4"/>
  <c r="G1448" i="4"/>
  <c r="H1448" i="4" s="1"/>
  <c r="K1447" i="4"/>
  <c r="G1447" i="4"/>
  <c r="H1447" i="4" s="1"/>
  <c r="K1446" i="4"/>
  <c r="G1446" i="4"/>
  <c r="H1446" i="4" s="1"/>
  <c r="K1445" i="4"/>
  <c r="G1445" i="4"/>
  <c r="H1445" i="4" s="1"/>
  <c r="K1444" i="4"/>
  <c r="G1444" i="4"/>
  <c r="H1444" i="4" s="1"/>
  <c r="N1444" i="4" s="1"/>
  <c r="K1443" i="4"/>
  <c r="G1443" i="4"/>
  <c r="H1443" i="4" s="1"/>
  <c r="K1442" i="4"/>
  <c r="G1442" i="4"/>
  <c r="H1442" i="4" s="1"/>
  <c r="K1441" i="4"/>
  <c r="G1441" i="4"/>
  <c r="H1441" i="4" s="1"/>
  <c r="N1441" i="4" s="1"/>
  <c r="K1440" i="4"/>
  <c r="G1440" i="4"/>
  <c r="H1440" i="4" s="1"/>
  <c r="K1439" i="4"/>
  <c r="G1439" i="4"/>
  <c r="H1439" i="4" s="1"/>
  <c r="K1438" i="4"/>
  <c r="G1438" i="4"/>
  <c r="H1438" i="4" s="1"/>
  <c r="K1437" i="4"/>
  <c r="G1437" i="4"/>
  <c r="H1437" i="4" s="1"/>
  <c r="K1436" i="4"/>
  <c r="G1436" i="4"/>
  <c r="H1436" i="4" s="1"/>
  <c r="K1435" i="4"/>
  <c r="G1435" i="4"/>
  <c r="H1435" i="4" s="1"/>
  <c r="M1435" i="4" s="1"/>
  <c r="K1434" i="4"/>
  <c r="G1434" i="4"/>
  <c r="H1434" i="4" s="1"/>
  <c r="K1433" i="4"/>
  <c r="G1433" i="4"/>
  <c r="H1433" i="4" s="1"/>
  <c r="K1432" i="4"/>
  <c r="G1432" i="4"/>
  <c r="H1432" i="4" s="1"/>
  <c r="K1431" i="4"/>
  <c r="G1431" i="4"/>
  <c r="H1431" i="4" s="1"/>
  <c r="M1431" i="4" s="1"/>
  <c r="K1430" i="4"/>
  <c r="G1430" i="4"/>
  <c r="H1430" i="4" s="1"/>
  <c r="K1429" i="4"/>
  <c r="G1429" i="4"/>
  <c r="H1429" i="4" s="1"/>
  <c r="K1428" i="4"/>
  <c r="G1428" i="4"/>
  <c r="H1428" i="4" s="1"/>
  <c r="M1428" i="4" s="1"/>
  <c r="K1427" i="4"/>
  <c r="G1427" i="4"/>
  <c r="H1427" i="4" s="1"/>
  <c r="K1426" i="4"/>
  <c r="G1426" i="4"/>
  <c r="H1426" i="4" s="1"/>
  <c r="N1426" i="4" s="1"/>
  <c r="K1425" i="4"/>
  <c r="G1425" i="4"/>
  <c r="H1425" i="4" s="1"/>
  <c r="K1424" i="4"/>
  <c r="G1424" i="4"/>
  <c r="H1424" i="4" s="1"/>
  <c r="K1423" i="4"/>
  <c r="G1423" i="4"/>
  <c r="H1423" i="4" s="1"/>
  <c r="K1422" i="4"/>
  <c r="G1422" i="4"/>
  <c r="H1422" i="4" s="1"/>
  <c r="K1421" i="4"/>
  <c r="G1421" i="4"/>
  <c r="H1421" i="4" s="1"/>
  <c r="K1420" i="4"/>
  <c r="G1420" i="4"/>
  <c r="H1420" i="4" s="1"/>
  <c r="N1420" i="4" s="1"/>
  <c r="K1419" i="4"/>
  <c r="G1419" i="4"/>
  <c r="H1419" i="4" s="1"/>
  <c r="K1418" i="4"/>
  <c r="G1418" i="4"/>
  <c r="H1418" i="4" s="1"/>
  <c r="N1418" i="4" s="1"/>
  <c r="K1417" i="4"/>
  <c r="G1417" i="4"/>
  <c r="H1417" i="4" s="1"/>
  <c r="N1417" i="4" s="1"/>
  <c r="K1416" i="4"/>
  <c r="G1416" i="4"/>
  <c r="H1416" i="4" s="1"/>
  <c r="K1415" i="4"/>
  <c r="G1415" i="4"/>
  <c r="H1415" i="4" s="1"/>
  <c r="K1414" i="4"/>
  <c r="G1414" i="4"/>
  <c r="H1414" i="4" s="1"/>
  <c r="K1413" i="4"/>
  <c r="G1413" i="4"/>
  <c r="H1413" i="4" s="1"/>
  <c r="M1413" i="4" s="1"/>
  <c r="K1412" i="4"/>
  <c r="G1412" i="4"/>
  <c r="H1412" i="4" s="1"/>
  <c r="K1411" i="4"/>
  <c r="G1411" i="4"/>
  <c r="H1411" i="4" s="1"/>
  <c r="K1410" i="4"/>
  <c r="G1410" i="4"/>
  <c r="H1410" i="4" s="1"/>
  <c r="K1409" i="4"/>
  <c r="G1409" i="4"/>
  <c r="H1409" i="4" s="1"/>
  <c r="K1408" i="4"/>
  <c r="G1408" i="4"/>
  <c r="H1408" i="4" s="1"/>
  <c r="K1407" i="4"/>
  <c r="G1407" i="4"/>
  <c r="H1407" i="4" s="1"/>
  <c r="K1406" i="4"/>
  <c r="G1406" i="4"/>
  <c r="H1406" i="4" s="1"/>
  <c r="N1406" i="4" s="1"/>
  <c r="K1405" i="4"/>
  <c r="G1405" i="4"/>
  <c r="H1405" i="4" s="1"/>
  <c r="M1405" i="4" s="1"/>
  <c r="K1404" i="4"/>
  <c r="G1404" i="4"/>
  <c r="H1404" i="4" s="1"/>
  <c r="K1403" i="4"/>
  <c r="G1403" i="4"/>
  <c r="H1403" i="4" s="1"/>
  <c r="K1402" i="4"/>
  <c r="G1402" i="4"/>
  <c r="H1402" i="4" s="1"/>
  <c r="K1401" i="4"/>
  <c r="G1401" i="4"/>
  <c r="H1401" i="4" s="1"/>
  <c r="K1400" i="4"/>
  <c r="G1400" i="4"/>
  <c r="H1400" i="4" s="1"/>
  <c r="K1399" i="4"/>
  <c r="G1399" i="4"/>
  <c r="H1399" i="4" s="1"/>
  <c r="K1398" i="4"/>
  <c r="G1398" i="4"/>
  <c r="H1398" i="4" s="1"/>
  <c r="K1397" i="4"/>
  <c r="G1397" i="4"/>
  <c r="H1397" i="4" s="1"/>
  <c r="M1397" i="4" s="1"/>
  <c r="K1396" i="4"/>
  <c r="G1396" i="4"/>
  <c r="H1396" i="4" s="1"/>
  <c r="K1395" i="4"/>
  <c r="G1395" i="4"/>
  <c r="H1395" i="4" s="1"/>
  <c r="K1394" i="4"/>
  <c r="G1394" i="4"/>
  <c r="H1394" i="4" s="1"/>
  <c r="K1393" i="4"/>
  <c r="G1393" i="4"/>
  <c r="H1393" i="4" s="1"/>
  <c r="K1392" i="4"/>
  <c r="G1392" i="4"/>
  <c r="H1392" i="4" s="1"/>
  <c r="K1391" i="4"/>
  <c r="G1391" i="4"/>
  <c r="H1391" i="4" s="1"/>
  <c r="K1390" i="4"/>
  <c r="G1390" i="4"/>
  <c r="H1390" i="4" s="1"/>
  <c r="K1389" i="4"/>
  <c r="G1389" i="4"/>
  <c r="H1389" i="4" s="1"/>
  <c r="N1389" i="4" s="1"/>
  <c r="K1388" i="4"/>
  <c r="G1388" i="4"/>
  <c r="H1388" i="4" s="1"/>
  <c r="K1387" i="4"/>
  <c r="G1387" i="4"/>
  <c r="H1387" i="4" s="1"/>
  <c r="K1386" i="4"/>
  <c r="G1386" i="4"/>
  <c r="H1386" i="4" s="1"/>
  <c r="K1385" i="4"/>
  <c r="G1385" i="4"/>
  <c r="H1385" i="4" s="1"/>
  <c r="K1384" i="4"/>
  <c r="G1384" i="4"/>
  <c r="H1384" i="4" s="1"/>
  <c r="M1384" i="4" s="1"/>
  <c r="K1383" i="4"/>
  <c r="G1383" i="4"/>
  <c r="H1383" i="4" s="1"/>
  <c r="N1383" i="4" s="1"/>
  <c r="K1382" i="4"/>
  <c r="G1382" i="4"/>
  <c r="H1382" i="4" s="1"/>
  <c r="K1381" i="4"/>
  <c r="G1381" i="4"/>
  <c r="H1381" i="4" s="1"/>
  <c r="M1381" i="4" s="1"/>
  <c r="K1380" i="4"/>
  <c r="G1380" i="4"/>
  <c r="H1380" i="4" s="1"/>
  <c r="N1380" i="4" s="1"/>
  <c r="K1379" i="4"/>
  <c r="G1379" i="4"/>
  <c r="H1379" i="4" s="1"/>
  <c r="K1378" i="4"/>
  <c r="G1378" i="4"/>
  <c r="H1378" i="4" s="1"/>
  <c r="N1378" i="4" s="1"/>
  <c r="K1377" i="4"/>
  <c r="G1377" i="4"/>
  <c r="H1377" i="4" s="1"/>
  <c r="N1377" i="4" s="1"/>
  <c r="K1376" i="4"/>
  <c r="G1376" i="4"/>
  <c r="H1376" i="4" s="1"/>
  <c r="K1375" i="4"/>
  <c r="G1375" i="4"/>
  <c r="H1375" i="4" s="1"/>
  <c r="K1374" i="4"/>
  <c r="G1374" i="4"/>
  <c r="H1374" i="4" s="1"/>
  <c r="N1374" i="4" s="1"/>
  <c r="K1373" i="4"/>
  <c r="G1373" i="4"/>
  <c r="H1373" i="4" s="1"/>
  <c r="K1372" i="4"/>
  <c r="G1372" i="4"/>
  <c r="H1372" i="4" s="1"/>
  <c r="N1372" i="4" s="1"/>
  <c r="K1371" i="4"/>
  <c r="G1371" i="4"/>
  <c r="H1371" i="4" s="1"/>
  <c r="K1370" i="4"/>
  <c r="G1370" i="4"/>
  <c r="H1370" i="4" s="1"/>
  <c r="K1369" i="4"/>
  <c r="G1369" i="4"/>
  <c r="H1369" i="4" s="1"/>
  <c r="M1369" i="4" s="1"/>
  <c r="K1368" i="4"/>
  <c r="G1368" i="4"/>
  <c r="H1368" i="4" s="1"/>
  <c r="K1367" i="4"/>
  <c r="G1367" i="4"/>
  <c r="H1367" i="4" s="1"/>
  <c r="K1366" i="4"/>
  <c r="G1366" i="4"/>
  <c r="H1366" i="4" s="1"/>
  <c r="M1366" i="4" s="1"/>
  <c r="K1365" i="4"/>
  <c r="G1365" i="4"/>
  <c r="H1365" i="4" s="1"/>
  <c r="K1364" i="4"/>
  <c r="G1364" i="4"/>
  <c r="H1364" i="4" s="1"/>
  <c r="K1363" i="4"/>
  <c r="G1363" i="4"/>
  <c r="H1363" i="4" s="1"/>
  <c r="K1362" i="4"/>
  <c r="G1362" i="4"/>
  <c r="H1362" i="4" s="1"/>
  <c r="K1361" i="4"/>
  <c r="G1361" i="4"/>
  <c r="H1361" i="4" s="1"/>
  <c r="K1360" i="4"/>
  <c r="G1360" i="4"/>
  <c r="H1360" i="4" s="1"/>
  <c r="N1360" i="4" s="1"/>
  <c r="K1359" i="4"/>
  <c r="G1359" i="4"/>
  <c r="H1359" i="4" s="1"/>
  <c r="K1358" i="4"/>
  <c r="G1358" i="4"/>
  <c r="H1358" i="4" s="1"/>
  <c r="M1358" i="4" s="1"/>
  <c r="K1357" i="4"/>
  <c r="G1357" i="4"/>
  <c r="H1357" i="4" s="1"/>
  <c r="N1357" i="4" s="1"/>
  <c r="K1356" i="4"/>
  <c r="G1356" i="4"/>
  <c r="H1356" i="4" s="1"/>
  <c r="K1355" i="4"/>
  <c r="G1355" i="4"/>
  <c r="H1355" i="4" s="1"/>
  <c r="K1354" i="4"/>
  <c r="G1354" i="4"/>
  <c r="H1354" i="4" s="1"/>
  <c r="K1353" i="4"/>
  <c r="G1353" i="4"/>
  <c r="H1353" i="4" s="1"/>
  <c r="M1353" i="4" s="1"/>
  <c r="K1352" i="4"/>
  <c r="G1352" i="4"/>
  <c r="H1352" i="4" s="1"/>
  <c r="K1351" i="4"/>
  <c r="G1351" i="4"/>
  <c r="H1351" i="4" s="1"/>
  <c r="N1351" i="4" s="1"/>
  <c r="K1350" i="4"/>
  <c r="G1350" i="4"/>
  <c r="H1350" i="4" s="1"/>
  <c r="K1349" i="4"/>
  <c r="G1349" i="4"/>
  <c r="H1349" i="4" s="1"/>
  <c r="N1349" i="4" s="1"/>
  <c r="K1348" i="4"/>
  <c r="G1348" i="4"/>
  <c r="H1348" i="4" s="1"/>
  <c r="K1347" i="4"/>
  <c r="G1347" i="4"/>
  <c r="H1347" i="4" s="1"/>
  <c r="M1347" i="4" s="1"/>
  <c r="K1346" i="4"/>
  <c r="G1346" i="4"/>
  <c r="H1346" i="4" s="1"/>
  <c r="N1346" i="4" s="1"/>
  <c r="K1345" i="4"/>
  <c r="G1345" i="4"/>
  <c r="H1345" i="4" s="1"/>
  <c r="K1344" i="4"/>
  <c r="G1344" i="4"/>
  <c r="H1344" i="4" s="1"/>
  <c r="M1344" i="4" s="1"/>
  <c r="K1343" i="4"/>
  <c r="G1343" i="4"/>
  <c r="H1343" i="4" s="1"/>
  <c r="K1342" i="4"/>
  <c r="G1342" i="4"/>
  <c r="H1342" i="4" s="1"/>
  <c r="K1341" i="4"/>
  <c r="G1341" i="4"/>
  <c r="H1341" i="4" s="1"/>
  <c r="N1341" i="4" s="1"/>
  <c r="K1340" i="4"/>
  <c r="G1340" i="4"/>
  <c r="H1340" i="4" s="1"/>
  <c r="K1339" i="4"/>
  <c r="G1339" i="4"/>
  <c r="H1339" i="4" s="1"/>
  <c r="K1338" i="4"/>
  <c r="G1338" i="4"/>
  <c r="H1338" i="4" s="1"/>
  <c r="K1337" i="4"/>
  <c r="G1337" i="4"/>
  <c r="H1337" i="4" s="1"/>
  <c r="K1336" i="4"/>
  <c r="G1336" i="4"/>
  <c r="H1336" i="4" s="1"/>
  <c r="M1336" i="4" s="1"/>
  <c r="K1335" i="4"/>
  <c r="G1335" i="4"/>
  <c r="H1335" i="4" s="1"/>
  <c r="K1334" i="4"/>
  <c r="G1334" i="4"/>
  <c r="H1334" i="4" s="1"/>
  <c r="K1333" i="4"/>
  <c r="G1333" i="4"/>
  <c r="H1333" i="4" s="1"/>
  <c r="K1332" i="4"/>
  <c r="G1332" i="4"/>
  <c r="H1332" i="4" s="1"/>
  <c r="K1331" i="4"/>
  <c r="G1331" i="4"/>
  <c r="H1331" i="4" s="1"/>
  <c r="K1330" i="4"/>
  <c r="G1330" i="4"/>
  <c r="H1330" i="4" s="1"/>
  <c r="K1329" i="4"/>
  <c r="G1329" i="4"/>
  <c r="H1329" i="4" s="1"/>
  <c r="M1329" i="4" s="1"/>
  <c r="K1328" i="4"/>
  <c r="G1328" i="4"/>
  <c r="H1328" i="4" s="1"/>
  <c r="K1327" i="4"/>
  <c r="G1327" i="4"/>
  <c r="H1327" i="4" s="1"/>
  <c r="K1326" i="4"/>
  <c r="G1326" i="4"/>
  <c r="H1326" i="4" s="1"/>
  <c r="K1325" i="4"/>
  <c r="G1325" i="4"/>
  <c r="H1325" i="4" s="1"/>
  <c r="M1325" i="4" s="1"/>
  <c r="K1324" i="4"/>
  <c r="G1324" i="4"/>
  <c r="H1324" i="4" s="1"/>
  <c r="N1324" i="4" s="1"/>
  <c r="K1323" i="4"/>
  <c r="G1323" i="4"/>
  <c r="H1323" i="4" s="1"/>
  <c r="N1323" i="4" s="1"/>
  <c r="K1322" i="4"/>
  <c r="G1322" i="4"/>
  <c r="H1322" i="4" s="1"/>
  <c r="K1321" i="4"/>
  <c r="G1321" i="4"/>
  <c r="H1321" i="4" s="1"/>
  <c r="K1320" i="4"/>
  <c r="G1320" i="4"/>
  <c r="H1320" i="4" s="1"/>
  <c r="K1319" i="4"/>
  <c r="G1319" i="4"/>
  <c r="H1319" i="4" s="1"/>
  <c r="K1318" i="4"/>
  <c r="G1318" i="4"/>
  <c r="H1318" i="4" s="1"/>
  <c r="K1317" i="4"/>
  <c r="G1317" i="4"/>
  <c r="H1317" i="4" s="1"/>
  <c r="K1316" i="4"/>
  <c r="G1316" i="4"/>
  <c r="H1316" i="4" s="1"/>
  <c r="K1315" i="4"/>
  <c r="G1315" i="4"/>
  <c r="H1315" i="4" s="1"/>
  <c r="K1314" i="4"/>
  <c r="G1314" i="4"/>
  <c r="H1314" i="4" s="1"/>
  <c r="K1313" i="4"/>
  <c r="G1313" i="4"/>
  <c r="H1313" i="4" s="1"/>
  <c r="K1312" i="4"/>
  <c r="G1312" i="4"/>
  <c r="H1312" i="4" s="1"/>
  <c r="K1311" i="4"/>
  <c r="G1311" i="4"/>
  <c r="H1311" i="4" s="1"/>
  <c r="K1310" i="4"/>
  <c r="G1310" i="4"/>
  <c r="H1310" i="4" s="1"/>
  <c r="M1310" i="4" s="1"/>
  <c r="K1309" i="4"/>
  <c r="G1309" i="4"/>
  <c r="H1309" i="4" s="1"/>
  <c r="N1309" i="4" s="1"/>
  <c r="K1308" i="4"/>
  <c r="G1308" i="4"/>
  <c r="H1308" i="4" s="1"/>
  <c r="K1307" i="4"/>
  <c r="G1307" i="4"/>
  <c r="H1307" i="4" s="1"/>
  <c r="K1306" i="4"/>
  <c r="G1306" i="4"/>
  <c r="H1306" i="4" s="1"/>
  <c r="N1306" i="4" s="1"/>
  <c r="K1305" i="4"/>
  <c r="G1305" i="4"/>
  <c r="H1305" i="4" s="1"/>
  <c r="K1304" i="4"/>
  <c r="G1304" i="4"/>
  <c r="H1304" i="4" s="1"/>
  <c r="M1304" i="4" s="1"/>
  <c r="K1303" i="4"/>
  <c r="G1303" i="4"/>
  <c r="H1303" i="4" s="1"/>
  <c r="K1302" i="4"/>
  <c r="G1302" i="4"/>
  <c r="H1302" i="4" s="1"/>
  <c r="K1301" i="4"/>
  <c r="G1301" i="4"/>
  <c r="H1301" i="4" s="1"/>
  <c r="M1301" i="4" s="1"/>
  <c r="K1300" i="4"/>
  <c r="G1300" i="4"/>
  <c r="H1300" i="4" s="1"/>
  <c r="K1299" i="4"/>
  <c r="G1299" i="4"/>
  <c r="H1299" i="4" s="1"/>
  <c r="K1298" i="4"/>
  <c r="G1298" i="4"/>
  <c r="H1298" i="4" s="1"/>
  <c r="M1298" i="4" s="1"/>
  <c r="K1297" i="4"/>
  <c r="G1297" i="4"/>
  <c r="H1297" i="4" s="1"/>
  <c r="K1296" i="4"/>
  <c r="G1296" i="4"/>
  <c r="H1296" i="4" s="1"/>
  <c r="K1295" i="4"/>
  <c r="G1295" i="4"/>
  <c r="H1295" i="4" s="1"/>
  <c r="K1294" i="4"/>
  <c r="G1294" i="4"/>
  <c r="H1294" i="4" s="1"/>
  <c r="K1293" i="4"/>
  <c r="G1293" i="4"/>
  <c r="H1293" i="4" s="1"/>
  <c r="M1293" i="4" s="1"/>
  <c r="K1292" i="4"/>
  <c r="G1292" i="4"/>
  <c r="H1292" i="4" s="1"/>
  <c r="K1291" i="4"/>
  <c r="G1291" i="4"/>
  <c r="H1291" i="4" s="1"/>
  <c r="K1290" i="4"/>
  <c r="G1290" i="4"/>
  <c r="H1290" i="4" s="1"/>
  <c r="K1289" i="4"/>
  <c r="G1289" i="4"/>
  <c r="H1289" i="4" s="1"/>
  <c r="N1289" i="4" s="1"/>
  <c r="K1288" i="4"/>
  <c r="G1288" i="4"/>
  <c r="H1288" i="4" s="1"/>
  <c r="K1287" i="4"/>
  <c r="G1287" i="4"/>
  <c r="H1287" i="4" s="1"/>
  <c r="K1286" i="4"/>
  <c r="G1286" i="4"/>
  <c r="H1286" i="4" s="1"/>
  <c r="K1285" i="4"/>
  <c r="G1285" i="4"/>
  <c r="H1285" i="4" s="1"/>
  <c r="K1284" i="4"/>
  <c r="G1284" i="4"/>
  <c r="H1284" i="4" s="1"/>
  <c r="M1284" i="4" s="1"/>
  <c r="K1283" i="4"/>
  <c r="G1283" i="4"/>
  <c r="H1283" i="4" s="1"/>
  <c r="K1282" i="4"/>
  <c r="G1282" i="4"/>
  <c r="H1282" i="4" s="1"/>
  <c r="K1281" i="4"/>
  <c r="G1281" i="4"/>
  <c r="H1281" i="4" s="1"/>
  <c r="K1280" i="4"/>
  <c r="G1280" i="4"/>
  <c r="H1280" i="4" s="1"/>
  <c r="K1279" i="4"/>
  <c r="G1279" i="4"/>
  <c r="H1279" i="4" s="1"/>
  <c r="K1278" i="4"/>
  <c r="G1278" i="4"/>
  <c r="H1278" i="4" s="1"/>
  <c r="M1278" i="4" s="1"/>
  <c r="K1277" i="4"/>
  <c r="G1277" i="4"/>
  <c r="H1277" i="4" s="1"/>
  <c r="N1277" i="4" s="1"/>
  <c r="K1276" i="4"/>
  <c r="G1276" i="4"/>
  <c r="H1276" i="4" s="1"/>
  <c r="K1275" i="4"/>
  <c r="G1275" i="4"/>
  <c r="H1275" i="4" s="1"/>
  <c r="M1275" i="4" s="1"/>
  <c r="K1274" i="4"/>
  <c r="G1274" i="4"/>
  <c r="H1274" i="4" s="1"/>
  <c r="K1273" i="4"/>
  <c r="G1273" i="4"/>
  <c r="H1273" i="4" s="1"/>
  <c r="K1272" i="4"/>
  <c r="G1272" i="4"/>
  <c r="H1272" i="4" s="1"/>
  <c r="N1272" i="4" s="1"/>
  <c r="K1271" i="4"/>
  <c r="G1271" i="4"/>
  <c r="H1271" i="4" s="1"/>
  <c r="K1270" i="4"/>
  <c r="G1270" i="4"/>
  <c r="H1270" i="4" s="1"/>
  <c r="K1269" i="4"/>
  <c r="G1269" i="4"/>
  <c r="H1269" i="4" s="1"/>
  <c r="K1268" i="4"/>
  <c r="G1268" i="4"/>
  <c r="H1268" i="4" s="1"/>
  <c r="K1267" i="4"/>
  <c r="G1267" i="4"/>
  <c r="H1267" i="4" s="1"/>
  <c r="K1266" i="4"/>
  <c r="G1266" i="4"/>
  <c r="H1266" i="4" s="1"/>
  <c r="K1265" i="4"/>
  <c r="G1265" i="4"/>
  <c r="H1265" i="4" s="1"/>
  <c r="M1265" i="4" s="1"/>
  <c r="K1264" i="4"/>
  <c r="G1264" i="4"/>
  <c r="H1264" i="4" s="1"/>
  <c r="K1263" i="4"/>
  <c r="G1263" i="4"/>
  <c r="H1263" i="4" s="1"/>
  <c r="K1262" i="4"/>
  <c r="G1262" i="4"/>
  <c r="H1262" i="4" s="1"/>
  <c r="K1261" i="4"/>
  <c r="G1261" i="4"/>
  <c r="H1261" i="4" s="1"/>
  <c r="K1260" i="4"/>
  <c r="G1260" i="4"/>
  <c r="H1260" i="4" s="1"/>
  <c r="K1259" i="4"/>
  <c r="G1259" i="4"/>
  <c r="H1259" i="4" s="1"/>
  <c r="K1258" i="4"/>
  <c r="G1258" i="4"/>
  <c r="H1258" i="4" s="1"/>
  <c r="K1257" i="4"/>
  <c r="G1257" i="4"/>
  <c r="H1257" i="4" s="1"/>
  <c r="K1256" i="4"/>
  <c r="G1256" i="4"/>
  <c r="H1256" i="4" s="1"/>
  <c r="K1255" i="4"/>
  <c r="G1255" i="4"/>
  <c r="H1255" i="4" s="1"/>
  <c r="K1254" i="4"/>
  <c r="G1254" i="4"/>
  <c r="H1254" i="4" s="1"/>
  <c r="K1253" i="4"/>
  <c r="G1253" i="4"/>
  <c r="H1253" i="4" s="1"/>
  <c r="K1252" i="4"/>
  <c r="G1252" i="4"/>
  <c r="H1252" i="4" s="1"/>
  <c r="M1252" i="4" s="1"/>
  <c r="K1251" i="4"/>
  <c r="G1251" i="4"/>
  <c r="H1251" i="4" s="1"/>
  <c r="N1251" i="4" s="1"/>
  <c r="K1250" i="4"/>
  <c r="G1250" i="4"/>
  <c r="H1250" i="4" s="1"/>
  <c r="K1249" i="4"/>
  <c r="G1249" i="4"/>
  <c r="H1249" i="4" s="1"/>
  <c r="M1249" i="4" s="1"/>
  <c r="K1248" i="4"/>
  <c r="G1248" i="4"/>
  <c r="H1248" i="4" s="1"/>
  <c r="N1248" i="4" s="1"/>
  <c r="K1247" i="4"/>
  <c r="G1247" i="4"/>
  <c r="H1247" i="4" s="1"/>
  <c r="K1246" i="4"/>
  <c r="G1246" i="4"/>
  <c r="H1246" i="4" s="1"/>
  <c r="K1245" i="4"/>
  <c r="G1245" i="4"/>
  <c r="H1245" i="4" s="1"/>
  <c r="K1244" i="4"/>
  <c r="G1244" i="4"/>
  <c r="H1244" i="4" s="1"/>
  <c r="K1243" i="4"/>
  <c r="G1243" i="4"/>
  <c r="H1243" i="4" s="1"/>
  <c r="M1243" i="4" s="1"/>
  <c r="K1242" i="4"/>
  <c r="G1242" i="4"/>
  <c r="H1242" i="4" s="1"/>
  <c r="K1241" i="4"/>
  <c r="G1241" i="4"/>
  <c r="H1241" i="4" s="1"/>
  <c r="K1240" i="4"/>
  <c r="G1240" i="4"/>
  <c r="H1240" i="4" s="1"/>
  <c r="K1239" i="4"/>
  <c r="G1239" i="4"/>
  <c r="H1239" i="4" s="1"/>
  <c r="K1238" i="4"/>
  <c r="G1238" i="4"/>
  <c r="H1238" i="4" s="1"/>
  <c r="K1237" i="4"/>
  <c r="G1237" i="4"/>
  <c r="H1237" i="4" s="1"/>
  <c r="K1236" i="4"/>
  <c r="G1236" i="4"/>
  <c r="H1236" i="4" s="1"/>
  <c r="K1235" i="4"/>
  <c r="G1235" i="4"/>
  <c r="H1235" i="4" s="1"/>
  <c r="K1234" i="4"/>
  <c r="G1234" i="4"/>
  <c r="H1234" i="4" s="1"/>
  <c r="M1234" i="4" s="1"/>
  <c r="K1233" i="4"/>
  <c r="G1233" i="4"/>
  <c r="H1233" i="4" s="1"/>
  <c r="K1232" i="4"/>
  <c r="G1232" i="4"/>
  <c r="H1232" i="4" s="1"/>
  <c r="K1231" i="4"/>
  <c r="G1231" i="4"/>
  <c r="H1231" i="4" s="1"/>
  <c r="K1230" i="4"/>
  <c r="G1230" i="4"/>
  <c r="H1230" i="4" s="1"/>
  <c r="K1229" i="4"/>
  <c r="G1229" i="4"/>
  <c r="H1229" i="4" s="1"/>
  <c r="M1229" i="4" s="1"/>
  <c r="K1228" i="4"/>
  <c r="G1228" i="4"/>
  <c r="H1228" i="4" s="1"/>
  <c r="M1228" i="4" s="1"/>
  <c r="K1227" i="4"/>
  <c r="G1227" i="4"/>
  <c r="H1227" i="4" s="1"/>
  <c r="K1226" i="4"/>
  <c r="G1226" i="4"/>
  <c r="H1226" i="4" s="1"/>
  <c r="M1226" i="4" s="1"/>
  <c r="K1225" i="4"/>
  <c r="G1225" i="4"/>
  <c r="H1225" i="4" s="1"/>
  <c r="K1224" i="4"/>
  <c r="G1224" i="4"/>
  <c r="H1224" i="4" s="1"/>
  <c r="K1223" i="4"/>
  <c r="G1223" i="4"/>
  <c r="H1223" i="4" s="1"/>
  <c r="K1222" i="4"/>
  <c r="G1222" i="4"/>
  <c r="H1222" i="4" s="1"/>
  <c r="K1221" i="4"/>
  <c r="G1221" i="4"/>
  <c r="H1221" i="4" s="1"/>
  <c r="K1220" i="4"/>
  <c r="G1220" i="4"/>
  <c r="H1220" i="4" s="1"/>
  <c r="M1220" i="4" s="1"/>
  <c r="K1219" i="4"/>
  <c r="G1219" i="4"/>
  <c r="H1219" i="4" s="1"/>
  <c r="K1218" i="4"/>
  <c r="G1218" i="4"/>
  <c r="H1218" i="4" s="1"/>
  <c r="K1217" i="4"/>
  <c r="G1217" i="4"/>
  <c r="H1217" i="4" s="1"/>
  <c r="K1216" i="4"/>
  <c r="G1216" i="4"/>
  <c r="H1216" i="4" s="1"/>
  <c r="N1216" i="4" s="1"/>
  <c r="K1215" i="4"/>
  <c r="G1215" i="4"/>
  <c r="H1215" i="4" s="1"/>
  <c r="K1214" i="4"/>
  <c r="G1214" i="4"/>
  <c r="H1214" i="4" s="1"/>
  <c r="K1213" i="4"/>
  <c r="G1213" i="4"/>
  <c r="H1213" i="4" s="1"/>
  <c r="K1212" i="4"/>
  <c r="G1212" i="4"/>
  <c r="H1212" i="4" s="1"/>
  <c r="K1211" i="4"/>
  <c r="G1211" i="4"/>
  <c r="H1211" i="4" s="1"/>
  <c r="M1211" i="4" s="1"/>
  <c r="K1210" i="4"/>
  <c r="G1210" i="4"/>
  <c r="H1210" i="4" s="1"/>
  <c r="K1209" i="4"/>
  <c r="G1209" i="4"/>
  <c r="H1209" i="4" s="1"/>
  <c r="K1208" i="4"/>
  <c r="G1208" i="4"/>
  <c r="H1208" i="4" s="1"/>
  <c r="N1208" i="4" s="1"/>
  <c r="K1207" i="4"/>
  <c r="G1207" i="4"/>
  <c r="H1207" i="4" s="1"/>
  <c r="K1206" i="4"/>
  <c r="G1206" i="4"/>
  <c r="H1206" i="4" s="1"/>
  <c r="K1205" i="4"/>
  <c r="G1205" i="4"/>
  <c r="H1205" i="4" s="1"/>
  <c r="K1204" i="4"/>
  <c r="G1204" i="4"/>
  <c r="H1204" i="4" s="1"/>
  <c r="K1203" i="4"/>
  <c r="G1203" i="4"/>
  <c r="H1203" i="4" s="1"/>
  <c r="K1202" i="4"/>
  <c r="G1202" i="4"/>
  <c r="H1202" i="4" s="1"/>
  <c r="N1202" i="4" s="1"/>
  <c r="K1201" i="4"/>
  <c r="G1201" i="4"/>
  <c r="H1201" i="4" s="1"/>
  <c r="M1201" i="4" s="1"/>
  <c r="K1200" i="4"/>
  <c r="G1200" i="4"/>
  <c r="H1200" i="4" s="1"/>
  <c r="K1199" i="4"/>
  <c r="G1199" i="4"/>
  <c r="H1199" i="4" s="1"/>
  <c r="K1198" i="4"/>
  <c r="G1198" i="4"/>
  <c r="H1198" i="4" s="1"/>
  <c r="K1197" i="4"/>
  <c r="G1197" i="4"/>
  <c r="H1197" i="4" s="1"/>
  <c r="K1196" i="4"/>
  <c r="G1196" i="4"/>
  <c r="H1196" i="4" s="1"/>
  <c r="N1196" i="4" s="1"/>
  <c r="K1195" i="4"/>
  <c r="G1195" i="4"/>
  <c r="H1195" i="4" s="1"/>
  <c r="K1194" i="4"/>
  <c r="G1194" i="4"/>
  <c r="H1194" i="4" s="1"/>
  <c r="K1193" i="4"/>
  <c r="G1193" i="4"/>
  <c r="H1193" i="4" s="1"/>
  <c r="N1193" i="4" s="1"/>
  <c r="K1192" i="4"/>
  <c r="G1192" i="4"/>
  <c r="H1192" i="4" s="1"/>
  <c r="K1191" i="4"/>
  <c r="G1191" i="4"/>
  <c r="H1191" i="4" s="1"/>
  <c r="K1190" i="4"/>
  <c r="G1190" i="4"/>
  <c r="H1190" i="4" s="1"/>
  <c r="K1189" i="4"/>
  <c r="G1189" i="4"/>
  <c r="H1189" i="4" s="1"/>
  <c r="N1189" i="4" s="1"/>
  <c r="K1188" i="4"/>
  <c r="G1188" i="4"/>
  <c r="H1188" i="4" s="1"/>
  <c r="K1187" i="4"/>
  <c r="G1187" i="4"/>
  <c r="H1187" i="4" s="1"/>
  <c r="N1187" i="4" s="1"/>
  <c r="K1186" i="4"/>
  <c r="G1186" i="4"/>
  <c r="H1186" i="4" s="1"/>
  <c r="K1185" i="4"/>
  <c r="G1185" i="4"/>
  <c r="H1185" i="4" s="1"/>
  <c r="K1184" i="4"/>
  <c r="G1184" i="4"/>
  <c r="H1184" i="4" s="1"/>
  <c r="K1183" i="4"/>
  <c r="G1183" i="4"/>
  <c r="H1183" i="4" s="1"/>
  <c r="K1182" i="4"/>
  <c r="G1182" i="4"/>
  <c r="H1182" i="4" s="1"/>
  <c r="K1181" i="4"/>
  <c r="G1181" i="4"/>
  <c r="H1181" i="4" s="1"/>
  <c r="K1180" i="4"/>
  <c r="G1180" i="4"/>
  <c r="H1180" i="4" s="1"/>
  <c r="K1179" i="4"/>
  <c r="G1179" i="4"/>
  <c r="H1179" i="4" s="1"/>
  <c r="K1178" i="4"/>
  <c r="G1178" i="4"/>
  <c r="H1178" i="4" s="1"/>
  <c r="K1177" i="4"/>
  <c r="G1177" i="4"/>
  <c r="H1177" i="4" s="1"/>
  <c r="K1176" i="4"/>
  <c r="G1176" i="4"/>
  <c r="H1176" i="4" s="1"/>
  <c r="K1175" i="4"/>
  <c r="G1175" i="4"/>
  <c r="H1175" i="4" s="1"/>
  <c r="N1175" i="4" s="1"/>
  <c r="K1174" i="4"/>
  <c r="G1174" i="4"/>
  <c r="H1174" i="4" s="1"/>
  <c r="K1173" i="4"/>
  <c r="G1173" i="4"/>
  <c r="H1173" i="4" s="1"/>
  <c r="K1172" i="4"/>
  <c r="G1172" i="4"/>
  <c r="H1172" i="4" s="1"/>
  <c r="K1171" i="4"/>
  <c r="G1171" i="4"/>
  <c r="H1171" i="4" s="1"/>
  <c r="K1170" i="4"/>
  <c r="G1170" i="4"/>
  <c r="H1170" i="4" s="1"/>
  <c r="K1169" i="4"/>
  <c r="G1169" i="4"/>
  <c r="H1169" i="4" s="1"/>
  <c r="K1168" i="4"/>
  <c r="G1168" i="4"/>
  <c r="H1168" i="4" s="1"/>
  <c r="K1167" i="4"/>
  <c r="G1167" i="4"/>
  <c r="H1167" i="4" s="1"/>
  <c r="N1167" i="4" s="1"/>
  <c r="K1166" i="4"/>
  <c r="G1166" i="4"/>
  <c r="H1166" i="4" s="1"/>
  <c r="K1165" i="4"/>
  <c r="G1165" i="4"/>
  <c r="H1165" i="4" s="1"/>
  <c r="K1164" i="4"/>
  <c r="G1164" i="4"/>
  <c r="H1164" i="4" s="1"/>
  <c r="N1164" i="4" s="1"/>
  <c r="K1163" i="4"/>
  <c r="G1163" i="4"/>
  <c r="H1163" i="4" s="1"/>
  <c r="K1162" i="4"/>
  <c r="G1162" i="4"/>
  <c r="H1162" i="4" s="1"/>
  <c r="M1162" i="4" s="1"/>
  <c r="K1161" i="4"/>
  <c r="G1161" i="4"/>
  <c r="H1161" i="4" s="1"/>
  <c r="K1160" i="4"/>
  <c r="G1160" i="4"/>
  <c r="H1160" i="4" s="1"/>
  <c r="K1159" i="4"/>
  <c r="G1159" i="4"/>
  <c r="H1159" i="4" s="1"/>
  <c r="M1159" i="4" s="1"/>
  <c r="K1158" i="4"/>
  <c r="G1158" i="4"/>
  <c r="H1158" i="4" s="1"/>
  <c r="K1157" i="4"/>
  <c r="G1157" i="4"/>
  <c r="H1157" i="4" s="1"/>
  <c r="K1156" i="4"/>
  <c r="G1156" i="4"/>
  <c r="H1156" i="4" s="1"/>
  <c r="K1155" i="4"/>
  <c r="G1155" i="4"/>
  <c r="H1155" i="4" s="1"/>
  <c r="N1155" i="4" s="1"/>
  <c r="K1154" i="4"/>
  <c r="G1154" i="4"/>
  <c r="H1154" i="4" s="1"/>
  <c r="K1153" i="4"/>
  <c r="G1153" i="4"/>
  <c r="H1153" i="4" s="1"/>
  <c r="K1152" i="4"/>
  <c r="G1152" i="4"/>
  <c r="H1152" i="4" s="1"/>
  <c r="K1151" i="4"/>
  <c r="G1151" i="4"/>
  <c r="H1151" i="4" s="1"/>
  <c r="M1151" i="4" s="1"/>
  <c r="K1150" i="4"/>
  <c r="G1150" i="4"/>
  <c r="H1150" i="4" s="1"/>
  <c r="K1149" i="4"/>
  <c r="G1149" i="4"/>
  <c r="H1149" i="4" s="1"/>
  <c r="K1148" i="4"/>
  <c r="G1148" i="4"/>
  <c r="H1148" i="4" s="1"/>
  <c r="M1148" i="4" s="1"/>
  <c r="K1147" i="4"/>
  <c r="G1147" i="4"/>
  <c r="H1147" i="4" s="1"/>
  <c r="K1146" i="4"/>
  <c r="G1146" i="4"/>
  <c r="H1146" i="4" s="1"/>
  <c r="K1145" i="4"/>
  <c r="G1145" i="4"/>
  <c r="H1145" i="4" s="1"/>
  <c r="K1144" i="4"/>
  <c r="G1144" i="4"/>
  <c r="H1144" i="4" s="1"/>
  <c r="K1143" i="4"/>
  <c r="G1143" i="4"/>
  <c r="H1143" i="4" s="1"/>
  <c r="M1143" i="4" s="1"/>
  <c r="K1142" i="4"/>
  <c r="G1142" i="4"/>
  <c r="H1142" i="4" s="1"/>
  <c r="K1141" i="4"/>
  <c r="G1141" i="4"/>
  <c r="H1141" i="4" s="1"/>
  <c r="K1140" i="4"/>
  <c r="G1140" i="4"/>
  <c r="H1140" i="4" s="1"/>
  <c r="K1139" i="4"/>
  <c r="G1139" i="4"/>
  <c r="H1139" i="4" s="1"/>
  <c r="N1139" i="4" s="1"/>
  <c r="K1138" i="4"/>
  <c r="G1138" i="4"/>
  <c r="H1138" i="4" s="1"/>
  <c r="K1137" i="4"/>
  <c r="G1137" i="4"/>
  <c r="H1137" i="4" s="1"/>
  <c r="K1136" i="4"/>
  <c r="G1136" i="4"/>
  <c r="H1136" i="4" s="1"/>
  <c r="K1135" i="4"/>
  <c r="G1135" i="4"/>
  <c r="H1135" i="4" s="1"/>
  <c r="K1134" i="4"/>
  <c r="G1134" i="4"/>
  <c r="H1134" i="4" s="1"/>
  <c r="K1133" i="4"/>
  <c r="G1133" i="4"/>
  <c r="H1133" i="4" s="1"/>
  <c r="K1132" i="4"/>
  <c r="G1132" i="4"/>
  <c r="H1132" i="4" s="1"/>
  <c r="K1131" i="4"/>
  <c r="G1131" i="4"/>
  <c r="H1131" i="4" s="1"/>
  <c r="N1131" i="4" s="1"/>
  <c r="K1130" i="4"/>
  <c r="G1130" i="4"/>
  <c r="H1130" i="4" s="1"/>
  <c r="K1129" i="4"/>
  <c r="G1129" i="4"/>
  <c r="H1129" i="4" s="1"/>
  <c r="K1128" i="4"/>
  <c r="G1128" i="4"/>
  <c r="H1128" i="4" s="1"/>
  <c r="K1127" i="4"/>
  <c r="G1127" i="4"/>
  <c r="H1127" i="4" s="1"/>
  <c r="K1126" i="4"/>
  <c r="G1126" i="4"/>
  <c r="H1126" i="4" s="1"/>
  <c r="N1126" i="4" s="1"/>
  <c r="K1125" i="4"/>
  <c r="G1125" i="4"/>
  <c r="H1125" i="4" s="1"/>
  <c r="K1124" i="4"/>
  <c r="G1124" i="4"/>
  <c r="H1124" i="4" s="1"/>
  <c r="M1124" i="4" s="1"/>
  <c r="K1123" i="4"/>
  <c r="G1123" i="4"/>
  <c r="H1123" i="4" s="1"/>
  <c r="M1123" i="4" s="1"/>
  <c r="K1122" i="4"/>
  <c r="G1122" i="4"/>
  <c r="H1122" i="4" s="1"/>
  <c r="K1121" i="4"/>
  <c r="G1121" i="4"/>
  <c r="H1121" i="4" s="1"/>
  <c r="K1120" i="4"/>
  <c r="G1120" i="4"/>
  <c r="H1120" i="4" s="1"/>
  <c r="M1120" i="4" s="1"/>
  <c r="K1119" i="4"/>
  <c r="G1119" i="4"/>
  <c r="H1119" i="4" s="1"/>
  <c r="N1119" i="4" s="1"/>
  <c r="K1118" i="4"/>
  <c r="G1118" i="4"/>
  <c r="H1118" i="4" s="1"/>
  <c r="N1118" i="4" s="1"/>
  <c r="K1117" i="4"/>
  <c r="G1117" i="4"/>
  <c r="H1117" i="4" s="1"/>
  <c r="K1116" i="4"/>
  <c r="G1116" i="4"/>
  <c r="H1116" i="4" s="1"/>
  <c r="K1115" i="4"/>
  <c r="G1115" i="4"/>
  <c r="H1115" i="4" s="1"/>
  <c r="N1115" i="4" s="1"/>
  <c r="K1114" i="4"/>
  <c r="G1114" i="4"/>
  <c r="H1114" i="4" s="1"/>
  <c r="N1114" i="4" s="1"/>
  <c r="K1113" i="4"/>
  <c r="G1113" i="4"/>
  <c r="H1113" i="4" s="1"/>
  <c r="K1112" i="4"/>
  <c r="G1112" i="4"/>
  <c r="H1112" i="4" s="1"/>
  <c r="N1112" i="4" s="1"/>
  <c r="K1111" i="4"/>
  <c r="G1111" i="4"/>
  <c r="H1111" i="4" s="1"/>
  <c r="K1110" i="4"/>
  <c r="G1110" i="4"/>
  <c r="H1110" i="4" s="1"/>
  <c r="K1109" i="4"/>
  <c r="G1109" i="4"/>
  <c r="H1109" i="4" s="1"/>
  <c r="N1109" i="4" s="1"/>
  <c r="K1108" i="4"/>
  <c r="G1108" i="4"/>
  <c r="H1108" i="4" s="1"/>
  <c r="K1107" i="4"/>
  <c r="G1107" i="4"/>
  <c r="H1107" i="4" s="1"/>
  <c r="K1106" i="4"/>
  <c r="G1106" i="4"/>
  <c r="H1106" i="4" s="1"/>
  <c r="K1105" i="4"/>
  <c r="G1105" i="4"/>
  <c r="H1105" i="4" s="1"/>
  <c r="N1105" i="4" s="1"/>
  <c r="K1104" i="4"/>
  <c r="G1104" i="4"/>
  <c r="H1104" i="4" s="1"/>
  <c r="K1103" i="4"/>
  <c r="G1103" i="4"/>
  <c r="H1103" i="4" s="1"/>
  <c r="M1103" i="4" s="1"/>
  <c r="K1102" i="4"/>
  <c r="G1102" i="4"/>
  <c r="H1102" i="4" s="1"/>
  <c r="K1101" i="4"/>
  <c r="G1101" i="4"/>
  <c r="H1101" i="4" s="1"/>
  <c r="K1100" i="4"/>
  <c r="G1100" i="4"/>
  <c r="H1100" i="4" s="1"/>
  <c r="K1099" i="4"/>
  <c r="G1099" i="4"/>
  <c r="H1099" i="4" s="1"/>
  <c r="K1098" i="4"/>
  <c r="G1098" i="4"/>
  <c r="H1098" i="4" s="1"/>
  <c r="K1097" i="4"/>
  <c r="G1097" i="4"/>
  <c r="H1097" i="4" s="1"/>
  <c r="K1096" i="4"/>
  <c r="G1096" i="4"/>
  <c r="H1096" i="4" s="1"/>
  <c r="K1095" i="4"/>
  <c r="G1095" i="4"/>
  <c r="H1095" i="4" s="1"/>
  <c r="K1094" i="4"/>
  <c r="G1094" i="4"/>
  <c r="H1094" i="4" s="1"/>
  <c r="K1093" i="4"/>
  <c r="G1093" i="4"/>
  <c r="H1093" i="4" s="1"/>
  <c r="N1093" i="4" s="1"/>
  <c r="K1092" i="4"/>
  <c r="G1092" i="4"/>
  <c r="H1092" i="4" s="1"/>
  <c r="K1091" i="4"/>
  <c r="G1091" i="4"/>
  <c r="H1091" i="4" s="1"/>
  <c r="N1091" i="4" s="1"/>
  <c r="K1090" i="4"/>
  <c r="G1090" i="4"/>
  <c r="H1090" i="4" s="1"/>
  <c r="K1089" i="4"/>
  <c r="G1089" i="4"/>
  <c r="H1089" i="4" s="1"/>
  <c r="K1088" i="4"/>
  <c r="G1088" i="4"/>
  <c r="H1088" i="4" s="1"/>
  <c r="K1087" i="4"/>
  <c r="G1087" i="4"/>
  <c r="H1087" i="4" s="1"/>
  <c r="N1087" i="4" s="1"/>
  <c r="K1086" i="4"/>
  <c r="G1086" i="4"/>
  <c r="H1086" i="4" s="1"/>
  <c r="K1085" i="4"/>
  <c r="G1085" i="4"/>
  <c r="H1085" i="4" s="1"/>
  <c r="K1084" i="4"/>
  <c r="G1084" i="4"/>
  <c r="H1084" i="4" s="1"/>
  <c r="K1083" i="4"/>
  <c r="G1083" i="4"/>
  <c r="H1083" i="4" s="1"/>
  <c r="K1082" i="4"/>
  <c r="G1082" i="4"/>
  <c r="H1082" i="4" s="1"/>
  <c r="K1081" i="4"/>
  <c r="G1081" i="4"/>
  <c r="H1081" i="4" s="1"/>
  <c r="K1080" i="4"/>
  <c r="G1080" i="4"/>
  <c r="H1080" i="4" s="1"/>
  <c r="M1080" i="4" s="1"/>
  <c r="K1079" i="4"/>
  <c r="G1079" i="4"/>
  <c r="H1079" i="4" s="1"/>
  <c r="N1079" i="4" s="1"/>
  <c r="K1078" i="4"/>
  <c r="G1078" i="4"/>
  <c r="H1078" i="4" s="1"/>
  <c r="K1077" i="4"/>
  <c r="G1077" i="4"/>
  <c r="H1077" i="4" s="1"/>
  <c r="K1076" i="4"/>
  <c r="G1076" i="4"/>
  <c r="H1076" i="4" s="1"/>
  <c r="K1075" i="4"/>
  <c r="G1075" i="4"/>
  <c r="H1075" i="4" s="1"/>
  <c r="M1075" i="4" s="1"/>
  <c r="K1074" i="4"/>
  <c r="G1074" i="4"/>
  <c r="H1074" i="4" s="1"/>
  <c r="K1073" i="4"/>
  <c r="G1073" i="4"/>
  <c r="H1073" i="4" s="1"/>
  <c r="K1072" i="4"/>
  <c r="G1072" i="4"/>
  <c r="H1072" i="4" s="1"/>
  <c r="K1071" i="4"/>
  <c r="G1071" i="4"/>
  <c r="H1071" i="4" s="1"/>
  <c r="M1071" i="4" s="1"/>
  <c r="K1070" i="4"/>
  <c r="G1070" i="4"/>
  <c r="H1070" i="4" s="1"/>
  <c r="K1069" i="4"/>
  <c r="G1069" i="4"/>
  <c r="H1069" i="4" s="1"/>
  <c r="N1069" i="4" s="1"/>
  <c r="K1068" i="4"/>
  <c r="G1068" i="4"/>
  <c r="H1068" i="4" s="1"/>
  <c r="K1067" i="4"/>
  <c r="G1067" i="4"/>
  <c r="H1067" i="4" s="1"/>
  <c r="K1066" i="4"/>
  <c r="G1066" i="4"/>
  <c r="H1066" i="4" s="1"/>
  <c r="K1065" i="4"/>
  <c r="G1065" i="4"/>
  <c r="H1065" i="4" s="1"/>
  <c r="K1064" i="4"/>
  <c r="G1064" i="4"/>
  <c r="H1064" i="4" s="1"/>
  <c r="K1063" i="4"/>
  <c r="G1063" i="4"/>
  <c r="H1063" i="4" s="1"/>
  <c r="K1062" i="4"/>
  <c r="G1062" i="4"/>
  <c r="H1062" i="4" s="1"/>
  <c r="K1061" i="4"/>
  <c r="G1061" i="4"/>
  <c r="H1061" i="4" s="1"/>
  <c r="N1061" i="4" s="1"/>
  <c r="K1060" i="4"/>
  <c r="G1060" i="4"/>
  <c r="H1060" i="4" s="1"/>
  <c r="K1059" i="4"/>
  <c r="G1059" i="4"/>
  <c r="H1059" i="4" s="1"/>
  <c r="M1059" i="4" s="1"/>
  <c r="K1058" i="4"/>
  <c r="G1058" i="4"/>
  <c r="H1058" i="4" s="1"/>
  <c r="N1058" i="4" s="1"/>
  <c r="K1057" i="4"/>
  <c r="G1057" i="4"/>
  <c r="H1057" i="4" s="1"/>
  <c r="K1056" i="4"/>
  <c r="G1056" i="4"/>
  <c r="H1056" i="4" s="1"/>
  <c r="K1055" i="4"/>
  <c r="G1055" i="4"/>
  <c r="H1055" i="4" s="1"/>
  <c r="N1055" i="4" s="1"/>
  <c r="K1054" i="4"/>
  <c r="G1054" i="4"/>
  <c r="H1054" i="4" s="1"/>
  <c r="K1053" i="4"/>
  <c r="G1053" i="4"/>
  <c r="H1053" i="4" s="1"/>
  <c r="M1053" i="4" s="1"/>
  <c r="K1052" i="4"/>
  <c r="G1052" i="4"/>
  <c r="H1052" i="4" s="1"/>
  <c r="K1051" i="4"/>
  <c r="G1051" i="4"/>
  <c r="H1051" i="4" s="1"/>
  <c r="K1050" i="4"/>
  <c r="G1050" i="4"/>
  <c r="H1050" i="4" s="1"/>
  <c r="K1049" i="4"/>
  <c r="G1049" i="4"/>
  <c r="H1049" i="4" s="1"/>
  <c r="K1048" i="4"/>
  <c r="G1048" i="4"/>
  <c r="H1048" i="4" s="1"/>
  <c r="K1047" i="4"/>
  <c r="G1047" i="4"/>
  <c r="H1047" i="4" s="1"/>
  <c r="K1046" i="4"/>
  <c r="G1046" i="4"/>
  <c r="H1046" i="4" s="1"/>
  <c r="K1045" i="4"/>
  <c r="G1045" i="4"/>
  <c r="H1045" i="4" s="1"/>
  <c r="K1044" i="4"/>
  <c r="G1044" i="4"/>
  <c r="H1044" i="4" s="1"/>
  <c r="K1043" i="4"/>
  <c r="G1043" i="4"/>
  <c r="H1043" i="4" s="1"/>
  <c r="K1042" i="4"/>
  <c r="G1042" i="4"/>
  <c r="H1042" i="4" s="1"/>
  <c r="K1041" i="4"/>
  <c r="G1041" i="4"/>
  <c r="H1041" i="4" s="1"/>
  <c r="K1040" i="4"/>
  <c r="G1040" i="4"/>
  <c r="H1040" i="4" s="1"/>
  <c r="K1039" i="4"/>
  <c r="G1039" i="4"/>
  <c r="H1039" i="4" s="1"/>
  <c r="K1038" i="4"/>
  <c r="G1038" i="4"/>
  <c r="H1038" i="4" s="1"/>
  <c r="M1038" i="4" s="1"/>
  <c r="K1037" i="4"/>
  <c r="G1037" i="4"/>
  <c r="H1037" i="4" s="1"/>
  <c r="K1036" i="4"/>
  <c r="G1036" i="4"/>
  <c r="H1036" i="4" s="1"/>
  <c r="K1035" i="4"/>
  <c r="G1035" i="4"/>
  <c r="H1035" i="4" s="1"/>
  <c r="K1034" i="4"/>
  <c r="G1034" i="4"/>
  <c r="H1034" i="4" s="1"/>
  <c r="K1033" i="4"/>
  <c r="G1033" i="4"/>
  <c r="H1033" i="4" s="1"/>
  <c r="N1033" i="4" s="1"/>
  <c r="K1032" i="4"/>
  <c r="G1032" i="4"/>
  <c r="H1032" i="4" s="1"/>
  <c r="K1031" i="4"/>
  <c r="G1031" i="4"/>
  <c r="H1031" i="4" s="1"/>
  <c r="K1030" i="4"/>
  <c r="G1030" i="4"/>
  <c r="H1030" i="4" s="1"/>
  <c r="N1030" i="4" s="1"/>
  <c r="K1029" i="4"/>
  <c r="G1029" i="4"/>
  <c r="H1029" i="4" s="1"/>
  <c r="N1029" i="4" s="1"/>
  <c r="K1028" i="4"/>
  <c r="G1028" i="4"/>
  <c r="H1028" i="4" s="1"/>
  <c r="K1027" i="4"/>
  <c r="G1027" i="4"/>
  <c r="H1027" i="4" s="1"/>
  <c r="M1027" i="4" s="1"/>
  <c r="K1026" i="4"/>
  <c r="G1026" i="4"/>
  <c r="H1026" i="4" s="1"/>
  <c r="K1025" i="4"/>
  <c r="G1025" i="4"/>
  <c r="H1025" i="4" s="1"/>
  <c r="K1024" i="4"/>
  <c r="G1024" i="4"/>
  <c r="H1024" i="4" s="1"/>
  <c r="K1023" i="4"/>
  <c r="G1023" i="4"/>
  <c r="H1023" i="4" s="1"/>
  <c r="N1023" i="4" s="1"/>
  <c r="K1022" i="4"/>
  <c r="G1022" i="4"/>
  <c r="H1022" i="4" s="1"/>
  <c r="K1021" i="4"/>
  <c r="G1021" i="4"/>
  <c r="H1021" i="4" s="1"/>
  <c r="K1020" i="4"/>
  <c r="G1020" i="4"/>
  <c r="H1020" i="4" s="1"/>
  <c r="K1019" i="4"/>
  <c r="G1019" i="4"/>
  <c r="H1019" i="4" s="1"/>
  <c r="K1018" i="4"/>
  <c r="G1018" i="4"/>
  <c r="H1018" i="4" s="1"/>
  <c r="K1017" i="4"/>
  <c r="G1017" i="4"/>
  <c r="H1017" i="4" s="1"/>
  <c r="K1016" i="4"/>
  <c r="G1016" i="4"/>
  <c r="H1016" i="4" s="1"/>
  <c r="K1015" i="4"/>
  <c r="G1015" i="4"/>
  <c r="H1015" i="4" s="1"/>
  <c r="N1015" i="4" s="1"/>
  <c r="K1014" i="4"/>
  <c r="G1014" i="4"/>
  <c r="H1014" i="4" s="1"/>
  <c r="K1013" i="4"/>
  <c r="G1013" i="4"/>
  <c r="H1013" i="4" s="1"/>
  <c r="K1012" i="4"/>
  <c r="G1012" i="4"/>
  <c r="H1012" i="4" s="1"/>
  <c r="K1011" i="4"/>
  <c r="G1011" i="4"/>
  <c r="H1011" i="4" s="1"/>
  <c r="K1010" i="4"/>
  <c r="G1010" i="4"/>
  <c r="H1010" i="4" s="1"/>
  <c r="N1010" i="4" s="1"/>
  <c r="K1009" i="4"/>
  <c r="G1009" i="4"/>
  <c r="H1009" i="4" s="1"/>
  <c r="K1008" i="4"/>
  <c r="G1008" i="4"/>
  <c r="H1008" i="4" s="1"/>
  <c r="K1007" i="4"/>
  <c r="G1007" i="4"/>
  <c r="H1007" i="4" s="1"/>
  <c r="K1006" i="4"/>
  <c r="G1006" i="4"/>
  <c r="H1006" i="4" s="1"/>
  <c r="M1006" i="4" s="1"/>
  <c r="K1005" i="4"/>
  <c r="G1005" i="4"/>
  <c r="H1005" i="4" s="1"/>
  <c r="K1004" i="4"/>
  <c r="G1004" i="4"/>
  <c r="H1004" i="4" s="1"/>
  <c r="K1003" i="4"/>
  <c r="G1003" i="4"/>
  <c r="H1003" i="4" s="1"/>
  <c r="N1003" i="4" s="1"/>
  <c r="K1002" i="4"/>
  <c r="G1002" i="4"/>
  <c r="H1002" i="4" s="1"/>
  <c r="K1001" i="4"/>
  <c r="G1001" i="4"/>
  <c r="H1001" i="4" s="1"/>
  <c r="M1001" i="4" s="1"/>
  <c r="K1000" i="4"/>
  <c r="G1000" i="4"/>
  <c r="H1000" i="4" s="1"/>
  <c r="K999" i="4"/>
  <c r="G999" i="4"/>
  <c r="H999" i="4" s="1"/>
  <c r="K998" i="4"/>
  <c r="G998" i="4"/>
  <c r="H998" i="4" s="1"/>
  <c r="N998" i="4" s="1"/>
  <c r="K997" i="4"/>
  <c r="G997" i="4"/>
  <c r="H997" i="4" s="1"/>
  <c r="K996" i="4"/>
  <c r="G996" i="4"/>
  <c r="H996" i="4" s="1"/>
  <c r="K995" i="4"/>
  <c r="G995" i="4"/>
  <c r="H995" i="4" s="1"/>
  <c r="M995" i="4" s="1"/>
  <c r="K994" i="4"/>
  <c r="G994" i="4"/>
  <c r="H994" i="4" s="1"/>
  <c r="N994" i="4" s="1"/>
  <c r="K993" i="4"/>
  <c r="G993" i="4"/>
  <c r="H993" i="4" s="1"/>
  <c r="K992" i="4"/>
  <c r="G992" i="4"/>
  <c r="H992" i="4" s="1"/>
  <c r="M992" i="4" s="1"/>
  <c r="K991" i="4"/>
  <c r="G991" i="4"/>
  <c r="H991" i="4" s="1"/>
  <c r="K990" i="4"/>
  <c r="G990" i="4"/>
  <c r="H990" i="4" s="1"/>
  <c r="K989" i="4"/>
  <c r="G989" i="4"/>
  <c r="H989" i="4" s="1"/>
  <c r="K988" i="4"/>
  <c r="G988" i="4"/>
  <c r="H988" i="4" s="1"/>
  <c r="K987" i="4"/>
  <c r="G987" i="4"/>
  <c r="H987" i="4" s="1"/>
  <c r="K986" i="4"/>
  <c r="G986" i="4"/>
  <c r="H986" i="4" s="1"/>
  <c r="K985" i="4"/>
  <c r="G985" i="4"/>
  <c r="H985" i="4" s="1"/>
  <c r="K984" i="4"/>
  <c r="G984" i="4"/>
  <c r="H984" i="4" s="1"/>
  <c r="K983" i="4"/>
  <c r="G983" i="4"/>
  <c r="H983" i="4" s="1"/>
  <c r="N983" i="4" s="1"/>
  <c r="K982" i="4"/>
  <c r="G982" i="4"/>
  <c r="H982" i="4" s="1"/>
  <c r="K981" i="4"/>
  <c r="G981" i="4"/>
  <c r="H981" i="4" s="1"/>
  <c r="K980" i="4"/>
  <c r="G980" i="4"/>
  <c r="H980" i="4" s="1"/>
  <c r="N980" i="4" s="1"/>
  <c r="K979" i="4"/>
  <c r="G979" i="4"/>
  <c r="H979" i="4" s="1"/>
  <c r="K978" i="4"/>
  <c r="G978" i="4"/>
  <c r="H978" i="4" s="1"/>
  <c r="M978" i="4" s="1"/>
  <c r="K977" i="4"/>
  <c r="G977" i="4"/>
  <c r="H977" i="4" s="1"/>
  <c r="K976" i="4"/>
  <c r="G976" i="4"/>
  <c r="H976" i="4" s="1"/>
  <c r="K975" i="4"/>
  <c r="G975" i="4"/>
  <c r="H975" i="4" s="1"/>
  <c r="K974" i="4"/>
  <c r="G974" i="4"/>
  <c r="H974" i="4" s="1"/>
  <c r="K973" i="4"/>
  <c r="G973" i="4"/>
  <c r="H973" i="4" s="1"/>
  <c r="K972" i="4"/>
  <c r="G972" i="4"/>
  <c r="H972" i="4" s="1"/>
  <c r="K971" i="4"/>
  <c r="G971" i="4"/>
  <c r="H971" i="4" s="1"/>
  <c r="K970" i="4"/>
  <c r="G970" i="4"/>
  <c r="H970" i="4" s="1"/>
  <c r="K969" i="4"/>
  <c r="G969" i="4"/>
  <c r="H969" i="4" s="1"/>
  <c r="K968" i="4"/>
  <c r="G968" i="4"/>
  <c r="H968" i="4" s="1"/>
  <c r="K967" i="4"/>
  <c r="G967" i="4"/>
  <c r="H967" i="4" s="1"/>
  <c r="K966" i="4"/>
  <c r="G966" i="4"/>
  <c r="H966" i="4" s="1"/>
  <c r="K965" i="4"/>
  <c r="G965" i="4"/>
  <c r="H965" i="4" s="1"/>
  <c r="K964" i="4"/>
  <c r="G964" i="4"/>
  <c r="H964" i="4" s="1"/>
  <c r="K963" i="4"/>
  <c r="G963" i="4"/>
  <c r="H963" i="4" s="1"/>
  <c r="M963" i="4" s="1"/>
  <c r="K962" i="4"/>
  <c r="G962" i="4"/>
  <c r="H962" i="4" s="1"/>
  <c r="K961" i="4"/>
  <c r="G961" i="4"/>
  <c r="H961" i="4" s="1"/>
  <c r="K960" i="4"/>
  <c r="G960" i="4"/>
  <c r="H960" i="4" s="1"/>
  <c r="M960" i="4" s="1"/>
  <c r="K959" i="4"/>
  <c r="G959" i="4"/>
  <c r="H959" i="4" s="1"/>
  <c r="K958" i="4"/>
  <c r="G958" i="4"/>
  <c r="H958" i="4" s="1"/>
  <c r="K957" i="4"/>
  <c r="G957" i="4"/>
  <c r="H957" i="4" s="1"/>
  <c r="K956" i="4"/>
  <c r="G956" i="4"/>
  <c r="H956" i="4" s="1"/>
  <c r="K955" i="4"/>
  <c r="G955" i="4"/>
  <c r="H955" i="4" s="1"/>
  <c r="K954" i="4"/>
  <c r="G954" i="4"/>
  <c r="H954" i="4" s="1"/>
  <c r="M954" i="4" s="1"/>
  <c r="K953" i="4"/>
  <c r="G953" i="4"/>
  <c r="H953" i="4" s="1"/>
  <c r="K952" i="4"/>
  <c r="G952" i="4"/>
  <c r="H952" i="4" s="1"/>
  <c r="K951" i="4"/>
  <c r="G951" i="4"/>
  <c r="H951" i="4" s="1"/>
  <c r="K950" i="4"/>
  <c r="G950" i="4"/>
  <c r="H950" i="4" s="1"/>
  <c r="K949" i="4"/>
  <c r="G949" i="4"/>
  <c r="H949" i="4" s="1"/>
  <c r="K948" i="4"/>
  <c r="G948" i="4"/>
  <c r="H948" i="4" s="1"/>
  <c r="K947" i="4"/>
  <c r="G947" i="4"/>
  <c r="H947" i="4" s="1"/>
  <c r="K946" i="4"/>
  <c r="G946" i="4"/>
  <c r="H946" i="4" s="1"/>
  <c r="K945" i="4"/>
  <c r="G945" i="4"/>
  <c r="H945" i="4" s="1"/>
  <c r="K944" i="4"/>
  <c r="G944" i="4"/>
  <c r="H944" i="4" s="1"/>
  <c r="K943" i="4"/>
  <c r="G943" i="4"/>
  <c r="H943" i="4" s="1"/>
  <c r="K942" i="4"/>
  <c r="G942" i="4"/>
  <c r="H942" i="4" s="1"/>
  <c r="N942" i="4" s="1"/>
  <c r="K941" i="4"/>
  <c r="G941" i="4"/>
  <c r="H941" i="4" s="1"/>
  <c r="K940" i="4"/>
  <c r="G940" i="4"/>
  <c r="H940" i="4" s="1"/>
  <c r="K939" i="4"/>
  <c r="G939" i="4"/>
  <c r="H939" i="4" s="1"/>
  <c r="K938" i="4"/>
  <c r="G938" i="4"/>
  <c r="H938" i="4" s="1"/>
  <c r="K937" i="4"/>
  <c r="G937" i="4"/>
  <c r="H937" i="4" s="1"/>
  <c r="K936" i="4"/>
  <c r="G936" i="4"/>
  <c r="H936" i="4" s="1"/>
  <c r="K935" i="4"/>
  <c r="G935" i="4"/>
  <c r="H935" i="4" s="1"/>
  <c r="K934" i="4"/>
  <c r="G934" i="4"/>
  <c r="H934" i="4" s="1"/>
  <c r="N934" i="4" s="1"/>
  <c r="K933" i="4"/>
  <c r="G933" i="4"/>
  <c r="H933" i="4" s="1"/>
  <c r="K932" i="4"/>
  <c r="G932" i="4"/>
  <c r="H932" i="4" s="1"/>
  <c r="K931" i="4"/>
  <c r="G931" i="4"/>
  <c r="H931" i="4" s="1"/>
  <c r="K930" i="4"/>
  <c r="G930" i="4"/>
  <c r="H930" i="4" s="1"/>
  <c r="N930" i="4" s="1"/>
  <c r="K929" i="4"/>
  <c r="G929" i="4"/>
  <c r="H929" i="4" s="1"/>
  <c r="K928" i="4"/>
  <c r="G928" i="4"/>
  <c r="H928" i="4" s="1"/>
  <c r="K927" i="4"/>
  <c r="G927" i="4"/>
  <c r="H927" i="4" s="1"/>
  <c r="K926" i="4"/>
  <c r="G926" i="4"/>
  <c r="H926" i="4" s="1"/>
  <c r="K925" i="4"/>
  <c r="G925" i="4"/>
  <c r="H925" i="4" s="1"/>
  <c r="K924" i="4"/>
  <c r="G924" i="4"/>
  <c r="H924" i="4" s="1"/>
  <c r="K923" i="4"/>
  <c r="G923" i="4"/>
  <c r="H923" i="4" s="1"/>
  <c r="K922" i="4"/>
  <c r="G922" i="4"/>
  <c r="H922" i="4" s="1"/>
  <c r="M922" i="4" s="1"/>
  <c r="K921" i="4"/>
  <c r="G921" i="4"/>
  <c r="H921" i="4" s="1"/>
  <c r="K920" i="4"/>
  <c r="G920" i="4"/>
  <c r="H920" i="4" s="1"/>
  <c r="K919" i="4"/>
  <c r="G919" i="4"/>
  <c r="H919" i="4" s="1"/>
  <c r="K918" i="4"/>
  <c r="G918" i="4"/>
  <c r="H918" i="4" s="1"/>
  <c r="K917" i="4"/>
  <c r="G917" i="4"/>
  <c r="H917" i="4" s="1"/>
  <c r="K916" i="4"/>
  <c r="G916" i="4"/>
  <c r="H916" i="4" s="1"/>
  <c r="K915" i="4"/>
  <c r="G915" i="4"/>
  <c r="H915" i="4" s="1"/>
  <c r="K914" i="4"/>
  <c r="G914" i="4"/>
  <c r="H914" i="4" s="1"/>
  <c r="K913" i="4"/>
  <c r="G913" i="4"/>
  <c r="H913" i="4" s="1"/>
  <c r="K912" i="4"/>
  <c r="G912" i="4"/>
  <c r="H912" i="4" s="1"/>
  <c r="K911" i="4"/>
  <c r="G911" i="4"/>
  <c r="H911" i="4" s="1"/>
  <c r="N911" i="4" s="1"/>
  <c r="K910" i="4"/>
  <c r="G910" i="4"/>
  <c r="H910" i="4" s="1"/>
  <c r="K909" i="4"/>
  <c r="G909" i="4"/>
  <c r="H909" i="4" s="1"/>
  <c r="K908" i="4"/>
  <c r="G908" i="4"/>
  <c r="H908" i="4" s="1"/>
  <c r="K907" i="4"/>
  <c r="G907" i="4"/>
  <c r="H907" i="4" s="1"/>
  <c r="K906" i="4"/>
  <c r="G906" i="4"/>
  <c r="H906" i="4" s="1"/>
  <c r="K905" i="4"/>
  <c r="G905" i="4"/>
  <c r="H905" i="4" s="1"/>
  <c r="K904" i="4"/>
  <c r="G904" i="4"/>
  <c r="H904" i="4" s="1"/>
  <c r="K903" i="4"/>
  <c r="G903" i="4"/>
  <c r="H903" i="4" s="1"/>
  <c r="K902" i="4"/>
  <c r="G902" i="4"/>
  <c r="H902" i="4" s="1"/>
  <c r="K901" i="4"/>
  <c r="G901" i="4"/>
  <c r="H901" i="4" s="1"/>
  <c r="K900" i="4"/>
  <c r="G900" i="4"/>
  <c r="H900" i="4" s="1"/>
  <c r="K899" i="4"/>
  <c r="G899" i="4"/>
  <c r="H899" i="4" s="1"/>
  <c r="K898" i="4"/>
  <c r="G898" i="4"/>
  <c r="H898" i="4" s="1"/>
  <c r="K897" i="4"/>
  <c r="G897" i="4"/>
  <c r="H897" i="4" s="1"/>
  <c r="K896" i="4"/>
  <c r="G896" i="4"/>
  <c r="H896" i="4" s="1"/>
  <c r="K895" i="4"/>
  <c r="G895" i="4"/>
  <c r="H895" i="4" s="1"/>
  <c r="K894" i="4"/>
  <c r="G894" i="4"/>
  <c r="H894" i="4" s="1"/>
  <c r="N894" i="4" s="1"/>
  <c r="K893" i="4"/>
  <c r="G893" i="4"/>
  <c r="H893" i="4" s="1"/>
  <c r="K892" i="4"/>
  <c r="G892" i="4"/>
  <c r="H892" i="4" s="1"/>
  <c r="K891" i="4"/>
  <c r="G891" i="4"/>
  <c r="H891" i="4" s="1"/>
  <c r="K890" i="4"/>
  <c r="G890" i="4"/>
  <c r="H890" i="4" s="1"/>
  <c r="K889" i="4"/>
  <c r="G889" i="4"/>
  <c r="H889" i="4" s="1"/>
  <c r="K888" i="4"/>
  <c r="G888" i="4"/>
  <c r="H888" i="4" s="1"/>
  <c r="K887" i="4"/>
  <c r="G887" i="4"/>
  <c r="H887" i="4" s="1"/>
  <c r="K886" i="4"/>
  <c r="G886" i="4"/>
  <c r="H886" i="4" s="1"/>
  <c r="K885" i="4"/>
  <c r="G885" i="4"/>
  <c r="H885" i="4" s="1"/>
  <c r="K884" i="4"/>
  <c r="G884" i="4"/>
  <c r="H884" i="4" s="1"/>
  <c r="K883" i="4"/>
  <c r="G883" i="4"/>
  <c r="H883" i="4" s="1"/>
  <c r="M883" i="4" s="1"/>
  <c r="K882" i="4"/>
  <c r="G882" i="4"/>
  <c r="H882" i="4" s="1"/>
  <c r="K881" i="4"/>
  <c r="G881" i="4"/>
  <c r="H881" i="4" s="1"/>
  <c r="K880" i="4"/>
  <c r="G880" i="4"/>
  <c r="H880" i="4" s="1"/>
  <c r="K879" i="4"/>
  <c r="G879" i="4"/>
  <c r="H879" i="4" s="1"/>
  <c r="K878" i="4"/>
  <c r="G878" i="4"/>
  <c r="H878" i="4" s="1"/>
  <c r="M878" i="4" s="1"/>
  <c r="K877" i="4"/>
  <c r="G877" i="4"/>
  <c r="H877" i="4" s="1"/>
  <c r="K876" i="4"/>
  <c r="G876" i="4"/>
  <c r="H876" i="4" s="1"/>
  <c r="K875" i="4"/>
  <c r="G875" i="4"/>
  <c r="H875" i="4" s="1"/>
  <c r="K874" i="4"/>
  <c r="G874" i="4"/>
  <c r="H874" i="4" s="1"/>
  <c r="K873" i="4"/>
  <c r="G873" i="4"/>
  <c r="H873" i="4" s="1"/>
  <c r="K872" i="4"/>
  <c r="G872" i="4"/>
  <c r="H872" i="4" s="1"/>
  <c r="K871" i="4"/>
  <c r="G871" i="4"/>
  <c r="H871" i="4" s="1"/>
  <c r="K870" i="4"/>
  <c r="G870" i="4"/>
  <c r="H870" i="4" s="1"/>
  <c r="K869" i="4"/>
  <c r="G869" i="4"/>
  <c r="H869" i="4" s="1"/>
  <c r="K868" i="4"/>
  <c r="G868" i="4"/>
  <c r="H868" i="4" s="1"/>
  <c r="K867" i="4"/>
  <c r="G867" i="4"/>
  <c r="H867" i="4" s="1"/>
  <c r="M867" i="4" s="1"/>
  <c r="K866" i="4"/>
  <c r="G866" i="4"/>
  <c r="H866" i="4" s="1"/>
  <c r="K865" i="4"/>
  <c r="G865" i="4"/>
  <c r="H865" i="4" s="1"/>
  <c r="K864" i="4"/>
  <c r="G864" i="4"/>
  <c r="H864" i="4" s="1"/>
  <c r="K863" i="4"/>
  <c r="G863" i="4"/>
  <c r="H863" i="4" s="1"/>
  <c r="N863" i="4" s="1"/>
  <c r="K862" i="4"/>
  <c r="G862" i="4"/>
  <c r="H862" i="4" s="1"/>
  <c r="K861" i="4"/>
  <c r="G861" i="4"/>
  <c r="H861" i="4" s="1"/>
  <c r="K860" i="4"/>
  <c r="G860" i="4"/>
  <c r="H860" i="4" s="1"/>
  <c r="K859" i="4"/>
  <c r="G859" i="4"/>
  <c r="H859" i="4" s="1"/>
  <c r="K858" i="4"/>
  <c r="G858" i="4"/>
  <c r="H858" i="4" s="1"/>
  <c r="K857" i="4"/>
  <c r="G857" i="4"/>
  <c r="H857" i="4" s="1"/>
  <c r="K856" i="4"/>
  <c r="G856" i="4"/>
  <c r="H856" i="4" s="1"/>
  <c r="K855" i="4"/>
  <c r="G855" i="4"/>
  <c r="H855" i="4" s="1"/>
  <c r="K854" i="4"/>
  <c r="G854" i="4"/>
  <c r="H854" i="4" s="1"/>
  <c r="K853" i="4"/>
  <c r="G853" i="4"/>
  <c r="H853" i="4" s="1"/>
  <c r="K852" i="4"/>
  <c r="G852" i="4"/>
  <c r="H852" i="4" s="1"/>
  <c r="K851" i="4"/>
  <c r="G851" i="4"/>
  <c r="H851" i="4" s="1"/>
  <c r="K850" i="4"/>
  <c r="G850" i="4"/>
  <c r="H850" i="4" s="1"/>
  <c r="M850" i="4" s="1"/>
  <c r="K849" i="4"/>
  <c r="G849" i="4"/>
  <c r="H849" i="4" s="1"/>
  <c r="K848" i="4"/>
  <c r="G848" i="4"/>
  <c r="H848" i="4" s="1"/>
  <c r="K847" i="4"/>
  <c r="G847" i="4"/>
  <c r="H847" i="4" s="1"/>
  <c r="K846" i="4"/>
  <c r="G846" i="4"/>
  <c r="H846" i="4" s="1"/>
  <c r="N846" i="4" s="1"/>
  <c r="K845" i="4"/>
  <c r="G845" i="4"/>
  <c r="H845" i="4" s="1"/>
  <c r="K844" i="4"/>
  <c r="G844" i="4"/>
  <c r="H844" i="4" s="1"/>
  <c r="K843" i="4"/>
  <c r="G843" i="4"/>
  <c r="H843" i="4" s="1"/>
  <c r="K842" i="4"/>
  <c r="G842" i="4"/>
  <c r="H842" i="4" s="1"/>
  <c r="K841" i="4"/>
  <c r="G841" i="4"/>
  <c r="H841" i="4" s="1"/>
  <c r="K840" i="4"/>
  <c r="G840" i="4"/>
  <c r="H840" i="4" s="1"/>
  <c r="K839" i="4"/>
  <c r="G839" i="4"/>
  <c r="H839" i="4" s="1"/>
  <c r="K838" i="4"/>
  <c r="G838" i="4"/>
  <c r="H838" i="4" s="1"/>
  <c r="N838" i="4" s="1"/>
  <c r="K837" i="4"/>
  <c r="G837" i="4"/>
  <c r="H837" i="4" s="1"/>
  <c r="K836" i="4"/>
  <c r="G836" i="4"/>
  <c r="H836" i="4" s="1"/>
  <c r="K835" i="4"/>
  <c r="G835" i="4"/>
  <c r="H835" i="4" s="1"/>
  <c r="K834" i="4"/>
  <c r="G834" i="4"/>
  <c r="H834" i="4" s="1"/>
  <c r="M834" i="4" s="1"/>
  <c r="K833" i="4"/>
  <c r="G833" i="4"/>
  <c r="H833" i="4" s="1"/>
  <c r="K832" i="4"/>
  <c r="G832" i="4"/>
  <c r="H832" i="4" s="1"/>
  <c r="K831" i="4"/>
  <c r="G831" i="4"/>
  <c r="H831" i="4" s="1"/>
  <c r="K830" i="4"/>
  <c r="G830" i="4"/>
  <c r="H830" i="4" s="1"/>
  <c r="M830" i="4" s="1"/>
  <c r="K829" i="4"/>
  <c r="G829" i="4"/>
  <c r="H829" i="4" s="1"/>
  <c r="K828" i="4"/>
  <c r="G828" i="4"/>
  <c r="H828" i="4" s="1"/>
  <c r="K827" i="4"/>
  <c r="G827" i="4"/>
  <c r="H827" i="4" s="1"/>
  <c r="K826" i="4"/>
  <c r="G826" i="4"/>
  <c r="H826" i="4" s="1"/>
  <c r="K825" i="4"/>
  <c r="G825" i="4"/>
  <c r="H825" i="4" s="1"/>
  <c r="K824" i="4"/>
  <c r="G824" i="4"/>
  <c r="H824" i="4" s="1"/>
  <c r="K823" i="4"/>
  <c r="G823" i="4"/>
  <c r="H823" i="4" s="1"/>
  <c r="K822" i="4"/>
  <c r="G822" i="4"/>
  <c r="H822" i="4" s="1"/>
  <c r="K821" i="4"/>
  <c r="G821" i="4"/>
  <c r="H821" i="4" s="1"/>
  <c r="K820" i="4"/>
  <c r="G820" i="4"/>
  <c r="H820" i="4" s="1"/>
  <c r="M820" i="4" s="1"/>
  <c r="K819" i="4"/>
  <c r="G819" i="4"/>
  <c r="H819" i="4" s="1"/>
  <c r="K818" i="4"/>
  <c r="G818" i="4"/>
  <c r="H818" i="4" s="1"/>
  <c r="K817" i="4"/>
  <c r="G817" i="4"/>
  <c r="H817" i="4" s="1"/>
  <c r="K816" i="4"/>
  <c r="G816" i="4"/>
  <c r="H816" i="4" s="1"/>
  <c r="K815" i="4"/>
  <c r="G815" i="4"/>
  <c r="H815" i="4" s="1"/>
  <c r="K814" i="4"/>
  <c r="G814" i="4"/>
  <c r="H814" i="4" s="1"/>
  <c r="K813" i="4"/>
  <c r="G813" i="4"/>
  <c r="H813" i="4" s="1"/>
  <c r="K812" i="4"/>
  <c r="G812" i="4"/>
  <c r="H812" i="4" s="1"/>
  <c r="K811" i="4"/>
  <c r="G811" i="4"/>
  <c r="H811" i="4" s="1"/>
  <c r="N811" i="4" s="1"/>
  <c r="K810" i="4"/>
  <c r="G810" i="4"/>
  <c r="H810" i="4" s="1"/>
  <c r="K809" i="4"/>
  <c r="G809" i="4"/>
  <c r="H809" i="4" s="1"/>
  <c r="K808" i="4"/>
  <c r="G808" i="4"/>
  <c r="H808" i="4" s="1"/>
  <c r="K807" i="4"/>
  <c r="G807" i="4"/>
  <c r="H807" i="4" s="1"/>
  <c r="K806" i="4"/>
  <c r="G806" i="4"/>
  <c r="H806" i="4" s="1"/>
  <c r="K805" i="4"/>
  <c r="G805" i="4"/>
  <c r="H805" i="4" s="1"/>
  <c r="K804" i="4"/>
  <c r="G804" i="4"/>
  <c r="H804" i="4" s="1"/>
  <c r="M804" i="4" s="1"/>
  <c r="K803" i="4"/>
  <c r="G803" i="4"/>
  <c r="H803" i="4" s="1"/>
  <c r="K802" i="4"/>
  <c r="G802" i="4"/>
  <c r="H802" i="4" s="1"/>
  <c r="M802" i="4" s="1"/>
  <c r="K801" i="4"/>
  <c r="G801" i="4"/>
  <c r="H801" i="4" s="1"/>
  <c r="K800" i="4"/>
  <c r="G800" i="4"/>
  <c r="H800" i="4" s="1"/>
  <c r="K799" i="4"/>
  <c r="G799" i="4"/>
  <c r="H799" i="4" s="1"/>
  <c r="K798" i="4"/>
  <c r="G798" i="4"/>
  <c r="H798" i="4" s="1"/>
  <c r="N798" i="4" s="1"/>
  <c r="K797" i="4"/>
  <c r="G797" i="4"/>
  <c r="H797" i="4" s="1"/>
  <c r="K796" i="4"/>
  <c r="G796" i="4"/>
  <c r="H796" i="4" s="1"/>
  <c r="K795" i="4"/>
  <c r="G795" i="4"/>
  <c r="H795" i="4" s="1"/>
  <c r="M795" i="4" s="1"/>
  <c r="K794" i="4"/>
  <c r="G794" i="4"/>
  <c r="H794" i="4" s="1"/>
  <c r="K793" i="4"/>
  <c r="G793" i="4"/>
  <c r="H793" i="4" s="1"/>
  <c r="K792" i="4"/>
  <c r="G792" i="4"/>
  <c r="H792" i="4" s="1"/>
  <c r="K791" i="4"/>
  <c r="G791" i="4"/>
  <c r="H791" i="4" s="1"/>
  <c r="K790" i="4"/>
  <c r="G790" i="4"/>
  <c r="H790" i="4" s="1"/>
  <c r="K789" i="4"/>
  <c r="G789" i="4"/>
  <c r="H789" i="4" s="1"/>
  <c r="K788" i="4"/>
  <c r="G788" i="4"/>
  <c r="H788" i="4" s="1"/>
  <c r="K787" i="4"/>
  <c r="G787" i="4"/>
  <c r="H787" i="4" s="1"/>
  <c r="K786" i="4"/>
  <c r="G786" i="4"/>
  <c r="H786" i="4" s="1"/>
  <c r="M786" i="4" s="1"/>
  <c r="K785" i="4"/>
  <c r="G785" i="4"/>
  <c r="H785" i="4" s="1"/>
  <c r="K784" i="4"/>
  <c r="G784" i="4"/>
  <c r="H784" i="4" s="1"/>
  <c r="K783" i="4"/>
  <c r="G783" i="4"/>
  <c r="H783" i="4" s="1"/>
  <c r="K782" i="4"/>
  <c r="G782" i="4"/>
  <c r="H782" i="4" s="1"/>
  <c r="K781" i="4"/>
  <c r="G781" i="4"/>
  <c r="H781" i="4" s="1"/>
  <c r="K780" i="4"/>
  <c r="G780" i="4"/>
  <c r="H780" i="4" s="1"/>
  <c r="K779" i="4"/>
  <c r="G779" i="4"/>
  <c r="H779" i="4" s="1"/>
  <c r="K778" i="4"/>
  <c r="G778" i="4"/>
  <c r="H778" i="4" s="1"/>
  <c r="K777" i="4"/>
  <c r="G777" i="4"/>
  <c r="H777" i="4" s="1"/>
  <c r="K776" i="4"/>
  <c r="G776" i="4"/>
  <c r="H776" i="4" s="1"/>
  <c r="K775" i="4"/>
  <c r="G775" i="4"/>
  <c r="H775" i="4" s="1"/>
  <c r="N775" i="4" s="1"/>
  <c r="K774" i="4"/>
  <c r="G774" i="4"/>
  <c r="H774" i="4" s="1"/>
  <c r="K773" i="4"/>
  <c r="G773" i="4"/>
  <c r="H773" i="4" s="1"/>
  <c r="K772" i="4"/>
  <c r="G772" i="4"/>
  <c r="H772" i="4" s="1"/>
  <c r="K771" i="4"/>
  <c r="G771" i="4"/>
  <c r="H771" i="4" s="1"/>
  <c r="K770" i="4"/>
  <c r="G770" i="4"/>
  <c r="H770" i="4" s="1"/>
  <c r="M770" i="4" s="1"/>
  <c r="K769" i="4"/>
  <c r="G769" i="4"/>
  <c r="H769" i="4" s="1"/>
  <c r="K768" i="4"/>
  <c r="G768" i="4"/>
  <c r="H768" i="4" s="1"/>
  <c r="K767" i="4"/>
  <c r="G767" i="4"/>
  <c r="H767" i="4" s="1"/>
  <c r="K766" i="4"/>
  <c r="G766" i="4"/>
  <c r="H766" i="4" s="1"/>
  <c r="N766" i="4" s="1"/>
  <c r="K765" i="4"/>
  <c r="G765" i="4"/>
  <c r="H765" i="4" s="1"/>
  <c r="K764" i="4"/>
  <c r="G764" i="4"/>
  <c r="H764" i="4" s="1"/>
  <c r="K763" i="4"/>
  <c r="G763" i="4"/>
  <c r="H763" i="4" s="1"/>
  <c r="K762" i="4"/>
  <c r="G762" i="4"/>
  <c r="H762" i="4" s="1"/>
  <c r="K761" i="4"/>
  <c r="G761" i="4"/>
  <c r="H761" i="4" s="1"/>
  <c r="K760" i="4"/>
  <c r="G760" i="4"/>
  <c r="H760" i="4" s="1"/>
  <c r="K759" i="4"/>
  <c r="G759" i="4"/>
  <c r="H759" i="4" s="1"/>
  <c r="K758" i="4"/>
  <c r="G758" i="4"/>
  <c r="H758" i="4" s="1"/>
  <c r="N758" i="4" s="1"/>
  <c r="K757" i="4"/>
  <c r="G757" i="4"/>
  <c r="H757" i="4" s="1"/>
  <c r="K756" i="4"/>
  <c r="G756" i="4"/>
  <c r="H756" i="4" s="1"/>
  <c r="M756" i="4" s="1"/>
  <c r="K755" i="4"/>
  <c r="G755" i="4"/>
  <c r="H755" i="4" s="1"/>
  <c r="K754" i="4"/>
  <c r="G754" i="4"/>
  <c r="H754" i="4" s="1"/>
  <c r="K753" i="4"/>
  <c r="G753" i="4"/>
  <c r="H753" i="4" s="1"/>
  <c r="K752" i="4"/>
  <c r="G752" i="4"/>
  <c r="H752" i="4" s="1"/>
  <c r="K751" i="4"/>
  <c r="G751" i="4"/>
  <c r="H751" i="4" s="1"/>
  <c r="N751" i="4" s="1"/>
  <c r="K750" i="4"/>
  <c r="G750" i="4"/>
  <c r="H750" i="4" s="1"/>
  <c r="K749" i="4"/>
  <c r="G749" i="4"/>
  <c r="H749" i="4" s="1"/>
  <c r="K748" i="4"/>
  <c r="G748" i="4"/>
  <c r="H748" i="4" s="1"/>
  <c r="K747" i="4"/>
  <c r="G747" i="4"/>
  <c r="H747" i="4" s="1"/>
  <c r="N747" i="4" s="1"/>
  <c r="K746" i="4"/>
  <c r="G746" i="4"/>
  <c r="H746" i="4" s="1"/>
  <c r="K745" i="4"/>
  <c r="G745" i="4"/>
  <c r="H745" i="4" s="1"/>
  <c r="K744" i="4"/>
  <c r="G744" i="4"/>
  <c r="H744" i="4" s="1"/>
  <c r="K743" i="4"/>
  <c r="G743" i="4"/>
  <c r="H743" i="4" s="1"/>
  <c r="K742" i="4"/>
  <c r="G742" i="4"/>
  <c r="H742" i="4" s="1"/>
  <c r="K741" i="4"/>
  <c r="G741" i="4"/>
  <c r="H741" i="4" s="1"/>
  <c r="K740" i="4"/>
  <c r="G740" i="4"/>
  <c r="H740" i="4" s="1"/>
  <c r="K739" i="4"/>
  <c r="G739" i="4"/>
  <c r="H739" i="4" s="1"/>
  <c r="M739" i="4" s="1"/>
  <c r="K738" i="4"/>
  <c r="G738" i="4"/>
  <c r="H738" i="4" s="1"/>
  <c r="K737" i="4"/>
  <c r="G737" i="4"/>
  <c r="H737" i="4" s="1"/>
  <c r="K736" i="4"/>
  <c r="G736" i="4"/>
  <c r="H736" i="4" s="1"/>
  <c r="K735" i="4"/>
  <c r="G735" i="4"/>
  <c r="H735" i="4" s="1"/>
  <c r="K734" i="4"/>
  <c r="G734" i="4"/>
  <c r="H734" i="4" s="1"/>
  <c r="N734" i="4" s="1"/>
  <c r="K733" i="4"/>
  <c r="G733" i="4"/>
  <c r="H733" i="4" s="1"/>
  <c r="K732" i="4"/>
  <c r="G732" i="4"/>
  <c r="H732" i="4" s="1"/>
  <c r="K731" i="4"/>
  <c r="G731" i="4"/>
  <c r="H731" i="4" s="1"/>
  <c r="N731" i="4" s="1"/>
  <c r="K730" i="4"/>
  <c r="G730" i="4"/>
  <c r="H730" i="4" s="1"/>
  <c r="K729" i="4"/>
  <c r="G729" i="4"/>
  <c r="H729" i="4" s="1"/>
  <c r="K728" i="4"/>
  <c r="G728" i="4"/>
  <c r="H728" i="4" s="1"/>
  <c r="N728" i="4" s="1"/>
  <c r="K727" i="4"/>
  <c r="G727" i="4"/>
  <c r="H727" i="4" s="1"/>
  <c r="K726" i="4"/>
  <c r="G726" i="4"/>
  <c r="H726" i="4" s="1"/>
  <c r="K725" i="4"/>
  <c r="G725" i="4"/>
  <c r="H725" i="4" s="1"/>
  <c r="K724" i="4"/>
  <c r="G724" i="4"/>
  <c r="H724" i="4" s="1"/>
  <c r="K723" i="4"/>
  <c r="G723" i="4"/>
  <c r="H723" i="4" s="1"/>
  <c r="N723" i="4" s="1"/>
  <c r="K722" i="4"/>
  <c r="G722" i="4"/>
  <c r="H722" i="4" s="1"/>
  <c r="K721" i="4"/>
  <c r="G721" i="4"/>
  <c r="H721" i="4" s="1"/>
  <c r="K720" i="4"/>
  <c r="G720" i="4"/>
  <c r="H720" i="4" s="1"/>
  <c r="N720" i="4" s="1"/>
  <c r="K719" i="4"/>
  <c r="G719" i="4"/>
  <c r="H719" i="4" s="1"/>
  <c r="K718" i="4"/>
  <c r="G718" i="4"/>
  <c r="H718" i="4" s="1"/>
  <c r="M718" i="4" s="1"/>
  <c r="K717" i="4"/>
  <c r="G717" i="4"/>
  <c r="H717" i="4" s="1"/>
  <c r="K716" i="4"/>
  <c r="G716" i="4"/>
  <c r="H716" i="4" s="1"/>
  <c r="K715" i="4"/>
  <c r="G715" i="4"/>
  <c r="H715" i="4" s="1"/>
  <c r="N715" i="4" s="1"/>
  <c r="K714" i="4"/>
  <c r="G714" i="4"/>
  <c r="H714" i="4" s="1"/>
  <c r="K713" i="4"/>
  <c r="G713" i="4"/>
  <c r="H713" i="4" s="1"/>
  <c r="K712" i="4"/>
  <c r="G712" i="4"/>
  <c r="H712" i="4" s="1"/>
  <c r="N712" i="4" s="1"/>
  <c r="K711" i="4"/>
  <c r="G711" i="4"/>
  <c r="H711" i="4" s="1"/>
  <c r="K710" i="4"/>
  <c r="G710" i="4"/>
  <c r="H710" i="4" s="1"/>
  <c r="K709" i="4"/>
  <c r="G709" i="4"/>
  <c r="H709" i="4" s="1"/>
  <c r="K708" i="4"/>
  <c r="G708" i="4"/>
  <c r="H708" i="4" s="1"/>
  <c r="K707" i="4"/>
  <c r="G707" i="4"/>
  <c r="H707" i="4" s="1"/>
  <c r="K706" i="4"/>
  <c r="G706" i="4"/>
  <c r="H706" i="4" s="1"/>
  <c r="K705" i="4"/>
  <c r="G705" i="4"/>
  <c r="H705" i="4" s="1"/>
  <c r="K704" i="4"/>
  <c r="G704" i="4"/>
  <c r="H704" i="4" s="1"/>
  <c r="N704" i="4" s="1"/>
  <c r="K703" i="4"/>
  <c r="G703" i="4"/>
  <c r="H703" i="4" s="1"/>
  <c r="K702" i="4"/>
  <c r="G702" i="4"/>
  <c r="H702" i="4" s="1"/>
  <c r="K701" i="4"/>
  <c r="G701" i="4"/>
  <c r="H701" i="4" s="1"/>
  <c r="K700" i="4"/>
  <c r="G700" i="4"/>
  <c r="H700" i="4" s="1"/>
  <c r="K699" i="4"/>
  <c r="G699" i="4"/>
  <c r="H699" i="4" s="1"/>
  <c r="M699" i="4" s="1"/>
  <c r="K698" i="4"/>
  <c r="G698" i="4"/>
  <c r="H698" i="4" s="1"/>
  <c r="K697" i="4"/>
  <c r="G697" i="4"/>
  <c r="H697" i="4" s="1"/>
  <c r="K696" i="4"/>
  <c r="G696" i="4"/>
  <c r="H696" i="4" s="1"/>
  <c r="N696" i="4" s="1"/>
  <c r="K695" i="4"/>
  <c r="G695" i="4"/>
  <c r="H695" i="4" s="1"/>
  <c r="K694" i="4"/>
  <c r="G694" i="4"/>
  <c r="H694" i="4" s="1"/>
  <c r="K693" i="4"/>
  <c r="G693" i="4"/>
  <c r="H693" i="4" s="1"/>
  <c r="K692" i="4"/>
  <c r="G692" i="4"/>
  <c r="H692" i="4" s="1"/>
  <c r="K691" i="4"/>
  <c r="G691" i="4"/>
  <c r="H691" i="4" s="1"/>
  <c r="K690" i="4"/>
  <c r="G690" i="4"/>
  <c r="H690" i="4" s="1"/>
  <c r="K689" i="4"/>
  <c r="G689" i="4"/>
  <c r="H689" i="4" s="1"/>
  <c r="K688" i="4"/>
  <c r="G688" i="4"/>
  <c r="H688" i="4" s="1"/>
  <c r="K687" i="4"/>
  <c r="G687" i="4"/>
  <c r="H687" i="4" s="1"/>
  <c r="K686" i="4"/>
  <c r="G686" i="4"/>
  <c r="H686" i="4" s="1"/>
  <c r="K685" i="4"/>
  <c r="G685" i="4"/>
  <c r="H685" i="4" s="1"/>
  <c r="K684" i="4"/>
  <c r="G684" i="4"/>
  <c r="H684" i="4" s="1"/>
  <c r="K683" i="4"/>
  <c r="G683" i="4"/>
  <c r="H683" i="4" s="1"/>
  <c r="N683" i="4" s="1"/>
  <c r="K682" i="4"/>
  <c r="G682" i="4"/>
  <c r="H682" i="4" s="1"/>
  <c r="K681" i="4"/>
  <c r="G681" i="4"/>
  <c r="H681" i="4" s="1"/>
  <c r="K680" i="4"/>
  <c r="G680" i="4"/>
  <c r="H680" i="4" s="1"/>
  <c r="N680" i="4" s="1"/>
  <c r="K679" i="4"/>
  <c r="G679" i="4"/>
  <c r="H679" i="4" s="1"/>
  <c r="K678" i="4"/>
  <c r="G678" i="4"/>
  <c r="H678" i="4" s="1"/>
  <c r="K677" i="4"/>
  <c r="G677" i="4"/>
  <c r="H677" i="4" s="1"/>
  <c r="K676" i="4"/>
  <c r="G676" i="4"/>
  <c r="H676" i="4" s="1"/>
  <c r="K675" i="4"/>
  <c r="G675" i="4"/>
  <c r="H675" i="4" s="1"/>
  <c r="K674" i="4"/>
  <c r="G674" i="4"/>
  <c r="H674" i="4" s="1"/>
  <c r="K673" i="4"/>
  <c r="G673" i="4"/>
  <c r="H673" i="4" s="1"/>
  <c r="K672" i="4"/>
  <c r="G672" i="4"/>
  <c r="H672" i="4" s="1"/>
  <c r="K671" i="4"/>
  <c r="G671" i="4"/>
  <c r="H671" i="4" s="1"/>
  <c r="K670" i="4"/>
  <c r="G670" i="4"/>
  <c r="H670" i="4" s="1"/>
  <c r="M670" i="4" s="1"/>
  <c r="K669" i="4"/>
  <c r="G669" i="4"/>
  <c r="H669" i="4" s="1"/>
  <c r="K668" i="4"/>
  <c r="G668" i="4"/>
  <c r="H668" i="4" s="1"/>
  <c r="K667" i="4"/>
  <c r="G667" i="4"/>
  <c r="H667" i="4" s="1"/>
  <c r="N667" i="4" s="1"/>
  <c r="K666" i="4"/>
  <c r="G666" i="4"/>
  <c r="H666" i="4" s="1"/>
  <c r="K665" i="4"/>
  <c r="G665" i="4"/>
  <c r="H665" i="4" s="1"/>
  <c r="K664" i="4"/>
  <c r="G664" i="4"/>
  <c r="H664" i="4" s="1"/>
  <c r="K663" i="4"/>
  <c r="G663" i="4"/>
  <c r="H663" i="4" s="1"/>
  <c r="K662" i="4"/>
  <c r="G662" i="4"/>
  <c r="H662" i="4" s="1"/>
  <c r="K661" i="4"/>
  <c r="G661" i="4"/>
  <c r="H661" i="4" s="1"/>
  <c r="K660" i="4"/>
  <c r="G660" i="4"/>
  <c r="H660" i="4" s="1"/>
  <c r="K659" i="4"/>
  <c r="G659" i="4"/>
  <c r="H659" i="4" s="1"/>
  <c r="M659" i="4" s="1"/>
  <c r="K658" i="4"/>
  <c r="G658" i="4"/>
  <c r="H658" i="4" s="1"/>
  <c r="K657" i="4"/>
  <c r="G657" i="4"/>
  <c r="H657" i="4" s="1"/>
  <c r="K656" i="4"/>
  <c r="G656" i="4"/>
  <c r="H656" i="4" s="1"/>
  <c r="M656" i="4" s="1"/>
  <c r="K655" i="4"/>
  <c r="G655" i="4"/>
  <c r="H655" i="4" s="1"/>
  <c r="N655" i="4" s="1"/>
  <c r="K654" i="4"/>
  <c r="G654" i="4"/>
  <c r="H654" i="4" s="1"/>
  <c r="K653" i="4"/>
  <c r="G653" i="4"/>
  <c r="H653" i="4" s="1"/>
  <c r="N653" i="4" s="1"/>
  <c r="K652" i="4"/>
  <c r="G652" i="4"/>
  <c r="H652" i="4" s="1"/>
  <c r="K651" i="4"/>
  <c r="G651" i="4"/>
  <c r="H651" i="4" s="1"/>
  <c r="N651" i="4" s="1"/>
  <c r="K650" i="4"/>
  <c r="G650" i="4"/>
  <c r="H650" i="4" s="1"/>
  <c r="M650" i="4" s="1"/>
  <c r="K649" i="4"/>
  <c r="G649" i="4"/>
  <c r="H649" i="4" s="1"/>
  <c r="K648" i="4"/>
  <c r="G648" i="4"/>
  <c r="H648" i="4" s="1"/>
  <c r="K647" i="4"/>
  <c r="G647" i="4"/>
  <c r="H647" i="4" s="1"/>
  <c r="K646" i="4"/>
  <c r="G646" i="4"/>
  <c r="H646" i="4" s="1"/>
  <c r="K645" i="4"/>
  <c r="G645" i="4"/>
  <c r="H645" i="4" s="1"/>
  <c r="K644" i="4"/>
  <c r="G644" i="4"/>
  <c r="H644" i="4" s="1"/>
  <c r="K643" i="4"/>
  <c r="G643" i="4"/>
  <c r="H643" i="4" s="1"/>
  <c r="K642" i="4"/>
  <c r="G642" i="4"/>
  <c r="H642" i="4" s="1"/>
  <c r="K641" i="4"/>
  <c r="G641" i="4"/>
  <c r="H641" i="4" s="1"/>
  <c r="K640" i="4"/>
  <c r="G640" i="4"/>
  <c r="H640" i="4" s="1"/>
  <c r="K639" i="4"/>
  <c r="G639" i="4"/>
  <c r="H639" i="4" s="1"/>
  <c r="N639" i="4" s="1"/>
  <c r="K638" i="4"/>
  <c r="G638" i="4"/>
  <c r="H638" i="4" s="1"/>
  <c r="N638" i="4" s="1"/>
  <c r="K637" i="4"/>
  <c r="G637" i="4"/>
  <c r="H637" i="4" s="1"/>
  <c r="K636" i="4"/>
  <c r="G636" i="4"/>
  <c r="H636" i="4" s="1"/>
  <c r="N636" i="4" s="1"/>
  <c r="K635" i="4"/>
  <c r="G635" i="4"/>
  <c r="H635" i="4" s="1"/>
  <c r="N635" i="4" s="1"/>
  <c r="K634" i="4"/>
  <c r="G634" i="4"/>
  <c r="H634" i="4" s="1"/>
  <c r="K633" i="4"/>
  <c r="G633" i="4"/>
  <c r="H633" i="4" s="1"/>
  <c r="N633" i="4" s="1"/>
  <c r="K632" i="4"/>
  <c r="G632" i="4"/>
  <c r="H632" i="4" s="1"/>
  <c r="N632" i="4" s="1"/>
  <c r="K631" i="4"/>
  <c r="G631" i="4"/>
  <c r="H631" i="4" s="1"/>
  <c r="K630" i="4"/>
  <c r="G630" i="4"/>
  <c r="H630" i="4" s="1"/>
  <c r="K629" i="4"/>
  <c r="G629" i="4"/>
  <c r="H629" i="4" s="1"/>
  <c r="K628" i="4"/>
  <c r="G628" i="4"/>
  <c r="H628" i="4" s="1"/>
  <c r="K627" i="4"/>
  <c r="G627" i="4"/>
  <c r="H627" i="4" s="1"/>
  <c r="K626" i="4"/>
  <c r="G626" i="4"/>
  <c r="H626" i="4" s="1"/>
  <c r="K625" i="4"/>
  <c r="G625" i="4"/>
  <c r="H625" i="4" s="1"/>
  <c r="K624" i="4"/>
  <c r="G624" i="4"/>
  <c r="H624" i="4" s="1"/>
  <c r="K623" i="4"/>
  <c r="G623" i="4"/>
  <c r="H623" i="4" s="1"/>
  <c r="K622" i="4"/>
  <c r="G622" i="4"/>
  <c r="H622" i="4" s="1"/>
  <c r="K621" i="4"/>
  <c r="G621" i="4"/>
  <c r="H621" i="4" s="1"/>
  <c r="K620" i="4"/>
  <c r="G620" i="4"/>
  <c r="H620" i="4" s="1"/>
  <c r="K619" i="4"/>
  <c r="G619" i="4"/>
  <c r="H619" i="4" s="1"/>
  <c r="N619" i="4" s="1"/>
  <c r="K618" i="4"/>
  <c r="G618" i="4"/>
  <c r="H618" i="4" s="1"/>
  <c r="M618" i="4" s="1"/>
  <c r="K617" i="4"/>
  <c r="G617" i="4"/>
  <c r="H617" i="4" s="1"/>
  <c r="K616" i="4"/>
  <c r="G616" i="4"/>
  <c r="H616" i="4" s="1"/>
  <c r="K615" i="4"/>
  <c r="G615" i="4"/>
  <c r="H615" i="4" s="1"/>
  <c r="M615" i="4" s="1"/>
  <c r="K614" i="4"/>
  <c r="G614" i="4"/>
  <c r="H614" i="4" s="1"/>
  <c r="K613" i="4"/>
  <c r="G613" i="4"/>
  <c r="H613" i="4" s="1"/>
  <c r="K612" i="4"/>
  <c r="G612" i="4"/>
  <c r="H612" i="4" s="1"/>
  <c r="K611" i="4"/>
  <c r="G611" i="4"/>
  <c r="H611" i="4" s="1"/>
  <c r="K610" i="4"/>
  <c r="G610" i="4"/>
  <c r="H610" i="4" s="1"/>
  <c r="K609" i="4"/>
  <c r="G609" i="4"/>
  <c r="H609" i="4" s="1"/>
  <c r="N609" i="4" s="1"/>
  <c r="K608" i="4"/>
  <c r="G608" i="4"/>
  <c r="H608" i="4" s="1"/>
  <c r="K607" i="4"/>
  <c r="G607" i="4"/>
  <c r="H607" i="4" s="1"/>
  <c r="N607" i="4" s="1"/>
  <c r="K606" i="4"/>
  <c r="G606" i="4"/>
  <c r="H606" i="4" s="1"/>
  <c r="K605" i="4"/>
  <c r="G605" i="4"/>
  <c r="H605" i="4" s="1"/>
  <c r="K604" i="4"/>
  <c r="G604" i="4"/>
  <c r="H604" i="4" s="1"/>
  <c r="N604" i="4" s="1"/>
  <c r="K603" i="4"/>
  <c r="G603" i="4"/>
  <c r="H603" i="4" s="1"/>
  <c r="M603" i="4" s="1"/>
  <c r="K602" i="4"/>
  <c r="G602" i="4"/>
  <c r="H602" i="4" s="1"/>
  <c r="K601" i="4"/>
  <c r="G601" i="4"/>
  <c r="H601" i="4" s="1"/>
  <c r="N601" i="4" s="1"/>
  <c r="K600" i="4"/>
  <c r="G600" i="4"/>
  <c r="H600" i="4" s="1"/>
  <c r="N600" i="4" s="1"/>
  <c r="K599" i="4"/>
  <c r="G599" i="4"/>
  <c r="H599" i="4" s="1"/>
  <c r="K598" i="4"/>
  <c r="G598" i="4"/>
  <c r="H598" i="4" s="1"/>
  <c r="K597" i="4"/>
  <c r="G597" i="4"/>
  <c r="H597" i="4" s="1"/>
  <c r="K596" i="4"/>
  <c r="G596" i="4"/>
  <c r="H596" i="4" s="1"/>
  <c r="K595" i="4"/>
  <c r="G595" i="4"/>
  <c r="H595" i="4" s="1"/>
  <c r="K594" i="4"/>
  <c r="G594" i="4"/>
  <c r="H594" i="4" s="1"/>
  <c r="K593" i="4"/>
  <c r="G593" i="4"/>
  <c r="H593" i="4" s="1"/>
  <c r="K592" i="4"/>
  <c r="G592" i="4"/>
  <c r="H592" i="4" s="1"/>
  <c r="M592" i="4" s="1"/>
  <c r="K591" i="4"/>
  <c r="G591" i="4"/>
  <c r="H591" i="4" s="1"/>
  <c r="M591" i="4" s="1"/>
  <c r="K590" i="4"/>
  <c r="G590" i="4"/>
  <c r="H590" i="4" s="1"/>
  <c r="K589" i="4"/>
  <c r="G589" i="4"/>
  <c r="H589" i="4" s="1"/>
  <c r="K588" i="4"/>
  <c r="G588" i="4"/>
  <c r="H588" i="4" s="1"/>
  <c r="K587" i="4"/>
  <c r="G587" i="4"/>
  <c r="H587" i="4" s="1"/>
  <c r="M587" i="4" s="1"/>
  <c r="K586" i="4"/>
  <c r="G586" i="4"/>
  <c r="H586" i="4" s="1"/>
  <c r="K585" i="4"/>
  <c r="G585" i="4"/>
  <c r="H585" i="4" s="1"/>
  <c r="K584" i="4"/>
  <c r="G584" i="4"/>
  <c r="H584" i="4" s="1"/>
  <c r="K583" i="4"/>
  <c r="G583" i="4"/>
  <c r="H583" i="4" s="1"/>
  <c r="M583" i="4" s="1"/>
  <c r="K582" i="4"/>
  <c r="G582" i="4"/>
  <c r="H582" i="4" s="1"/>
  <c r="K581" i="4"/>
  <c r="G581" i="4"/>
  <c r="H581" i="4" s="1"/>
  <c r="K580" i="4"/>
  <c r="G580" i="4"/>
  <c r="H580" i="4" s="1"/>
  <c r="M580" i="4" s="1"/>
  <c r="K579" i="4"/>
  <c r="G579" i="4"/>
  <c r="H579" i="4" s="1"/>
  <c r="K578" i="4"/>
  <c r="G578" i="4"/>
  <c r="H578" i="4" s="1"/>
  <c r="K577" i="4"/>
  <c r="G577" i="4"/>
  <c r="H577" i="4" s="1"/>
  <c r="K576" i="4"/>
  <c r="G576" i="4"/>
  <c r="H576" i="4" s="1"/>
  <c r="N576" i="4" s="1"/>
  <c r="K575" i="4"/>
  <c r="G575" i="4"/>
  <c r="H575" i="4" s="1"/>
  <c r="M575" i="4" s="1"/>
  <c r="K574" i="4"/>
  <c r="G574" i="4"/>
  <c r="H574" i="4" s="1"/>
  <c r="K573" i="4"/>
  <c r="G573" i="4"/>
  <c r="H573" i="4" s="1"/>
  <c r="K572" i="4"/>
  <c r="G572" i="4"/>
  <c r="H572" i="4" s="1"/>
  <c r="N572" i="4" s="1"/>
  <c r="K571" i="4"/>
  <c r="G571" i="4"/>
  <c r="H571" i="4" s="1"/>
  <c r="K570" i="4"/>
  <c r="G570" i="4"/>
  <c r="H570" i="4" s="1"/>
  <c r="K569" i="4"/>
  <c r="G569" i="4"/>
  <c r="H569" i="4" s="1"/>
  <c r="K568" i="4"/>
  <c r="G568" i="4"/>
  <c r="H568" i="4" s="1"/>
  <c r="K567" i="4"/>
  <c r="G567" i="4"/>
  <c r="H567" i="4" s="1"/>
  <c r="K566" i="4"/>
  <c r="G566" i="4"/>
  <c r="H566" i="4" s="1"/>
  <c r="K565" i="4"/>
  <c r="G565" i="4"/>
  <c r="H565" i="4" s="1"/>
  <c r="K564" i="4"/>
  <c r="G564" i="4"/>
  <c r="H564" i="4" s="1"/>
  <c r="K563" i="4"/>
  <c r="G563" i="4"/>
  <c r="H563" i="4" s="1"/>
  <c r="K562" i="4"/>
  <c r="G562" i="4"/>
  <c r="H562" i="4" s="1"/>
  <c r="K561" i="4"/>
  <c r="G561" i="4"/>
  <c r="H561" i="4" s="1"/>
  <c r="K560" i="4"/>
  <c r="G560" i="4"/>
  <c r="H560" i="4" s="1"/>
  <c r="K559" i="4"/>
  <c r="G559" i="4"/>
  <c r="H559" i="4" s="1"/>
  <c r="M559" i="4" s="1"/>
  <c r="K558" i="4"/>
  <c r="G558" i="4"/>
  <c r="H558" i="4" s="1"/>
  <c r="K557" i="4"/>
  <c r="G557" i="4"/>
  <c r="H557" i="4" s="1"/>
  <c r="K556" i="4"/>
  <c r="G556" i="4"/>
  <c r="H556" i="4" s="1"/>
  <c r="K555" i="4"/>
  <c r="G555" i="4"/>
  <c r="H555" i="4" s="1"/>
  <c r="M555" i="4" s="1"/>
  <c r="K554" i="4"/>
  <c r="G554" i="4"/>
  <c r="H554" i="4" s="1"/>
  <c r="K553" i="4"/>
  <c r="G553" i="4"/>
  <c r="H553" i="4" s="1"/>
  <c r="K552" i="4"/>
  <c r="G552" i="4"/>
  <c r="H552" i="4" s="1"/>
  <c r="K551" i="4"/>
  <c r="G551" i="4"/>
  <c r="H551" i="4" s="1"/>
  <c r="K550" i="4"/>
  <c r="G550" i="4"/>
  <c r="H550" i="4" s="1"/>
  <c r="K549" i="4"/>
  <c r="G549" i="4"/>
  <c r="H549" i="4" s="1"/>
  <c r="K548" i="4"/>
  <c r="G548" i="4"/>
  <c r="H548" i="4" s="1"/>
  <c r="K547" i="4"/>
  <c r="G547" i="4"/>
  <c r="H547" i="4" s="1"/>
  <c r="M547" i="4" s="1"/>
  <c r="K546" i="4"/>
  <c r="G546" i="4"/>
  <c r="H546" i="4" s="1"/>
  <c r="K545" i="4"/>
  <c r="G545" i="4"/>
  <c r="H545" i="4" s="1"/>
  <c r="K544" i="4"/>
  <c r="G544" i="4"/>
  <c r="H544" i="4" s="1"/>
  <c r="N544" i="4" s="1"/>
  <c r="K543" i="4"/>
  <c r="G543" i="4"/>
  <c r="H543" i="4" s="1"/>
  <c r="M543" i="4" s="1"/>
  <c r="K542" i="4"/>
  <c r="G542" i="4"/>
  <c r="H542" i="4" s="1"/>
  <c r="N542" i="4" s="1"/>
  <c r="K541" i="4"/>
  <c r="G541" i="4"/>
  <c r="H541" i="4" s="1"/>
  <c r="K540" i="4"/>
  <c r="G540" i="4"/>
  <c r="H540" i="4" s="1"/>
  <c r="N540" i="4" s="1"/>
  <c r="K539" i="4"/>
  <c r="G539" i="4"/>
  <c r="H539" i="4" s="1"/>
  <c r="M539" i="4" s="1"/>
  <c r="K538" i="4"/>
  <c r="G538" i="4"/>
  <c r="H538" i="4" s="1"/>
  <c r="N538" i="4" s="1"/>
  <c r="K537" i="4"/>
  <c r="G537" i="4"/>
  <c r="H537" i="4" s="1"/>
  <c r="K536" i="4"/>
  <c r="G536" i="4"/>
  <c r="H536" i="4" s="1"/>
  <c r="K535" i="4"/>
  <c r="G535" i="4"/>
  <c r="H535" i="4" s="1"/>
  <c r="M535" i="4" s="1"/>
  <c r="K534" i="4"/>
  <c r="G534" i="4"/>
  <c r="H534" i="4" s="1"/>
  <c r="N534" i="4" s="1"/>
  <c r="K533" i="4"/>
  <c r="G533" i="4"/>
  <c r="H533" i="4" s="1"/>
  <c r="K532" i="4"/>
  <c r="G532" i="4"/>
  <c r="H532" i="4" s="1"/>
  <c r="N532" i="4" s="1"/>
  <c r="K531" i="4"/>
  <c r="G531" i="4"/>
  <c r="H531" i="4" s="1"/>
  <c r="K530" i="4"/>
  <c r="G530" i="4"/>
  <c r="H530" i="4" s="1"/>
  <c r="K529" i="4"/>
  <c r="G529" i="4"/>
  <c r="H529" i="4" s="1"/>
  <c r="N529" i="4" s="1"/>
  <c r="K528" i="4"/>
  <c r="G528" i="4"/>
  <c r="H528" i="4" s="1"/>
  <c r="K527" i="4"/>
  <c r="G527" i="4"/>
  <c r="H527" i="4" s="1"/>
  <c r="K526" i="4"/>
  <c r="G526" i="4"/>
  <c r="H526" i="4" s="1"/>
  <c r="N526" i="4" s="1"/>
  <c r="K525" i="4"/>
  <c r="G525" i="4"/>
  <c r="H525" i="4" s="1"/>
  <c r="K524" i="4"/>
  <c r="G524" i="4"/>
  <c r="H524" i="4" s="1"/>
  <c r="K523" i="4"/>
  <c r="G523" i="4"/>
  <c r="H523" i="4" s="1"/>
  <c r="K522" i="4"/>
  <c r="G522" i="4"/>
  <c r="H522" i="4" s="1"/>
  <c r="N522" i="4" s="1"/>
  <c r="K521" i="4"/>
  <c r="G521" i="4"/>
  <c r="H521" i="4" s="1"/>
  <c r="K520" i="4"/>
  <c r="G520" i="4"/>
  <c r="H520" i="4" s="1"/>
  <c r="M520" i="4" s="1"/>
  <c r="K519" i="4"/>
  <c r="G519" i="4"/>
  <c r="H519" i="4" s="1"/>
  <c r="K518" i="4"/>
  <c r="G518" i="4"/>
  <c r="H518" i="4" s="1"/>
  <c r="N518" i="4" s="1"/>
  <c r="K517" i="4"/>
  <c r="G517" i="4"/>
  <c r="H517" i="4" s="1"/>
  <c r="K516" i="4"/>
  <c r="G516" i="4"/>
  <c r="H516" i="4" s="1"/>
  <c r="K515" i="4"/>
  <c r="G515" i="4"/>
  <c r="H515" i="4" s="1"/>
  <c r="K514" i="4"/>
  <c r="G514" i="4"/>
  <c r="H514" i="4" s="1"/>
  <c r="N514" i="4" s="1"/>
  <c r="K513" i="4"/>
  <c r="G513" i="4"/>
  <c r="H513" i="4" s="1"/>
  <c r="K512" i="4"/>
  <c r="G512" i="4"/>
  <c r="H512" i="4" s="1"/>
  <c r="M512" i="4" s="1"/>
  <c r="K511" i="4"/>
  <c r="G511" i="4"/>
  <c r="H511" i="4" s="1"/>
  <c r="K510" i="4"/>
  <c r="G510" i="4"/>
  <c r="H510" i="4" s="1"/>
  <c r="N510" i="4" s="1"/>
  <c r="K509" i="4"/>
  <c r="G509" i="4"/>
  <c r="H509" i="4" s="1"/>
  <c r="K508" i="4"/>
  <c r="G508" i="4"/>
  <c r="H508" i="4" s="1"/>
  <c r="K507" i="4"/>
  <c r="G507" i="4"/>
  <c r="H507" i="4" s="1"/>
  <c r="K506" i="4"/>
  <c r="G506" i="4"/>
  <c r="H506" i="4" s="1"/>
  <c r="N506" i="4" s="1"/>
  <c r="K505" i="4"/>
  <c r="G505" i="4"/>
  <c r="H505" i="4" s="1"/>
  <c r="K504" i="4"/>
  <c r="G504" i="4"/>
  <c r="H504" i="4" s="1"/>
  <c r="K503" i="4"/>
  <c r="G503" i="4"/>
  <c r="H503" i="4" s="1"/>
  <c r="K502" i="4"/>
  <c r="G502" i="4"/>
  <c r="H502" i="4" s="1"/>
  <c r="K501" i="4"/>
  <c r="G501" i="4"/>
  <c r="H501" i="4" s="1"/>
  <c r="K500" i="4"/>
  <c r="G500" i="4"/>
  <c r="H500" i="4" s="1"/>
  <c r="M500" i="4" s="1"/>
  <c r="K499" i="4"/>
  <c r="G499" i="4"/>
  <c r="H499" i="4" s="1"/>
  <c r="M499" i="4" s="1"/>
  <c r="K498" i="4"/>
  <c r="G498" i="4"/>
  <c r="H498" i="4" s="1"/>
  <c r="N498" i="4" s="1"/>
  <c r="K497" i="4"/>
  <c r="G497" i="4"/>
  <c r="H497" i="4" s="1"/>
  <c r="K496" i="4"/>
  <c r="G496" i="4"/>
  <c r="H496" i="4" s="1"/>
  <c r="M496" i="4" s="1"/>
  <c r="K495" i="4"/>
  <c r="G495" i="4"/>
  <c r="H495" i="4" s="1"/>
  <c r="K494" i="4"/>
  <c r="G494" i="4"/>
  <c r="H494" i="4" s="1"/>
  <c r="N494" i="4" s="1"/>
  <c r="K493" i="4"/>
  <c r="G493" i="4"/>
  <c r="H493" i="4" s="1"/>
  <c r="K492" i="4"/>
  <c r="G492" i="4"/>
  <c r="H492" i="4" s="1"/>
  <c r="M492" i="4" s="1"/>
  <c r="K491" i="4"/>
  <c r="G491" i="4"/>
  <c r="H491" i="4" s="1"/>
  <c r="M491" i="4" s="1"/>
  <c r="K490" i="4"/>
  <c r="G490" i="4"/>
  <c r="H490" i="4" s="1"/>
  <c r="N490" i="4" s="1"/>
  <c r="K489" i="4"/>
  <c r="G489" i="4"/>
  <c r="H489" i="4" s="1"/>
  <c r="K488" i="4"/>
  <c r="G488" i="4"/>
  <c r="H488" i="4" s="1"/>
  <c r="M488" i="4" s="1"/>
  <c r="K487" i="4"/>
  <c r="G487" i="4"/>
  <c r="H487" i="4" s="1"/>
  <c r="K486" i="4"/>
  <c r="G486" i="4"/>
  <c r="H486" i="4" s="1"/>
  <c r="N486" i="4" s="1"/>
  <c r="K485" i="4"/>
  <c r="G485" i="4"/>
  <c r="H485" i="4" s="1"/>
  <c r="K484" i="4"/>
  <c r="G484" i="4"/>
  <c r="H484" i="4" s="1"/>
  <c r="K483" i="4"/>
  <c r="G483" i="4"/>
  <c r="H483" i="4" s="1"/>
  <c r="N483" i="4" s="1"/>
  <c r="K482" i="4"/>
  <c r="G482" i="4"/>
  <c r="H482" i="4" s="1"/>
  <c r="K481" i="4"/>
  <c r="G481" i="4"/>
  <c r="H481" i="4" s="1"/>
  <c r="K480" i="4"/>
  <c r="G480" i="4"/>
  <c r="H480" i="4" s="1"/>
  <c r="K479" i="4"/>
  <c r="G479" i="4"/>
  <c r="H479" i="4" s="1"/>
  <c r="K478" i="4"/>
  <c r="G478" i="4"/>
  <c r="H478" i="4" s="1"/>
  <c r="N478" i="4" s="1"/>
  <c r="K477" i="4"/>
  <c r="G477" i="4"/>
  <c r="H477" i="4" s="1"/>
  <c r="K476" i="4"/>
  <c r="G476" i="4"/>
  <c r="H476" i="4" s="1"/>
  <c r="K475" i="4"/>
  <c r="G475" i="4"/>
  <c r="H475" i="4" s="1"/>
  <c r="K474" i="4"/>
  <c r="G474" i="4"/>
  <c r="H474" i="4" s="1"/>
  <c r="N474" i="4" s="1"/>
  <c r="K473" i="4"/>
  <c r="G473" i="4"/>
  <c r="H473" i="4" s="1"/>
  <c r="K472" i="4"/>
  <c r="G472" i="4"/>
  <c r="H472" i="4" s="1"/>
  <c r="K471" i="4"/>
  <c r="G471" i="4"/>
  <c r="H471" i="4" s="1"/>
  <c r="M471" i="4" s="1"/>
  <c r="K470" i="4"/>
  <c r="G470" i="4"/>
  <c r="H470" i="4" s="1"/>
  <c r="N470" i="4" s="1"/>
  <c r="K469" i="4"/>
  <c r="G469" i="4"/>
  <c r="H469" i="4" s="1"/>
  <c r="K468" i="4"/>
  <c r="G468" i="4"/>
  <c r="H468" i="4" s="1"/>
  <c r="K467" i="4"/>
  <c r="G467" i="4"/>
  <c r="H467" i="4" s="1"/>
  <c r="N467" i="4" s="1"/>
  <c r="K466" i="4"/>
  <c r="G466" i="4"/>
  <c r="H466" i="4" s="1"/>
  <c r="N466" i="4" s="1"/>
  <c r="K465" i="4"/>
  <c r="G465" i="4"/>
  <c r="H465" i="4" s="1"/>
  <c r="K464" i="4"/>
  <c r="G464" i="4"/>
  <c r="H464" i="4" s="1"/>
  <c r="K463" i="4"/>
  <c r="G463" i="4"/>
  <c r="H463" i="4" s="1"/>
  <c r="K462" i="4"/>
  <c r="G462" i="4"/>
  <c r="H462" i="4" s="1"/>
  <c r="N462" i="4" s="1"/>
  <c r="K461" i="4"/>
  <c r="G461" i="4"/>
  <c r="H461" i="4" s="1"/>
  <c r="K460" i="4"/>
  <c r="G460" i="4"/>
  <c r="H460" i="4" s="1"/>
  <c r="M460" i="4" s="1"/>
  <c r="K459" i="4"/>
  <c r="G459" i="4"/>
  <c r="H459" i="4" s="1"/>
  <c r="K458" i="4"/>
  <c r="G458" i="4"/>
  <c r="H458" i="4" s="1"/>
  <c r="N458" i="4" s="1"/>
  <c r="K457" i="4"/>
  <c r="G457" i="4"/>
  <c r="H457" i="4" s="1"/>
  <c r="K456" i="4"/>
  <c r="G456" i="4"/>
  <c r="H456" i="4" s="1"/>
  <c r="K455" i="4"/>
  <c r="G455" i="4"/>
  <c r="H455" i="4" s="1"/>
  <c r="K454" i="4"/>
  <c r="G454" i="4"/>
  <c r="H454" i="4" s="1"/>
  <c r="N454" i="4" s="1"/>
  <c r="K453" i="4"/>
  <c r="G453" i="4"/>
  <c r="H453" i="4" s="1"/>
  <c r="K452" i="4"/>
  <c r="G452" i="4"/>
  <c r="H452" i="4" s="1"/>
  <c r="K451" i="4"/>
  <c r="G451" i="4"/>
  <c r="H451" i="4" s="1"/>
  <c r="M451" i="4" s="1"/>
  <c r="K450" i="4"/>
  <c r="G450" i="4"/>
  <c r="H450" i="4" s="1"/>
  <c r="N450" i="4" s="1"/>
  <c r="K449" i="4"/>
  <c r="G449" i="4"/>
  <c r="H449" i="4" s="1"/>
  <c r="K448" i="4"/>
  <c r="G448" i="4"/>
  <c r="H448" i="4" s="1"/>
  <c r="K447" i="4"/>
  <c r="G447" i="4"/>
  <c r="H447" i="4" s="1"/>
  <c r="K446" i="4"/>
  <c r="G446" i="4"/>
  <c r="H446" i="4" s="1"/>
  <c r="N446" i="4" s="1"/>
  <c r="K445" i="4"/>
  <c r="G445" i="4"/>
  <c r="H445" i="4" s="1"/>
  <c r="K444" i="4"/>
  <c r="G444" i="4"/>
  <c r="H444" i="4" s="1"/>
  <c r="M444" i="4" s="1"/>
  <c r="K443" i="4"/>
  <c r="G443" i="4"/>
  <c r="H443" i="4" s="1"/>
  <c r="K442" i="4"/>
  <c r="G442" i="4"/>
  <c r="H442" i="4" s="1"/>
  <c r="N442" i="4" s="1"/>
  <c r="K441" i="4"/>
  <c r="G441" i="4"/>
  <c r="H441" i="4" s="1"/>
  <c r="K440" i="4"/>
  <c r="G440" i="4"/>
  <c r="H440" i="4" s="1"/>
  <c r="K439" i="4"/>
  <c r="G439" i="4"/>
  <c r="H439" i="4" s="1"/>
  <c r="M439" i="4" s="1"/>
  <c r="K438" i="4"/>
  <c r="G438" i="4"/>
  <c r="H438" i="4" s="1"/>
  <c r="N438" i="4" s="1"/>
  <c r="K437" i="4"/>
  <c r="G437" i="4"/>
  <c r="H437" i="4" s="1"/>
  <c r="K436" i="4"/>
  <c r="G436" i="4"/>
  <c r="H436" i="4" s="1"/>
  <c r="K435" i="4"/>
  <c r="G435" i="4"/>
  <c r="H435" i="4" s="1"/>
  <c r="K434" i="4"/>
  <c r="G434" i="4"/>
  <c r="H434" i="4" s="1"/>
  <c r="N434" i="4" s="1"/>
  <c r="K433" i="4"/>
  <c r="G433" i="4"/>
  <c r="H433" i="4" s="1"/>
  <c r="K432" i="4"/>
  <c r="G432" i="4"/>
  <c r="H432" i="4" s="1"/>
  <c r="K431" i="4"/>
  <c r="G431" i="4"/>
  <c r="H431" i="4" s="1"/>
  <c r="K430" i="4"/>
  <c r="G430" i="4"/>
  <c r="H430" i="4" s="1"/>
  <c r="N430" i="4" s="1"/>
  <c r="K429" i="4"/>
  <c r="G429" i="4"/>
  <c r="H429" i="4" s="1"/>
  <c r="K428" i="4"/>
  <c r="G428" i="4"/>
  <c r="H428" i="4" s="1"/>
  <c r="M428" i="4" s="1"/>
  <c r="K427" i="4"/>
  <c r="G427" i="4"/>
  <c r="H427" i="4" s="1"/>
  <c r="K426" i="4"/>
  <c r="G426" i="4"/>
  <c r="H426" i="4" s="1"/>
  <c r="N426" i="4" s="1"/>
  <c r="K425" i="4"/>
  <c r="G425" i="4"/>
  <c r="H425" i="4" s="1"/>
  <c r="K424" i="4"/>
  <c r="G424" i="4"/>
  <c r="H424" i="4" s="1"/>
  <c r="K423" i="4"/>
  <c r="G423" i="4"/>
  <c r="H423" i="4" s="1"/>
  <c r="K422" i="4"/>
  <c r="G422" i="4"/>
  <c r="H422" i="4" s="1"/>
  <c r="N422" i="4" s="1"/>
  <c r="K421" i="4"/>
  <c r="G421" i="4"/>
  <c r="H421" i="4" s="1"/>
  <c r="K420" i="4"/>
  <c r="G420" i="4"/>
  <c r="H420" i="4" s="1"/>
  <c r="M420" i="4" s="1"/>
  <c r="K419" i="4"/>
  <c r="G419" i="4"/>
  <c r="H419" i="4" s="1"/>
  <c r="M419" i="4" s="1"/>
  <c r="K418" i="4"/>
  <c r="G418" i="4"/>
  <c r="H418" i="4" s="1"/>
  <c r="N418" i="4" s="1"/>
  <c r="K417" i="4"/>
  <c r="G417" i="4"/>
  <c r="H417" i="4" s="1"/>
  <c r="K416" i="4"/>
  <c r="G416" i="4"/>
  <c r="H416" i="4" s="1"/>
  <c r="K415" i="4"/>
  <c r="G415" i="4"/>
  <c r="H415" i="4" s="1"/>
  <c r="K414" i="4"/>
  <c r="G414" i="4"/>
  <c r="H414" i="4" s="1"/>
  <c r="N414" i="4" s="1"/>
  <c r="K413" i="4"/>
  <c r="G413" i="4"/>
  <c r="H413" i="4" s="1"/>
  <c r="K412" i="4"/>
  <c r="G412" i="4"/>
  <c r="H412" i="4" s="1"/>
  <c r="M412" i="4" s="1"/>
  <c r="K411" i="4"/>
  <c r="G411" i="4"/>
  <c r="H411" i="4" s="1"/>
  <c r="K410" i="4"/>
  <c r="G410" i="4"/>
  <c r="H410" i="4" s="1"/>
  <c r="N410" i="4" s="1"/>
  <c r="K409" i="4"/>
  <c r="G409" i="4"/>
  <c r="H409" i="4" s="1"/>
  <c r="K408" i="4"/>
  <c r="G408" i="4"/>
  <c r="H408" i="4" s="1"/>
  <c r="K407" i="4"/>
  <c r="G407" i="4"/>
  <c r="H407" i="4" s="1"/>
  <c r="M407" i="4" s="1"/>
  <c r="K406" i="4"/>
  <c r="G406" i="4"/>
  <c r="H406" i="4" s="1"/>
  <c r="N406" i="4" s="1"/>
  <c r="K405" i="4"/>
  <c r="G405" i="4"/>
  <c r="H405" i="4" s="1"/>
  <c r="K404" i="4"/>
  <c r="G404" i="4"/>
  <c r="H404" i="4" s="1"/>
  <c r="K403" i="4"/>
  <c r="G403" i="4"/>
  <c r="H403" i="4" s="1"/>
  <c r="N403" i="4" s="1"/>
  <c r="K402" i="4"/>
  <c r="G402" i="4"/>
  <c r="H402" i="4" s="1"/>
  <c r="N402" i="4" s="1"/>
  <c r="K401" i="4"/>
  <c r="G401" i="4"/>
  <c r="H401" i="4" s="1"/>
  <c r="K400" i="4"/>
  <c r="G400" i="4"/>
  <c r="H400" i="4" s="1"/>
  <c r="K399" i="4"/>
  <c r="G399" i="4"/>
  <c r="H399" i="4" s="1"/>
  <c r="K398" i="4"/>
  <c r="G398" i="4"/>
  <c r="H398" i="4" s="1"/>
  <c r="N398" i="4" s="1"/>
  <c r="K397" i="4"/>
  <c r="G397" i="4"/>
  <c r="H397" i="4" s="1"/>
  <c r="K396" i="4"/>
  <c r="G396" i="4"/>
  <c r="H396" i="4" s="1"/>
  <c r="M396" i="4" s="1"/>
  <c r="K395" i="4"/>
  <c r="G395" i="4"/>
  <c r="H395" i="4" s="1"/>
  <c r="K394" i="4"/>
  <c r="G394" i="4"/>
  <c r="H394" i="4" s="1"/>
  <c r="N394" i="4" s="1"/>
  <c r="K393" i="4"/>
  <c r="G393" i="4"/>
  <c r="H393" i="4" s="1"/>
  <c r="K392" i="4"/>
  <c r="G392" i="4"/>
  <c r="H392" i="4" s="1"/>
  <c r="K391" i="4"/>
  <c r="G391" i="4"/>
  <c r="H391" i="4" s="1"/>
  <c r="K390" i="4"/>
  <c r="G390" i="4"/>
  <c r="H390" i="4" s="1"/>
  <c r="N390" i="4" s="1"/>
  <c r="K389" i="4"/>
  <c r="G389" i="4"/>
  <c r="H389" i="4" s="1"/>
  <c r="K388" i="4"/>
  <c r="G388" i="4"/>
  <c r="H388" i="4" s="1"/>
  <c r="M388" i="4" s="1"/>
  <c r="K387" i="4"/>
  <c r="G387" i="4"/>
  <c r="H387" i="4" s="1"/>
  <c r="K386" i="4"/>
  <c r="G386" i="4"/>
  <c r="H386" i="4" s="1"/>
  <c r="N386" i="4" s="1"/>
  <c r="K385" i="4"/>
  <c r="G385" i="4"/>
  <c r="H385" i="4" s="1"/>
  <c r="K384" i="4"/>
  <c r="G384" i="4"/>
  <c r="H384" i="4" s="1"/>
  <c r="K383" i="4"/>
  <c r="G383" i="4"/>
  <c r="H383" i="4" s="1"/>
  <c r="K382" i="4"/>
  <c r="G382" i="4"/>
  <c r="H382" i="4" s="1"/>
  <c r="N382" i="4" s="1"/>
  <c r="K381" i="4"/>
  <c r="G381" i="4"/>
  <c r="H381" i="4" s="1"/>
  <c r="K380" i="4"/>
  <c r="G380" i="4"/>
  <c r="H380" i="4" s="1"/>
  <c r="M380" i="4" s="1"/>
  <c r="K379" i="4"/>
  <c r="G379" i="4"/>
  <c r="H379" i="4" s="1"/>
  <c r="K378" i="4"/>
  <c r="G378" i="4"/>
  <c r="H378" i="4" s="1"/>
  <c r="N378" i="4" s="1"/>
  <c r="K377" i="4"/>
  <c r="G377" i="4"/>
  <c r="H377" i="4" s="1"/>
  <c r="K376" i="4"/>
  <c r="G376" i="4"/>
  <c r="H376" i="4" s="1"/>
  <c r="K375" i="4"/>
  <c r="G375" i="4"/>
  <c r="H375" i="4" s="1"/>
  <c r="N375" i="4" s="1"/>
  <c r="K374" i="4"/>
  <c r="G374" i="4"/>
  <c r="H374" i="4" s="1"/>
  <c r="N374" i="4" s="1"/>
  <c r="K373" i="4"/>
  <c r="G373" i="4"/>
  <c r="H373" i="4" s="1"/>
  <c r="K372" i="4"/>
  <c r="G372" i="4"/>
  <c r="H372" i="4" s="1"/>
  <c r="M372" i="4" s="1"/>
  <c r="K371" i="4"/>
  <c r="G371" i="4"/>
  <c r="H371" i="4" s="1"/>
  <c r="K370" i="4"/>
  <c r="G370" i="4"/>
  <c r="H370" i="4" s="1"/>
  <c r="N370" i="4" s="1"/>
  <c r="K369" i="4"/>
  <c r="G369" i="4"/>
  <c r="H369" i="4" s="1"/>
  <c r="K368" i="4"/>
  <c r="G368" i="4"/>
  <c r="H368" i="4" s="1"/>
  <c r="K367" i="4"/>
  <c r="G367" i="4"/>
  <c r="H367" i="4" s="1"/>
  <c r="N367" i="4" s="1"/>
  <c r="K366" i="4"/>
  <c r="G366" i="4"/>
  <c r="H366" i="4" s="1"/>
  <c r="N366" i="4" s="1"/>
  <c r="K365" i="4"/>
  <c r="G365" i="4"/>
  <c r="H365" i="4" s="1"/>
  <c r="K364" i="4"/>
  <c r="G364" i="4"/>
  <c r="H364" i="4" s="1"/>
  <c r="K363" i="4"/>
  <c r="G363" i="4"/>
  <c r="H363" i="4" s="1"/>
  <c r="K362" i="4"/>
  <c r="G362" i="4"/>
  <c r="H362" i="4" s="1"/>
  <c r="N362" i="4" s="1"/>
  <c r="K361" i="4"/>
  <c r="G361" i="4"/>
  <c r="H361" i="4" s="1"/>
  <c r="K360" i="4"/>
  <c r="G360" i="4"/>
  <c r="H360" i="4" s="1"/>
  <c r="K359" i="4"/>
  <c r="G359" i="4"/>
  <c r="H359" i="4" s="1"/>
  <c r="K358" i="4"/>
  <c r="G358" i="4"/>
  <c r="H358" i="4" s="1"/>
  <c r="N358" i="4" s="1"/>
  <c r="K357" i="4"/>
  <c r="G357" i="4"/>
  <c r="H357" i="4" s="1"/>
  <c r="K356" i="4"/>
  <c r="G356" i="4"/>
  <c r="H356" i="4" s="1"/>
  <c r="K355" i="4"/>
  <c r="G355" i="4"/>
  <c r="H355" i="4" s="1"/>
  <c r="K354" i="4"/>
  <c r="G354" i="4"/>
  <c r="H354" i="4" s="1"/>
  <c r="N354" i="4" s="1"/>
  <c r="K353" i="4"/>
  <c r="G353" i="4"/>
  <c r="H353" i="4" s="1"/>
  <c r="K352" i="4"/>
  <c r="G352" i="4"/>
  <c r="H352" i="4" s="1"/>
  <c r="M352" i="4" s="1"/>
  <c r="K351" i="4"/>
  <c r="G351" i="4"/>
  <c r="H351" i="4" s="1"/>
  <c r="K350" i="4"/>
  <c r="G350" i="4"/>
  <c r="H350" i="4" s="1"/>
  <c r="N350" i="4" s="1"/>
  <c r="K349" i="4"/>
  <c r="G349" i="4"/>
  <c r="H349" i="4" s="1"/>
  <c r="K348" i="4"/>
  <c r="G348" i="4"/>
  <c r="H348" i="4" s="1"/>
  <c r="K347" i="4"/>
  <c r="G347" i="4"/>
  <c r="H347" i="4" s="1"/>
  <c r="K346" i="4"/>
  <c r="G346" i="4"/>
  <c r="H346" i="4" s="1"/>
  <c r="N346" i="4" s="1"/>
  <c r="K345" i="4"/>
  <c r="G345" i="4"/>
  <c r="H345" i="4" s="1"/>
  <c r="K344" i="4"/>
  <c r="G344" i="4"/>
  <c r="H344" i="4" s="1"/>
  <c r="K343" i="4"/>
  <c r="G343" i="4"/>
  <c r="H343" i="4" s="1"/>
  <c r="K342" i="4"/>
  <c r="G342" i="4"/>
  <c r="H342" i="4" s="1"/>
  <c r="N342" i="4" s="1"/>
  <c r="K341" i="4"/>
  <c r="G341" i="4"/>
  <c r="H341" i="4" s="1"/>
  <c r="K340" i="4"/>
  <c r="G340" i="4"/>
  <c r="H340" i="4" s="1"/>
  <c r="M340" i="4" s="1"/>
  <c r="K339" i="4"/>
  <c r="G339" i="4"/>
  <c r="H339" i="4" s="1"/>
  <c r="K338" i="4"/>
  <c r="G338" i="4"/>
  <c r="H338" i="4" s="1"/>
  <c r="N338" i="4" s="1"/>
  <c r="K337" i="4"/>
  <c r="G337" i="4"/>
  <c r="H337" i="4" s="1"/>
  <c r="K336" i="4"/>
  <c r="G336" i="4"/>
  <c r="H336" i="4" s="1"/>
  <c r="K335" i="4"/>
  <c r="G335" i="4"/>
  <c r="H335" i="4" s="1"/>
  <c r="K334" i="4"/>
  <c r="G334" i="4"/>
  <c r="H334" i="4" s="1"/>
  <c r="N334" i="4" s="1"/>
  <c r="K333" i="4"/>
  <c r="G333" i="4"/>
  <c r="H333" i="4" s="1"/>
  <c r="K332" i="4"/>
  <c r="G332" i="4"/>
  <c r="H332" i="4" s="1"/>
  <c r="K331" i="4"/>
  <c r="G331" i="4"/>
  <c r="H331" i="4" s="1"/>
  <c r="K330" i="4"/>
  <c r="G330" i="4"/>
  <c r="H330" i="4" s="1"/>
  <c r="N330" i="4" s="1"/>
  <c r="K329" i="4"/>
  <c r="G329" i="4"/>
  <c r="H329" i="4" s="1"/>
  <c r="K328" i="4"/>
  <c r="G328" i="4"/>
  <c r="H328" i="4" s="1"/>
  <c r="M328" i="4" s="1"/>
  <c r="K327" i="4"/>
  <c r="G327" i="4"/>
  <c r="H327" i="4" s="1"/>
  <c r="N327" i="4" s="1"/>
  <c r="K326" i="4"/>
  <c r="G326" i="4"/>
  <c r="H326" i="4" s="1"/>
  <c r="N326" i="4" s="1"/>
  <c r="K325" i="4"/>
  <c r="G325" i="4"/>
  <c r="H325" i="4" s="1"/>
  <c r="K324" i="4"/>
  <c r="G324" i="4"/>
  <c r="H324" i="4" s="1"/>
  <c r="M324" i="4" s="1"/>
  <c r="K323" i="4"/>
  <c r="G323" i="4"/>
  <c r="H323" i="4" s="1"/>
  <c r="N323" i="4" s="1"/>
  <c r="K322" i="4"/>
  <c r="G322" i="4"/>
  <c r="H322" i="4" s="1"/>
  <c r="N322" i="4" s="1"/>
  <c r="K321" i="4"/>
  <c r="G321" i="4"/>
  <c r="H321" i="4" s="1"/>
  <c r="K320" i="4"/>
  <c r="G320" i="4"/>
  <c r="H320" i="4" s="1"/>
  <c r="M320" i="4" s="1"/>
  <c r="K319" i="4"/>
  <c r="G319" i="4"/>
  <c r="H319" i="4" s="1"/>
  <c r="N319" i="4" s="1"/>
  <c r="K318" i="4"/>
  <c r="G318" i="4"/>
  <c r="H318" i="4" s="1"/>
  <c r="N318" i="4" s="1"/>
  <c r="K317" i="4"/>
  <c r="G317" i="4"/>
  <c r="H317" i="4" s="1"/>
  <c r="K316" i="4"/>
  <c r="G316" i="4"/>
  <c r="H316" i="4" s="1"/>
  <c r="M316" i="4" s="1"/>
  <c r="K315" i="4"/>
  <c r="G315" i="4"/>
  <c r="H315" i="4" s="1"/>
  <c r="N315" i="4" s="1"/>
  <c r="K314" i="4"/>
  <c r="G314" i="4"/>
  <c r="H314" i="4" s="1"/>
  <c r="N314" i="4" s="1"/>
  <c r="K313" i="4"/>
  <c r="G313" i="4"/>
  <c r="H313" i="4" s="1"/>
  <c r="K312" i="4"/>
  <c r="G312" i="4"/>
  <c r="H312" i="4" s="1"/>
  <c r="K311" i="4"/>
  <c r="G311" i="4"/>
  <c r="H311" i="4" s="1"/>
  <c r="K310" i="4"/>
  <c r="G310" i="4"/>
  <c r="H310" i="4" s="1"/>
  <c r="N310" i="4" s="1"/>
  <c r="K309" i="4"/>
  <c r="G309" i="4"/>
  <c r="H309" i="4" s="1"/>
  <c r="K308" i="4"/>
  <c r="G308" i="4"/>
  <c r="H308" i="4" s="1"/>
  <c r="K307" i="4"/>
  <c r="G307" i="4"/>
  <c r="H307" i="4" s="1"/>
  <c r="K306" i="4"/>
  <c r="G306" i="4"/>
  <c r="H306" i="4" s="1"/>
  <c r="N306" i="4" s="1"/>
  <c r="K305" i="4"/>
  <c r="G305" i="4"/>
  <c r="H305" i="4" s="1"/>
  <c r="K304" i="4"/>
  <c r="G304" i="4"/>
  <c r="H304" i="4" s="1"/>
  <c r="K303" i="4"/>
  <c r="G303" i="4"/>
  <c r="H303" i="4" s="1"/>
  <c r="K302" i="4"/>
  <c r="G302" i="4"/>
  <c r="H302" i="4" s="1"/>
  <c r="N302" i="4" s="1"/>
  <c r="K301" i="4"/>
  <c r="G301" i="4"/>
  <c r="H301" i="4" s="1"/>
  <c r="K300" i="4"/>
  <c r="G300" i="4"/>
  <c r="H300" i="4" s="1"/>
  <c r="K299" i="4"/>
  <c r="G299" i="4"/>
  <c r="H299" i="4" s="1"/>
  <c r="K298" i="4"/>
  <c r="G298" i="4"/>
  <c r="H298" i="4" s="1"/>
  <c r="N298" i="4" s="1"/>
  <c r="K297" i="4"/>
  <c r="G297" i="4"/>
  <c r="H297" i="4" s="1"/>
  <c r="K296" i="4"/>
  <c r="G296" i="4"/>
  <c r="H296" i="4" s="1"/>
  <c r="K295" i="4"/>
  <c r="G295" i="4"/>
  <c r="H295" i="4" s="1"/>
  <c r="K294" i="4"/>
  <c r="G294" i="4"/>
  <c r="H294" i="4" s="1"/>
  <c r="N294" i="4" s="1"/>
  <c r="K293" i="4"/>
  <c r="G293" i="4"/>
  <c r="H293" i="4" s="1"/>
  <c r="K292" i="4"/>
  <c r="G292" i="4"/>
  <c r="H292" i="4" s="1"/>
  <c r="K291" i="4"/>
  <c r="G291" i="4"/>
  <c r="H291" i="4" s="1"/>
  <c r="K290" i="4"/>
  <c r="G290" i="4"/>
  <c r="H290" i="4" s="1"/>
  <c r="N290" i="4" s="1"/>
  <c r="K289" i="4"/>
  <c r="G289" i="4"/>
  <c r="H289" i="4" s="1"/>
  <c r="K288" i="4"/>
  <c r="G288" i="4"/>
  <c r="H288" i="4" s="1"/>
  <c r="K287" i="4"/>
  <c r="G287" i="4"/>
  <c r="H287" i="4" s="1"/>
  <c r="K286" i="4"/>
  <c r="G286" i="4"/>
  <c r="H286" i="4" s="1"/>
  <c r="N286" i="4" s="1"/>
  <c r="K285" i="4"/>
  <c r="G285" i="4"/>
  <c r="H285" i="4" s="1"/>
  <c r="K284" i="4"/>
  <c r="G284" i="4"/>
  <c r="H284" i="4" s="1"/>
  <c r="K283" i="4"/>
  <c r="G283" i="4"/>
  <c r="H283" i="4" s="1"/>
  <c r="K282" i="4"/>
  <c r="G282" i="4"/>
  <c r="H282" i="4" s="1"/>
  <c r="N282" i="4" s="1"/>
  <c r="K281" i="4"/>
  <c r="G281" i="4"/>
  <c r="H281" i="4" s="1"/>
  <c r="K280" i="4"/>
  <c r="G280" i="4"/>
  <c r="H280" i="4" s="1"/>
  <c r="M280" i="4" s="1"/>
  <c r="K279" i="4"/>
  <c r="G279" i="4"/>
  <c r="H279" i="4" s="1"/>
  <c r="N279" i="4" s="1"/>
  <c r="K278" i="4"/>
  <c r="G278" i="4"/>
  <c r="H278" i="4" s="1"/>
  <c r="N278" i="4" s="1"/>
  <c r="K277" i="4"/>
  <c r="G277" i="4"/>
  <c r="H277" i="4" s="1"/>
  <c r="K276" i="4"/>
  <c r="G276" i="4"/>
  <c r="H276" i="4" s="1"/>
  <c r="K275" i="4"/>
  <c r="G275" i="4"/>
  <c r="H275" i="4" s="1"/>
  <c r="K274" i="4"/>
  <c r="G274" i="4"/>
  <c r="H274" i="4" s="1"/>
  <c r="N274" i="4" s="1"/>
  <c r="K273" i="4"/>
  <c r="G273" i="4"/>
  <c r="H273" i="4" s="1"/>
  <c r="K272" i="4"/>
  <c r="G272" i="4"/>
  <c r="H272" i="4" s="1"/>
  <c r="M272" i="4" s="1"/>
  <c r="K271" i="4"/>
  <c r="G271" i="4"/>
  <c r="H271" i="4" s="1"/>
  <c r="K270" i="4"/>
  <c r="G270" i="4"/>
  <c r="H270" i="4" s="1"/>
  <c r="N270" i="4" s="1"/>
  <c r="K269" i="4"/>
  <c r="G269" i="4"/>
  <c r="H269" i="4" s="1"/>
  <c r="K268" i="4"/>
  <c r="G268" i="4"/>
  <c r="H268" i="4" s="1"/>
  <c r="M268" i="4" s="1"/>
  <c r="K267" i="4"/>
  <c r="G267" i="4"/>
  <c r="H267" i="4" s="1"/>
  <c r="K266" i="4"/>
  <c r="G266" i="4"/>
  <c r="H266" i="4" s="1"/>
  <c r="N266" i="4" s="1"/>
  <c r="K265" i="4"/>
  <c r="G265" i="4"/>
  <c r="H265" i="4" s="1"/>
  <c r="K264" i="4"/>
  <c r="G264" i="4"/>
  <c r="H264" i="4" s="1"/>
  <c r="K263" i="4"/>
  <c r="G263" i="4"/>
  <c r="H263" i="4" s="1"/>
  <c r="N263" i="4" s="1"/>
  <c r="K262" i="4"/>
  <c r="G262" i="4"/>
  <c r="H262" i="4" s="1"/>
  <c r="N262" i="4" s="1"/>
  <c r="K261" i="4"/>
  <c r="G261" i="4"/>
  <c r="H261" i="4" s="1"/>
  <c r="K260" i="4"/>
  <c r="G260" i="4"/>
  <c r="H260" i="4" s="1"/>
  <c r="K259" i="4"/>
  <c r="G259" i="4"/>
  <c r="H259" i="4" s="1"/>
  <c r="N259" i="4" s="1"/>
  <c r="K258" i="4"/>
  <c r="G258" i="4"/>
  <c r="H258" i="4" s="1"/>
  <c r="N258" i="4" s="1"/>
  <c r="K257" i="4"/>
  <c r="G257" i="4"/>
  <c r="H257" i="4" s="1"/>
  <c r="K256" i="4"/>
  <c r="G256" i="4"/>
  <c r="H256" i="4" s="1"/>
  <c r="K255" i="4"/>
  <c r="G255" i="4"/>
  <c r="H255" i="4" s="1"/>
  <c r="N255" i="4" s="1"/>
  <c r="K254" i="4"/>
  <c r="G254" i="4"/>
  <c r="H254" i="4" s="1"/>
  <c r="N254" i="4" s="1"/>
  <c r="K253" i="4"/>
  <c r="G253" i="4"/>
  <c r="H253" i="4" s="1"/>
  <c r="K252" i="4"/>
  <c r="G252" i="4"/>
  <c r="H252" i="4" s="1"/>
  <c r="K251" i="4"/>
  <c r="G251" i="4"/>
  <c r="H251" i="4" s="1"/>
  <c r="N251" i="4" s="1"/>
  <c r="K250" i="4"/>
  <c r="G250" i="4"/>
  <c r="H250" i="4" s="1"/>
  <c r="N250" i="4" s="1"/>
  <c r="K249" i="4"/>
  <c r="G249" i="4"/>
  <c r="H249" i="4" s="1"/>
  <c r="K248" i="4"/>
  <c r="G248" i="4"/>
  <c r="H248" i="4" s="1"/>
  <c r="M248" i="4" s="1"/>
  <c r="K247" i="4"/>
  <c r="G247" i="4"/>
  <c r="H247" i="4" s="1"/>
  <c r="M247" i="4" s="1"/>
  <c r="K246" i="4"/>
  <c r="G246" i="4"/>
  <c r="H246" i="4" s="1"/>
  <c r="N246" i="4" s="1"/>
  <c r="K245" i="4"/>
  <c r="G245" i="4"/>
  <c r="H245" i="4" s="1"/>
  <c r="K244" i="4"/>
  <c r="G244" i="4"/>
  <c r="H244" i="4" s="1"/>
  <c r="K243" i="4"/>
  <c r="G243" i="4"/>
  <c r="H243" i="4" s="1"/>
  <c r="K242" i="4"/>
  <c r="G242" i="4"/>
  <c r="H242" i="4" s="1"/>
  <c r="N242" i="4" s="1"/>
  <c r="K241" i="4"/>
  <c r="G241" i="4"/>
  <c r="H241" i="4" s="1"/>
  <c r="K240" i="4"/>
  <c r="G240" i="4"/>
  <c r="H240" i="4" s="1"/>
  <c r="M240" i="4" s="1"/>
  <c r="K239" i="4"/>
  <c r="G239" i="4"/>
  <c r="H239" i="4" s="1"/>
  <c r="M239" i="4" s="1"/>
  <c r="K238" i="4"/>
  <c r="G238" i="4"/>
  <c r="H238" i="4" s="1"/>
  <c r="N238" i="4" s="1"/>
  <c r="K237" i="4"/>
  <c r="G237" i="4"/>
  <c r="H237" i="4" s="1"/>
  <c r="K236" i="4"/>
  <c r="G236" i="4"/>
  <c r="H236" i="4" s="1"/>
  <c r="M236" i="4" s="1"/>
  <c r="K235" i="4"/>
  <c r="G235" i="4"/>
  <c r="H235" i="4" s="1"/>
  <c r="M235" i="4" s="1"/>
  <c r="K234" i="4"/>
  <c r="G234" i="4"/>
  <c r="H234" i="4" s="1"/>
  <c r="N234" i="4" s="1"/>
  <c r="K233" i="4"/>
  <c r="G233" i="4"/>
  <c r="H233" i="4" s="1"/>
  <c r="K232" i="4"/>
  <c r="G232" i="4"/>
  <c r="H232" i="4" s="1"/>
  <c r="M232" i="4" s="1"/>
  <c r="K231" i="4"/>
  <c r="G231" i="4"/>
  <c r="H231" i="4" s="1"/>
  <c r="K230" i="4"/>
  <c r="G230" i="4"/>
  <c r="H230" i="4" s="1"/>
  <c r="N230" i="4" s="1"/>
  <c r="K229" i="4"/>
  <c r="G229" i="4"/>
  <c r="H229" i="4" s="1"/>
  <c r="K228" i="4"/>
  <c r="G228" i="4"/>
  <c r="H228" i="4" s="1"/>
  <c r="M228" i="4" s="1"/>
  <c r="K227" i="4"/>
  <c r="G227" i="4"/>
  <c r="H227" i="4" s="1"/>
  <c r="K226" i="4"/>
  <c r="G226" i="4"/>
  <c r="H226" i="4" s="1"/>
  <c r="N226" i="4" s="1"/>
  <c r="K225" i="4"/>
  <c r="G225" i="4"/>
  <c r="H225" i="4" s="1"/>
  <c r="K224" i="4"/>
  <c r="G224" i="4"/>
  <c r="H224" i="4" s="1"/>
  <c r="K223" i="4"/>
  <c r="G223" i="4"/>
  <c r="H223" i="4" s="1"/>
  <c r="K222" i="4"/>
  <c r="G222" i="4"/>
  <c r="H222" i="4" s="1"/>
  <c r="N222" i="4" s="1"/>
  <c r="K221" i="4"/>
  <c r="G221" i="4"/>
  <c r="H221" i="4" s="1"/>
  <c r="K220" i="4"/>
  <c r="G220" i="4"/>
  <c r="H220" i="4" s="1"/>
  <c r="M220" i="4" s="1"/>
  <c r="K219" i="4"/>
  <c r="G219" i="4"/>
  <c r="H219" i="4" s="1"/>
  <c r="N219" i="4" s="1"/>
  <c r="K218" i="4"/>
  <c r="G218" i="4"/>
  <c r="H218" i="4" s="1"/>
  <c r="N218" i="4" s="1"/>
  <c r="K217" i="4"/>
  <c r="G217" i="4"/>
  <c r="H217" i="4" s="1"/>
  <c r="K216" i="4"/>
  <c r="G216" i="4"/>
  <c r="H216" i="4" s="1"/>
  <c r="M216" i="4" s="1"/>
  <c r="K215" i="4"/>
  <c r="G215" i="4"/>
  <c r="H215" i="4" s="1"/>
  <c r="K214" i="4"/>
  <c r="G214" i="4"/>
  <c r="H214" i="4" s="1"/>
  <c r="N214" i="4" s="1"/>
  <c r="K213" i="4"/>
  <c r="G213" i="4"/>
  <c r="H213" i="4" s="1"/>
  <c r="K212" i="4"/>
  <c r="G212" i="4"/>
  <c r="H212" i="4" s="1"/>
  <c r="K211" i="4"/>
  <c r="G211" i="4"/>
  <c r="H211" i="4" s="1"/>
  <c r="K210" i="4"/>
  <c r="G210" i="4"/>
  <c r="H210" i="4" s="1"/>
  <c r="N210" i="4" s="1"/>
  <c r="K209" i="4"/>
  <c r="G209" i="4"/>
  <c r="H209" i="4" s="1"/>
  <c r="K208" i="4"/>
  <c r="G208" i="4"/>
  <c r="H208" i="4" s="1"/>
  <c r="M208" i="4" s="1"/>
  <c r="K207" i="4"/>
  <c r="G207" i="4"/>
  <c r="H207" i="4" s="1"/>
  <c r="K206" i="4"/>
  <c r="G206" i="4"/>
  <c r="H206" i="4" s="1"/>
  <c r="N206" i="4" s="1"/>
  <c r="K205" i="4"/>
  <c r="G205" i="4"/>
  <c r="H205" i="4" s="1"/>
  <c r="K204" i="4"/>
  <c r="G204" i="4"/>
  <c r="H204" i="4" s="1"/>
  <c r="M204" i="4" s="1"/>
  <c r="K203" i="4"/>
  <c r="G203" i="4"/>
  <c r="H203" i="4" s="1"/>
  <c r="K202" i="4"/>
  <c r="G202" i="4"/>
  <c r="H202" i="4" s="1"/>
  <c r="N202" i="4" s="1"/>
  <c r="K201" i="4"/>
  <c r="G201" i="4"/>
  <c r="H201" i="4" s="1"/>
  <c r="K200" i="4"/>
  <c r="G200" i="4"/>
  <c r="H200" i="4" s="1"/>
  <c r="K199" i="4"/>
  <c r="G199" i="4"/>
  <c r="H199" i="4" s="1"/>
  <c r="N199" i="4" s="1"/>
  <c r="K198" i="4"/>
  <c r="G198" i="4"/>
  <c r="H198" i="4" s="1"/>
  <c r="N198" i="4" s="1"/>
  <c r="K197" i="4"/>
  <c r="G197" i="4"/>
  <c r="H197" i="4" s="1"/>
  <c r="K196" i="4"/>
  <c r="G196" i="4"/>
  <c r="H196" i="4" s="1"/>
  <c r="K195" i="4"/>
  <c r="G195" i="4"/>
  <c r="H195" i="4" s="1"/>
  <c r="N195" i="4" s="1"/>
  <c r="K194" i="4"/>
  <c r="G194" i="4"/>
  <c r="H194" i="4" s="1"/>
  <c r="N194" i="4" s="1"/>
  <c r="K193" i="4"/>
  <c r="G193" i="4"/>
  <c r="H193" i="4" s="1"/>
  <c r="K192" i="4"/>
  <c r="G192" i="4"/>
  <c r="H192" i="4" s="1"/>
  <c r="K191" i="4"/>
  <c r="G191" i="4"/>
  <c r="H191" i="4" s="1"/>
  <c r="N191" i="4" s="1"/>
  <c r="K190" i="4"/>
  <c r="G190" i="4"/>
  <c r="H190" i="4" s="1"/>
  <c r="N190" i="4" s="1"/>
  <c r="K189" i="4"/>
  <c r="G189" i="4"/>
  <c r="H189" i="4" s="1"/>
  <c r="K188" i="4"/>
  <c r="G188" i="4"/>
  <c r="H188" i="4" s="1"/>
  <c r="K187" i="4"/>
  <c r="G187" i="4"/>
  <c r="H187" i="4" s="1"/>
  <c r="N187" i="4" s="1"/>
  <c r="K186" i="4"/>
  <c r="G186" i="4"/>
  <c r="H186" i="4" s="1"/>
  <c r="N186" i="4" s="1"/>
  <c r="K185" i="4"/>
  <c r="G185" i="4"/>
  <c r="H185" i="4" s="1"/>
  <c r="K184" i="4"/>
  <c r="G184" i="4"/>
  <c r="H184" i="4" s="1"/>
  <c r="K183" i="4"/>
  <c r="G183" i="4"/>
  <c r="H183" i="4" s="1"/>
  <c r="M183" i="4" s="1"/>
  <c r="K182" i="4"/>
  <c r="G182" i="4"/>
  <c r="H182" i="4" s="1"/>
  <c r="N182" i="4" s="1"/>
  <c r="K181" i="4"/>
  <c r="G181" i="4"/>
  <c r="H181" i="4" s="1"/>
  <c r="K180" i="4"/>
  <c r="G180" i="4"/>
  <c r="H180" i="4" s="1"/>
  <c r="K179" i="4"/>
  <c r="G179" i="4"/>
  <c r="H179" i="4" s="1"/>
  <c r="N179" i="4" s="1"/>
  <c r="K178" i="4"/>
  <c r="G178" i="4"/>
  <c r="H178" i="4" s="1"/>
  <c r="N178" i="4" s="1"/>
  <c r="K177" i="4"/>
  <c r="G177" i="4"/>
  <c r="H177" i="4" s="1"/>
  <c r="K176" i="4"/>
  <c r="G176" i="4"/>
  <c r="H176" i="4" s="1"/>
  <c r="M176" i="4" s="1"/>
  <c r="K175" i="4"/>
  <c r="G175" i="4"/>
  <c r="H175" i="4" s="1"/>
  <c r="M175" i="4" s="1"/>
  <c r="K174" i="4"/>
  <c r="G174" i="4"/>
  <c r="H174" i="4" s="1"/>
  <c r="N174" i="4" s="1"/>
  <c r="K173" i="4"/>
  <c r="G173" i="4"/>
  <c r="H173" i="4" s="1"/>
  <c r="K172" i="4"/>
  <c r="G172" i="4"/>
  <c r="H172" i="4" s="1"/>
  <c r="K171" i="4"/>
  <c r="G171" i="4"/>
  <c r="H171" i="4" s="1"/>
  <c r="M171" i="4" s="1"/>
  <c r="K170" i="4"/>
  <c r="G170" i="4"/>
  <c r="H170" i="4" s="1"/>
  <c r="N170" i="4" s="1"/>
  <c r="K169" i="4"/>
  <c r="G169" i="4"/>
  <c r="H169" i="4" s="1"/>
  <c r="K168" i="4"/>
  <c r="G168" i="4"/>
  <c r="H168" i="4" s="1"/>
  <c r="K167" i="4"/>
  <c r="G167" i="4"/>
  <c r="H167" i="4" s="1"/>
  <c r="N167" i="4" s="1"/>
  <c r="K166" i="4"/>
  <c r="G166" i="4"/>
  <c r="H166" i="4" s="1"/>
  <c r="N166" i="4" s="1"/>
  <c r="K165" i="4"/>
  <c r="G165" i="4"/>
  <c r="H165" i="4" s="1"/>
  <c r="K164" i="4"/>
  <c r="G164" i="4"/>
  <c r="H164" i="4" s="1"/>
  <c r="K163" i="4"/>
  <c r="G163" i="4"/>
  <c r="H163" i="4" s="1"/>
  <c r="K162" i="4"/>
  <c r="G162" i="4"/>
  <c r="H162" i="4" s="1"/>
  <c r="N162" i="4" s="1"/>
  <c r="K161" i="4"/>
  <c r="G161" i="4"/>
  <c r="H161" i="4" s="1"/>
  <c r="K160" i="4"/>
  <c r="G160" i="4"/>
  <c r="H160" i="4" s="1"/>
  <c r="K159" i="4"/>
  <c r="G159" i="4"/>
  <c r="H159" i="4" s="1"/>
  <c r="N159" i="4" s="1"/>
  <c r="K158" i="4"/>
  <c r="G158" i="4"/>
  <c r="H158" i="4" s="1"/>
  <c r="N158" i="4" s="1"/>
  <c r="K157" i="4"/>
  <c r="G157" i="4"/>
  <c r="H157" i="4" s="1"/>
  <c r="K156" i="4"/>
  <c r="G156" i="4"/>
  <c r="H156" i="4" s="1"/>
  <c r="K155" i="4"/>
  <c r="G155" i="4"/>
  <c r="H155" i="4" s="1"/>
  <c r="K154" i="4"/>
  <c r="G154" i="4"/>
  <c r="H154" i="4" s="1"/>
  <c r="N154" i="4" s="1"/>
  <c r="K153" i="4"/>
  <c r="G153" i="4"/>
  <c r="H153" i="4" s="1"/>
  <c r="K152" i="4"/>
  <c r="G152" i="4"/>
  <c r="H152" i="4" s="1"/>
  <c r="M152" i="4" s="1"/>
  <c r="K151" i="4"/>
  <c r="G151" i="4"/>
  <c r="H151" i="4" s="1"/>
  <c r="K150" i="4"/>
  <c r="G150" i="4"/>
  <c r="H150" i="4" s="1"/>
  <c r="N150" i="4" s="1"/>
  <c r="K149" i="4"/>
  <c r="G149" i="4"/>
  <c r="H149" i="4" s="1"/>
  <c r="K148" i="4"/>
  <c r="G148" i="4"/>
  <c r="H148" i="4" s="1"/>
  <c r="K147" i="4"/>
  <c r="G147" i="4"/>
  <c r="H147" i="4" s="1"/>
  <c r="N147" i="4" s="1"/>
  <c r="K146" i="4"/>
  <c r="G146" i="4"/>
  <c r="H146" i="4" s="1"/>
  <c r="N146" i="4" s="1"/>
  <c r="K145" i="4"/>
  <c r="G145" i="4"/>
  <c r="H145" i="4" s="1"/>
  <c r="K144" i="4"/>
  <c r="G144" i="4"/>
  <c r="H144" i="4" s="1"/>
  <c r="M144" i="4" s="1"/>
  <c r="K143" i="4"/>
  <c r="G143" i="4"/>
  <c r="H143" i="4" s="1"/>
  <c r="K142" i="4"/>
  <c r="G142" i="4"/>
  <c r="H142" i="4" s="1"/>
  <c r="N142" i="4" s="1"/>
  <c r="K141" i="4"/>
  <c r="G141" i="4"/>
  <c r="H141" i="4" s="1"/>
  <c r="K140" i="4"/>
  <c r="G140" i="4"/>
  <c r="H140" i="4" s="1"/>
  <c r="M140" i="4" s="1"/>
  <c r="K139" i="4"/>
  <c r="G139" i="4"/>
  <c r="H139" i="4" s="1"/>
  <c r="K138" i="4"/>
  <c r="G138" i="4"/>
  <c r="H138" i="4" s="1"/>
  <c r="N138" i="4" s="1"/>
  <c r="K137" i="4"/>
  <c r="G137" i="4"/>
  <c r="H137" i="4" s="1"/>
  <c r="K136" i="4"/>
  <c r="G136" i="4"/>
  <c r="H136" i="4" s="1"/>
  <c r="K135" i="4"/>
  <c r="G135" i="4"/>
  <c r="H135" i="4" s="1"/>
  <c r="K134" i="4"/>
  <c r="G134" i="4"/>
  <c r="H134" i="4" s="1"/>
  <c r="N134" i="4" s="1"/>
  <c r="K133" i="4"/>
  <c r="G133" i="4"/>
  <c r="H133" i="4" s="1"/>
  <c r="K132" i="4"/>
  <c r="G132" i="4"/>
  <c r="H132" i="4" s="1"/>
  <c r="K131" i="4"/>
  <c r="G131" i="4"/>
  <c r="H131" i="4" s="1"/>
  <c r="N131" i="4" s="1"/>
  <c r="K130" i="4"/>
  <c r="G130" i="4"/>
  <c r="H130" i="4" s="1"/>
  <c r="N130" i="4" s="1"/>
  <c r="K129" i="4"/>
  <c r="G129" i="4"/>
  <c r="H129" i="4" s="1"/>
  <c r="K128" i="4"/>
  <c r="G128" i="4"/>
  <c r="H128" i="4" s="1"/>
  <c r="K127" i="4"/>
  <c r="G127" i="4"/>
  <c r="H127" i="4" s="1"/>
  <c r="N127" i="4" s="1"/>
  <c r="K126" i="4"/>
  <c r="G126" i="4"/>
  <c r="H126" i="4" s="1"/>
  <c r="N126" i="4" s="1"/>
  <c r="K125" i="4"/>
  <c r="G125" i="4"/>
  <c r="H125" i="4" s="1"/>
  <c r="K124" i="4"/>
  <c r="G124" i="4"/>
  <c r="H124" i="4" s="1"/>
  <c r="K123" i="4"/>
  <c r="G123" i="4"/>
  <c r="H123" i="4" s="1"/>
  <c r="N123" i="4" s="1"/>
  <c r="K122" i="4"/>
  <c r="G122" i="4"/>
  <c r="H122" i="4" s="1"/>
  <c r="N122" i="4" s="1"/>
  <c r="K121" i="4"/>
  <c r="G121" i="4"/>
  <c r="H121" i="4" s="1"/>
  <c r="K120" i="4"/>
  <c r="G120" i="4"/>
  <c r="H120" i="4" s="1"/>
  <c r="M120" i="4" s="1"/>
  <c r="K119" i="4"/>
  <c r="G119" i="4"/>
  <c r="H119" i="4" s="1"/>
  <c r="N119" i="4" s="1"/>
  <c r="K118" i="4"/>
  <c r="G118" i="4"/>
  <c r="H118" i="4" s="1"/>
  <c r="N118" i="4" s="1"/>
  <c r="K117" i="4"/>
  <c r="G117" i="4"/>
  <c r="H117" i="4" s="1"/>
  <c r="K116" i="4"/>
  <c r="G116" i="4"/>
  <c r="H116" i="4" s="1"/>
  <c r="M116" i="4" s="1"/>
  <c r="K115" i="4"/>
  <c r="G115" i="4"/>
  <c r="H115" i="4" s="1"/>
  <c r="K114" i="4"/>
  <c r="G114" i="4"/>
  <c r="H114" i="4" s="1"/>
  <c r="N114" i="4" s="1"/>
  <c r="K113" i="4"/>
  <c r="G113" i="4"/>
  <c r="H113" i="4" s="1"/>
  <c r="K112" i="4"/>
  <c r="G112" i="4"/>
  <c r="H112" i="4" s="1"/>
  <c r="K111" i="4"/>
  <c r="G111" i="4"/>
  <c r="H111" i="4" s="1"/>
  <c r="K110" i="4"/>
  <c r="G110" i="4"/>
  <c r="H110" i="4" s="1"/>
  <c r="N110" i="4" s="1"/>
  <c r="K109" i="4"/>
  <c r="G109" i="4"/>
  <c r="H109" i="4" s="1"/>
  <c r="K108" i="4"/>
  <c r="G108" i="4"/>
  <c r="H108" i="4" s="1"/>
  <c r="K107" i="4"/>
  <c r="G107" i="4"/>
  <c r="H107" i="4" s="1"/>
  <c r="K106" i="4"/>
  <c r="G106" i="4"/>
  <c r="H106" i="4" s="1"/>
  <c r="N106" i="4" s="1"/>
  <c r="K105" i="4"/>
  <c r="G105" i="4"/>
  <c r="H105" i="4" s="1"/>
  <c r="K104" i="4"/>
  <c r="G104" i="4"/>
  <c r="H104" i="4" s="1"/>
  <c r="M104" i="4" s="1"/>
  <c r="K103" i="4"/>
  <c r="G103" i="4"/>
  <c r="H103" i="4" s="1"/>
  <c r="K102" i="4"/>
  <c r="G102" i="4"/>
  <c r="H102" i="4" s="1"/>
  <c r="N102" i="4" s="1"/>
  <c r="K101" i="4"/>
  <c r="G101" i="4"/>
  <c r="H101" i="4" s="1"/>
  <c r="K100" i="4"/>
  <c r="G100" i="4"/>
  <c r="H100" i="4" s="1"/>
  <c r="M100" i="4" s="1"/>
  <c r="K99" i="4"/>
  <c r="G99" i="4"/>
  <c r="H99" i="4" s="1"/>
  <c r="K98" i="4"/>
  <c r="G98" i="4"/>
  <c r="H98" i="4" s="1"/>
  <c r="N98" i="4" s="1"/>
  <c r="K97" i="4"/>
  <c r="G97" i="4"/>
  <c r="H97" i="4" s="1"/>
  <c r="K96" i="4"/>
  <c r="G96" i="4"/>
  <c r="H96" i="4" s="1"/>
  <c r="M96" i="4" s="1"/>
  <c r="K95" i="4"/>
  <c r="G95" i="4"/>
  <c r="H95" i="4" s="1"/>
  <c r="K94" i="4"/>
  <c r="G94" i="4"/>
  <c r="H94" i="4" s="1"/>
  <c r="N94" i="4" s="1"/>
  <c r="K93" i="4"/>
  <c r="G93" i="4"/>
  <c r="H93" i="4" s="1"/>
  <c r="K92" i="4"/>
  <c r="G92" i="4"/>
  <c r="H92" i="4" s="1"/>
  <c r="K91" i="4"/>
  <c r="G91" i="4"/>
  <c r="H91" i="4" s="1"/>
  <c r="K90" i="4"/>
  <c r="G90" i="4"/>
  <c r="H90" i="4" s="1"/>
  <c r="N90" i="4" s="1"/>
  <c r="K89" i="4"/>
  <c r="G89" i="4"/>
  <c r="H89" i="4" s="1"/>
  <c r="K88" i="4"/>
  <c r="G88" i="4"/>
  <c r="H88" i="4" s="1"/>
  <c r="K87" i="4"/>
  <c r="G87" i="4"/>
  <c r="H87" i="4" s="1"/>
  <c r="K86" i="4"/>
  <c r="G86" i="4"/>
  <c r="H86" i="4" s="1"/>
  <c r="N86" i="4" s="1"/>
  <c r="K85" i="4"/>
  <c r="G85" i="4"/>
  <c r="H85" i="4" s="1"/>
  <c r="K84" i="4"/>
  <c r="G84" i="4"/>
  <c r="H84" i="4" s="1"/>
  <c r="K83" i="4"/>
  <c r="G83" i="4"/>
  <c r="H83" i="4" s="1"/>
  <c r="K82" i="4"/>
  <c r="G82" i="4"/>
  <c r="H82" i="4" s="1"/>
  <c r="N82" i="4" s="1"/>
  <c r="K81" i="4"/>
  <c r="G81" i="4"/>
  <c r="H81" i="4" s="1"/>
  <c r="K80" i="4"/>
  <c r="G80" i="4"/>
  <c r="H80" i="4" s="1"/>
  <c r="K79" i="4"/>
  <c r="G79" i="4"/>
  <c r="H79" i="4" s="1"/>
  <c r="K78" i="4"/>
  <c r="G78" i="4"/>
  <c r="H78" i="4" s="1"/>
  <c r="N78" i="4" s="1"/>
  <c r="K77" i="4"/>
  <c r="G77" i="4"/>
  <c r="H77" i="4" s="1"/>
  <c r="K76" i="4"/>
  <c r="G76" i="4"/>
  <c r="H76" i="4" s="1"/>
  <c r="K75" i="4"/>
  <c r="G75" i="4"/>
  <c r="H75" i="4" s="1"/>
  <c r="N75" i="4" s="1"/>
  <c r="K74" i="4"/>
  <c r="G74" i="4"/>
  <c r="H74" i="4" s="1"/>
  <c r="N74" i="4" s="1"/>
  <c r="K73" i="4"/>
  <c r="G73" i="4"/>
  <c r="H73" i="4" s="1"/>
  <c r="K72" i="4"/>
  <c r="G72" i="4"/>
  <c r="H72" i="4" s="1"/>
  <c r="M72" i="4" s="1"/>
  <c r="K71" i="4"/>
  <c r="G71" i="4"/>
  <c r="H71" i="4" s="1"/>
  <c r="K70" i="4"/>
  <c r="G70" i="4"/>
  <c r="H70" i="4" s="1"/>
  <c r="N70" i="4" s="1"/>
  <c r="K69" i="4"/>
  <c r="G69" i="4"/>
  <c r="H69" i="4" s="1"/>
  <c r="K68" i="4"/>
  <c r="G68" i="4"/>
  <c r="H68" i="4" s="1"/>
  <c r="K67" i="4"/>
  <c r="G67" i="4"/>
  <c r="H67" i="4" s="1"/>
  <c r="K66" i="4"/>
  <c r="G66" i="4"/>
  <c r="H66" i="4" s="1"/>
  <c r="N66" i="4" s="1"/>
  <c r="K65" i="4"/>
  <c r="G65" i="4"/>
  <c r="H65" i="4" s="1"/>
  <c r="K64" i="4"/>
  <c r="G64" i="4"/>
  <c r="H64" i="4" s="1"/>
  <c r="M64" i="4" s="1"/>
  <c r="K63" i="4"/>
  <c r="G63" i="4"/>
  <c r="H63" i="4" s="1"/>
  <c r="K62" i="4"/>
  <c r="G62" i="4"/>
  <c r="H62" i="4" s="1"/>
  <c r="N62" i="4" s="1"/>
  <c r="K61" i="4"/>
  <c r="G61" i="4"/>
  <c r="H61" i="4" s="1"/>
  <c r="K60" i="4"/>
  <c r="G60" i="4"/>
  <c r="H60" i="4" s="1"/>
  <c r="M60" i="4" s="1"/>
  <c r="K59" i="4"/>
  <c r="G59" i="4"/>
  <c r="H59" i="4" s="1"/>
  <c r="K58" i="4"/>
  <c r="G58" i="4"/>
  <c r="H58" i="4" s="1"/>
  <c r="N58" i="4" s="1"/>
  <c r="K57" i="4"/>
  <c r="G57" i="4"/>
  <c r="H57" i="4" s="1"/>
  <c r="K56" i="4"/>
  <c r="G56" i="4"/>
  <c r="H56" i="4" s="1"/>
  <c r="K55" i="4"/>
  <c r="G55" i="4"/>
  <c r="H55" i="4" s="1"/>
  <c r="K54" i="4"/>
  <c r="G54" i="4"/>
  <c r="H54" i="4" s="1"/>
  <c r="N54" i="4" s="1"/>
  <c r="K53" i="4"/>
  <c r="G53" i="4"/>
  <c r="H53" i="4" s="1"/>
  <c r="K52" i="4"/>
  <c r="G52" i="4"/>
  <c r="H52" i="4" s="1"/>
  <c r="M52" i="4" s="1"/>
  <c r="K51" i="4"/>
  <c r="G51" i="4"/>
  <c r="H51" i="4" s="1"/>
  <c r="K50" i="4"/>
  <c r="G50" i="4"/>
  <c r="H50" i="4" s="1"/>
  <c r="K49" i="4"/>
  <c r="K48" i="4"/>
  <c r="K47" i="4"/>
  <c r="K46" i="4"/>
  <c r="K39" i="4"/>
  <c r="G39" i="4"/>
  <c r="H39" i="4" s="1"/>
  <c r="K38" i="4"/>
  <c r="K37" i="4"/>
  <c r="K36" i="4"/>
  <c r="K35" i="4"/>
  <c r="K34" i="4"/>
  <c r="K33" i="4"/>
  <c r="K32" i="4"/>
  <c r="K31" i="4"/>
  <c r="G31" i="4"/>
  <c r="H31" i="4" s="1"/>
  <c r="K30" i="4"/>
  <c r="K29" i="4"/>
  <c r="K28" i="4"/>
  <c r="G28" i="4"/>
  <c r="H28" i="4" s="1"/>
  <c r="N28" i="4" s="1"/>
  <c r="K27" i="4"/>
  <c r="K26" i="4"/>
  <c r="K25" i="4"/>
  <c r="K24" i="4"/>
  <c r="K23" i="4"/>
  <c r="G23" i="4"/>
  <c r="H23" i="4" s="1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G49" i="4" l="1"/>
  <c r="H49" i="4" s="1"/>
  <c r="G10" i="6" s="1"/>
  <c r="H10" i="6" s="1"/>
  <c r="E16" i="9" s="1"/>
  <c r="D10" i="6"/>
  <c r="B7" i="7"/>
  <c r="B19" i="7" s="1"/>
  <c r="J10" i="9" s="1"/>
  <c r="G3" i="4"/>
  <c r="H3" i="4" s="1"/>
  <c r="M3" i="4" s="1"/>
  <c r="E106" i="6"/>
  <c r="H101" i="6"/>
  <c r="F378" i="6"/>
  <c r="L252" i="4"/>
  <c r="L264" i="4"/>
  <c r="G29" i="4"/>
  <c r="H29" i="4" s="1"/>
  <c r="M29" i="4" s="1"/>
  <c r="M1251" i="4"/>
  <c r="E253" i="6"/>
  <c r="E264" i="6"/>
  <c r="E256" i="6"/>
  <c r="L825" i="4"/>
  <c r="L913" i="4"/>
  <c r="H167" i="6"/>
  <c r="E171" i="6"/>
  <c r="E275" i="6"/>
  <c r="E227" i="6"/>
  <c r="E516" i="6"/>
  <c r="L332" i="4"/>
  <c r="M715" i="4"/>
  <c r="L751" i="4"/>
  <c r="N834" i="4"/>
  <c r="L934" i="4"/>
  <c r="L1018" i="4"/>
  <c r="M751" i="4"/>
  <c r="N1234" i="4"/>
  <c r="L983" i="4"/>
  <c r="L1401" i="4"/>
  <c r="L1413" i="4"/>
  <c r="F175" i="6"/>
  <c r="H494" i="6"/>
  <c r="L650" i="4"/>
  <c r="N1298" i="4"/>
  <c r="E45" i="6"/>
  <c r="H336" i="6"/>
  <c r="L591" i="4"/>
  <c r="H170" i="6"/>
  <c r="H393" i="6"/>
  <c r="E437" i="6"/>
  <c r="L1451" i="4"/>
  <c r="L1499" i="4"/>
  <c r="H307" i="6"/>
  <c r="M540" i="4"/>
  <c r="L1041" i="4"/>
  <c r="L1125" i="4"/>
  <c r="L1279" i="4"/>
  <c r="F142" i="6"/>
  <c r="E289" i="6"/>
  <c r="L188" i="4"/>
  <c r="M576" i="4"/>
  <c r="M1010" i="4"/>
  <c r="F34" i="6"/>
  <c r="H68" i="6"/>
  <c r="H313" i="6"/>
  <c r="H471" i="6"/>
  <c r="L766" i="4"/>
  <c r="L897" i="4"/>
  <c r="M983" i="4"/>
  <c r="N1038" i="4"/>
  <c r="L1058" i="4"/>
  <c r="L439" i="4"/>
  <c r="M712" i="4"/>
  <c r="M723" i="4"/>
  <c r="L638" i="4"/>
  <c r="L1079" i="4"/>
  <c r="L1163" i="4"/>
  <c r="H82" i="6"/>
  <c r="E347" i="6"/>
  <c r="L33" i="4"/>
  <c r="L63" i="4"/>
  <c r="L67" i="4"/>
  <c r="L71" i="4"/>
  <c r="L139" i="4"/>
  <c r="E203" i="6"/>
  <c r="H347" i="6"/>
  <c r="H387" i="6"/>
  <c r="H423" i="6"/>
  <c r="H565" i="6"/>
  <c r="E573" i="6"/>
  <c r="L88" i="4"/>
  <c r="L653" i="4"/>
  <c r="L758" i="4"/>
  <c r="L1301" i="4"/>
  <c r="N1304" i="4"/>
  <c r="L1469" i="4"/>
  <c r="H42" i="6"/>
  <c r="F123" i="6"/>
  <c r="F150" i="6"/>
  <c r="E219" i="6"/>
  <c r="E229" i="6"/>
  <c r="F255" i="6"/>
  <c r="E361" i="6"/>
  <c r="F575" i="6"/>
  <c r="E590" i="6"/>
  <c r="N555" i="4"/>
  <c r="N739" i="4"/>
  <c r="M758" i="4"/>
  <c r="L878" i="4"/>
  <c r="M994" i="4"/>
  <c r="N1301" i="4"/>
  <c r="G2" i="4"/>
  <c r="H2" i="4" s="1"/>
  <c r="N2" i="4" s="1"/>
  <c r="H53" i="6"/>
  <c r="F91" i="6"/>
  <c r="E108" i="6"/>
  <c r="H123" i="6"/>
  <c r="F223" i="6"/>
  <c r="H229" i="6"/>
  <c r="H266" i="6"/>
  <c r="E331" i="6"/>
  <c r="H361" i="6"/>
  <c r="H439" i="6"/>
  <c r="H84" i="6"/>
  <c r="H91" i="6"/>
  <c r="H339" i="6"/>
  <c r="H447" i="6"/>
  <c r="H462" i="6"/>
  <c r="N372" i="4"/>
  <c r="N451" i="4"/>
  <c r="N770" i="4"/>
  <c r="L883" i="4"/>
  <c r="N1143" i="4"/>
  <c r="L1193" i="4"/>
  <c r="M1455" i="4"/>
  <c r="H242" i="6"/>
  <c r="N583" i="4"/>
  <c r="M911" i="4"/>
  <c r="N1229" i="4"/>
  <c r="M1444" i="4"/>
  <c r="L126" i="4"/>
  <c r="L260" i="4"/>
  <c r="L687" i="4"/>
  <c r="L691" i="4"/>
  <c r="L699" i="4"/>
  <c r="E19" i="6"/>
  <c r="E59" i="6"/>
  <c r="F231" i="6"/>
  <c r="F283" i="6"/>
  <c r="H479" i="6"/>
  <c r="H503" i="6"/>
  <c r="E585" i="6"/>
  <c r="M775" i="4"/>
  <c r="M798" i="4"/>
  <c r="N1148" i="4"/>
  <c r="L1261" i="4"/>
  <c r="M1464" i="4"/>
  <c r="D8" i="6"/>
  <c r="F8" i="6" s="1"/>
  <c r="H56" i="6"/>
  <c r="E107" i="6"/>
  <c r="F280" i="6"/>
  <c r="H519" i="6"/>
  <c r="F531" i="6"/>
  <c r="H589" i="6"/>
  <c r="L516" i="4"/>
  <c r="N650" i="4"/>
  <c r="M653" i="4"/>
  <c r="L696" i="4"/>
  <c r="N699" i="4"/>
  <c r="L711" i="4"/>
  <c r="M766" i="4"/>
  <c r="L830" i="4"/>
  <c r="N1226" i="4"/>
  <c r="L1241" i="4"/>
  <c r="N1452" i="4"/>
  <c r="H59" i="6"/>
  <c r="E84" i="6"/>
  <c r="H252" i="6"/>
  <c r="H255" i="6"/>
  <c r="E272" i="6"/>
  <c r="F279" i="6"/>
  <c r="E311" i="6"/>
  <c r="H314" i="6"/>
  <c r="F420" i="6"/>
  <c r="H476" i="6"/>
  <c r="H532" i="6"/>
  <c r="L59" i="4"/>
  <c r="M127" i="4"/>
  <c r="L212" i="4"/>
  <c r="L414" i="4"/>
  <c r="L555" i="4"/>
  <c r="L593" i="4"/>
  <c r="N615" i="4"/>
  <c r="L819" i="4"/>
  <c r="N830" i="4"/>
  <c r="L837" i="4"/>
  <c r="N867" i="4"/>
  <c r="M1079" i="4"/>
  <c r="M1093" i="4"/>
  <c r="L1131" i="4"/>
  <c r="F67" i="6"/>
  <c r="F84" i="6"/>
  <c r="F94" i="6"/>
  <c r="H117" i="6"/>
  <c r="H245" i="6"/>
  <c r="E259" i="6"/>
  <c r="H265" i="6"/>
  <c r="E293" i="6"/>
  <c r="F308" i="6"/>
  <c r="H368" i="6"/>
  <c r="F402" i="6"/>
  <c r="F484" i="6"/>
  <c r="F495" i="6"/>
  <c r="H580" i="6"/>
  <c r="H225" i="6"/>
  <c r="L190" i="4"/>
  <c r="L244" i="4"/>
  <c r="L338" i="4"/>
  <c r="L415" i="4"/>
  <c r="L875" i="4"/>
  <c r="N878" i="4"/>
  <c r="L1006" i="4"/>
  <c r="L1285" i="4"/>
  <c r="L1329" i="4"/>
  <c r="H99" i="6"/>
  <c r="H211" i="6"/>
  <c r="M259" i="4"/>
  <c r="L514" i="4"/>
  <c r="M609" i="4"/>
  <c r="L655" i="4"/>
  <c r="L659" i="4"/>
  <c r="L720" i="4"/>
  <c r="M731" i="4"/>
  <c r="M846" i="4"/>
  <c r="L947" i="4"/>
  <c r="L980" i="4"/>
  <c r="N1006" i="4"/>
  <c r="M1033" i="4"/>
  <c r="L1074" i="4"/>
  <c r="N1080" i="4"/>
  <c r="M1091" i="4"/>
  <c r="M1341" i="4"/>
  <c r="L1369" i="4"/>
  <c r="L1435" i="4"/>
  <c r="F38" i="6"/>
  <c r="E51" i="6"/>
  <c r="F68" i="6"/>
  <c r="E99" i="6"/>
  <c r="F102" i="6"/>
  <c r="E211" i="6"/>
  <c r="F291" i="6"/>
  <c r="H302" i="6"/>
  <c r="E403" i="6"/>
  <c r="H418" i="6"/>
  <c r="L107" i="4"/>
  <c r="N1059" i="4"/>
  <c r="L1067" i="4"/>
  <c r="N1151" i="4"/>
  <c r="L1311" i="4"/>
  <c r="N1369" i="4"/>
  <c r="H38" i="6"/>
  <c r="L115" i="4"/>
  <c r="H403" i="6"/>
  <c r="H407" i="6"/>
  <c r="F430" i="6"/>
  <c r="F494" i="6"/>
  <c r="H497" i="6"/>
  <c r="E509" i="6"/>
  <c r="H535" i="6"/>
  <c r="F593" i="6"/>
  <c r="L135" i="4"/>
  <c r="N240" i="4"/>
  <c r="M563" i="4"/>
  <c r="N563" i="4"/>
  <c r="N986" i="4"/>
  <c r="L986" i="4"/>
  <c r="N1050" i="4"/>
  <c r="M1050" i="4"/>
  <c r="N1135" i="4"/>
  <c r="M1135" i="4"/>
  <c r="N1317" i="4"/>
  <c r="M1317" i="4"/>
  <c r="M1378" i="4"/>
  <c r="H300" i="6"/>
  <c r="F300" i="6"/>
  <c r="E300" i="6"/>
  <c r="L10" i="4"/>
  <c r="N790" i="4"/>
  <c r="M790" i="4"/>
  <c r="L790" i="4"/>
  <c r="M975" i="4"/>
  <c r="N975" i="4"/>
  <c r="E191" i="6"/>
  <c r="F191" i="6"/>
  <c r="E435" i="6"/>
  <c r="F435" i="6"/>
  <c r="L83" i="4"/>
  <c r="L196" i="4"/>
  <c r="L204" i="4"/>
  <c r="L406" i="4"/>
  <c r="M579" i="4"/>
  <c r="N579" i="4"/>
  <c r="M946" i="4"/>
  <c r="N946" i="4"/>
  <c r="N204" i="4"/>
  <c r="N268" i="4"/>
  <c r="N854" i="4"/>
  <c r="M854" i="4"/>
  <c r="L854" i="4"/>
  <c r="M1361" i="4"/>
  <c r="N1361" i="4"/>
  <c r="L1361" i="4"/>
  <c r="F188" i="6"/>
  <c r="E188" i="6"/>
  <c r="F346" i="6"/>
  <c r="E346" i="6"/>
  <c r="L150" i="4"/>
  <c r="L303" i="4"/>
  <c r="L460" i="4"/>
  <c r="L526" i="4"/>
  <c r="L530" i="4"/>
  <c r="N814" i="4"/>
  <c r="M814" i="4"/>
  <c r="L140" i="4"/>
  <c r="L546" i="4"/>
  <c r="N807" i="4"/>
  <c r="M807" i="4"/>
  <c r="F370" i="6"/>
  <c r="E370" i="6"/>
  <c r="L100" i="4"/>
  <c r="L318" i="4"/>
  <c r="L344" i="4"/>
  <c r="N1218" i="4"/>
  <c r="M1218" i="4"/>
  <c r="N1432" i="4"/>
  <c r="L1432" i="4"/>
  <c r="F204" i="6"/>
  <c r="E204" i="6"/>
  <c r="E559" i="6"/>
  <c r="F559" i="6"/>
  <c r="L424" i="4"/>
  <c r="L539" i="4"/>
  <c r="M763" i="4"/>
  <c r="N763" i="4"/>
  <c r="L863" i="4"/>
  <c r="E86" i="6"/>
  <c r="F86" i="6"/>
  <c r="L242" i="4"/>
  <c r="L246" i="4"/>
  <c r="L383" i="4"/>
  <c r="N407" i="4"/>
  <c r="N439" i="4"/>
  <c r="L492" i="4"/>
  <c r="L629" i="4"/>
  <c r="L666" i="4"/>
  <c r="M696" i="4"/>
  <c r="M720" i="4"/>
  <c r="L807" i="4"/>
  <c r="L814" i="4"/>
  <c r="L861" i="4"/>
  <c r="L870" i="4"/>
  <c r="M934" i="4"/>
  <c r="L1095" i="4"/>
  <c r="M1131" i="4"/>
  <c r="L1206" i="4"/>
  <c r="L1277" i="4"/>
  <c r="L1317" i="4"/>
  <c r="M1357" i="4"/>
  <c r="L1439" i="4"/>
  <c r="L1491" i="4"/>
  <c r="F99" i="6"/>
  <c r="H142" i="6"/>
  <c r="H241" i="6"/>
  <c r="H356" i="6"/>
  <c r="H420" i="6"/>
  <c r="H457" i="6"/>
  <c r="H489" i="6"/>
  <c r="H548" i="6"/>
  <c r="L714" i="4"/>
  <c r="L1015" i="4"/>
  <c r="L1365" i="4"/>
  <c r="F43" i="6"/>
  <c r="H45" i="6"/>
  <c r="E49" i="6"/>
  <c r="H51" i="6"/>
  <c r="H67" i="6"/>
  <c r="H204" i="6"/>
  <c r="E297" i="6"/>
  <c r="E310" i="6"/>
  <c r="E313" i="6"/>
  <c r="H346" i="6"/>
  <c r="H353" i="6"/>
  <c r="H458" i="6"/>
  <c r="E476" i="6"/>
  <c r="F479" i="6"/>
  <c r="E556" i="6"/>
  <c r="L350" i="4"/>
  <c r="L398" i="4"/>
  <c r="L444" i="4"/>
  <c r="L512" i="4"/>
  <c r="L607" i="4"/>
  <c r="L735" i="4"/>
  <c r="L739" i="4"/>
  <c r="L770" i="4"/>
  <c r="L811" i="4"/>
  <c r="L941" i="4"/>
  <c r="L1038" i="4"/>
  <c r="L1064" i="4"/>
  <c r="L1139" i="4"/>
  <c r="L1189" i="4"/>
  <c r="L1219" i="4"/>
  <c r="L1237" i="4"/>
  <c r="L1251" i="4"/>
  <c r="L1289" i="4"/>
  <c r="L1293" i="4"/>
  <c r="L1321" i="4"/>
  <c r="H325" i="6"/>
  <c r="H556" i="6"/>
  <c r="F599" i="6"/>
  <c r="N618" i="4"/>
  <c r="L945" i="4"/>
  <c r="H440" i="6"/>
  <c r="H444" i="6"/>
  <c r="H466" i="6"/>
  <c r="H498" i="6"/>
  <c r="F199" i="6"/>
  <c r="E220" i="6"/>
  <c r="H426" i="6"/>
  <c r="L579" i="4"/>
  <c r="L619" i="4"/>
  <c r="L635" i="4"/>
  <c r="L791" i="4"/>
  <c r="L795" i="4"/>
  <c r="L882" i="4"/>
  <c r="L942" i="4"/>
  <c r="L981" i="4"/>
  <c r="L1029" i="4"/>
  <c r="L1045" i="4"/>
  <c r="L1077" i="4"/>
  <c r="L1179" i="4"/>
  <c r="M1193" i="4"/>
  <c r="L1245" i="4"/>
  <c r="L1349" i="4"/>
  <c r="L1384" i="4"/>
  <c r="H24" i="6"/>
  <c r="E76" i="6"/>
  <c r="H83" i="6"/>
  <c r="F117" i="6"/>
  <c r="E131" i="6"/>
  <c r="H134" i="6"/>
  <c r="F148" i="6"/>
  <c r="E240" i="6"/>
  <c r="E362" i="6"/>
  <c r="E394" i="6"/>
  <c r="E561" i="6"/>
  <c r="L220" i="4"/>
  <c r="L392" i="4"/>
  <c r="L403" i="4"/>
  <c r="L467" i="4"/>
  <c r="M635" i="4"/>
  <c r="L775" i="4"/>
  <c r="L778" i="4"/>
  <c r="L782" i="4"/>
  <c r="N795" i="4"/>
  <c r="N802" i="4"/>
  <c r="L846" i="4"/>
  <c r="L886" i="4"/>
  <c r="L974" i="4"/>
  <c r="L1014" i="4"/>
  <c r="L1080" i="4"/>
  <c r="L1087" i="4"/>
  <c r="L1091" i="4"/>
  <c r="M1112" i="4"/>
  <c r="M1187" i="4"/>
  <c r="L1201" i="4"/>
  <c r="N1220" i="4"/>
  <c r="L1269" i="4"/>
  <c r="M1349" i="4"/>
  <c r="L1381" i="4"/>
  <c r="L1385" i="4"/>
  <c r="L1404" i="4"/>
  <c r="L1456" i="4"/>
  <c r="L1464" i="4"/>
  <c r="L1490" i="4"/>
  <c r="F53" i="6"/>
  <c r="E83" i="6"/>
  <c r="H148" i="6"/>
  <c r="F296" i="6"/>
  <c r="F348" i="6"/>
  <c r="H369" i="6"/>
  <c r="H394" i="6"/>
  <c r="F412" i="6"/>
  <c r="H430" i="6"/>
  <c r="H437" i="6"/>
  <c r="E460" i="6"/>
  <c r="F471" i="6"/>
  <c r="H484" i="6"/>
  <c r="H516" i="6"/>
  <c r="H593" i="6"/>
  <c r="L443" i="4"/>
  <c r="N443" i="4"/>
  <c r="M443" i="4"/>
  <c r="L128" i="4"/>
  <c r="M164" i="4"/>
  <c r="N164" i="4"/>
  <c r="L206" i="4"/>
  <c r="L276" i="4"/>
  <c r="L411" i="4"/>
  <c r="M411" i="4"/>
  <c r="M783" i="4"/>
  <c r="N783" i="4"/>
  <c r="N79" i="4"/>
  <c r="M79" i="4"/>
  <c r="N87" i="4"/>
  <c r="M87" i="4"/>
  <c r="L256" i="4"/>
  <c r="N700" i="4"/>
  <c r="M700" i="4"/>
  <c r="N862" i="4"/>
  <c r="M862" i="4"/>
  <c r="L311" i="4"/>
  <c r="M311" i="4"/>
  <c r="M84" i="4"/>
  <c r="N84" i="4"/>
  <c r="M92" i="4"/>
  <c r="L92" i="4"/>
  <c r="M244" i="4"/>
  <c r="N244" i="4"/>
  <c r="L267" i="4"/>
  <c r="M267" i="4"/>
  <c r="L380" i="4"/>
  <c r="L412" i="4"/>
  <c r="M360" i="4"/>
  <c r="N360" i="4"/>
  <c r="L271" i="4"/>
  <c r="N271" i="4"/>
  <c r="M271" i="4"/>
  <c r="M224" i="4"/>
  <c r="N224" i="4"/>
  <c r="M348" i="4"/>
  <c r="N348" i="4"/>
  <c r="N435" i="4"/>
  <c r="L435" i="4"/>
  <c r="N503" i="4"/>
  <c r="M503" i="4"/>
  <c r="N507" i="4"/>
  <c r="M507" i="4"/>
  <c r="M356" i="4"/>
  <c r="N356" i="4"/>
  <c r="M68" i="4"/>
  <c r="N68" i="4"/>
  <c r="N111" i="4"/>
  <c r="M111" i="4"/>
  <c r="L224" i="4"/>
  <c r="L299" i="4"/>
  <c r="M299" i="4"/>
  <c r="L428" i="4"/>
  <c r="N907" i="4"/>
  <c r="M907" i="4"/>
  <c r="N1128" i="4"/>
  <c r="M1128" i="4"/>
  <c r="E14" i="6"/>
  <c r="F14" i="6"/>
  <c r="E77" i="6"/>
  <c r="F77" i="6"/>
  <c r="H544" i="6"/>
  <c r="E544" i="6"/>
  <c r="L124" i="4"/>
  <c r="L138" i="4"/>
  <c r="L144" i="4"/>
  <c r="L202" i="4"/>
  <c r="L208" i="4"/>
  <c r="L248" i="4"/>
  <c r="L254" i="4"/>
  <c r="L302" i="4"/>
  <c r="L316" i="4"/>
  <c r="L322" i="4"/>
  <c r="L368" i="4"/>
  <c r="L391" i="4"/>
  <c r="L419" i="4"/>
  <c r="L422" i="4"/>
  <c r="L448" i="4"/>
  <c r="N502" i="4"/>
  <c r="L502" i="4"/>
  <c r="M527" i="4"/>
  <c r="N527" i="4"/>
  <c r="L534" i="4"/>
  <c r="L580" i="4"/>
  <c r="L680" i="4"/>
  <c r="L683" i="4"/>
  <c r="N707" i="4"/>
  <c r="M707" i="4"/>
  <c r="N774" i="4"/>
  <c r="M774" i="4"/>
  <c r="N839" i="4"/>
  <c r="M839" i="4"/>
  <c r="N1132" i="4"/>
  <c r="M1132" i="4"/>
  <c r="L1167" i="4"/>
  <c r="M1167" i="4"/>
  <c r="L475" i="4"/>
  <c r="N475" i="4"/>
  <c r="L537" i="4"/>
  <c r="N1009" i="4"/>
  <c r="M1009" i="4"/>
  <c r="M1225" i="4"/>
  <c r="N1225" i="4"/>
  <c r="F33" i="6"/>
  <c r="E33" i="6"/>
  <c r="E591" i="6"/>
  <c r="F591" i="6"/>
  <c r="N60" i="4"/>
  <c r="L132" i="4"/>
  <c r="N228" i="4"/>
  <c r="L255" i="4"/>
  <c r="L328" i="4"/>
  <c r="M375" i="4"/>
  <c r="L382" i="4"/>
  <c r="N388" i="4"/>
  <c r="L407" i="4"/>
  <c r="L416" i="4"/>
  <c r="N419" i="4"/>
  <c r="M452" i="4"/>
  <c r="N452" i="4"/>
  <c r="N520" i="4"/>
  <c r="L527" i="4"/>
  <c r="L563" i="4"/>
  <c r="N580" i="4"/>
  <c r="M680" i="4"/>
  <c r="M683" i="4"/>
  <c r="L774" i="4"/>
  <c r="L797" i="4"/>
  <c r="M818" i="4"/>
  <c r="N818" i="4"/>
  <c r="L835" i="4"/>
  <c r="L839" i="4"/>
  <c r="N882" i="4"/>
  <c r="M882" i="4"/>
  <c r="L1009" i="4"/>
  <c r="N1274" i="4"/>
  <c r="M1274" i="4"/>
  <c r="N220" i="4"/>
  <c r="L496" i="4"/>
  <c r="H512" i="6"/>
  <c r="E512" i="6"/>
  <c r="F563" i="6"/>
  <c r="E563" i="6"/>
  <c r="L110" i="4"/>
  <c r="L120" i="4"/>
  <c r="L148" i="4"/>
  <c r="L174" i="4"/>
  <c r="M255" i="4"/>
  <c r="L320" i="4"/>
  <c r="L326" i="4"/>
  <c r="L376" i="4"/>
  <c r="L518" i="4"/>
  <c r="N564" i="4"/>
  <c r="M564" i="4"/>
  <c r="L632" i="4"/>
  <c r="L642" i="4"/>
  <c r="N659" i="4"/>
  <c r="L663" i="4"/>
  <c r="N782" i="4"/>
  <c r="M782" i="4"/>
  <c r="N791" i="4"/>
  <c r="M791" i="4"/>
  <c r="M811" i="4"/>
  <c r="L822" i="4"/>
  <c r="M863" i="4"/>
  <c r="L985" i="4"/>
  <c r="N1000" i="4"/>
  <c r="M1000" i="4"/>
  <c r="M1003" i="4"/>
  <c r="M1164" i="4"/>
  <c r="M1286" i="4"/>
  <c r="N1286" i="4"/>
  <c r="N1315" i="4"/>
  <c r="M1315" i="4"/>
  <c r="L366" i="4"/>
  <c r="M1333" i="4"/>
  <c r="N1333" i="4"/>
  <c r="F27" i="6"/>
  <c r="E27" i="6"/>
  <c r="L25" i="4"/>
  <c r="N64" i="4"/>
  <c r="N72" i="4"/>
  <c r="M75" i="4"/>
  <c r="L78" i="4"/>
  <c r="L96" i="4"/>
  <c r="L104" i="4"/>
  <c r="N107" i="4"/>
  <c r="M115" i="4"/>
  <c r="L118" i="4"/>
  <c r="N120" i="4"/>
  <c r="M123" i="4"/>
  <c r="L136" i="4"/>
  <c r="N139" i="4"/>
  <c r="L152" i="4"/>
  <c r="L200" i="4"/>
  <c r="L216" i="4"/>
  <c r="M303" i="4"/>
  <c r="M387" i="4"/>
  <c r="N387" i="4"/>
  <c r="N420" i="4"/>
  <c r="L500" i="4"/>
  <c r="N515" i="4"/>
  <c r="M515" i="4"/>
  <c r="L542" i="4"/>
  <c r="M632" i="4"/>
  <c r="L646" i="4"/>
  <c r="N656" i="4"/>
  <c r="N759" i="4"/>
  <c r="M759" i="4"/>
  <c r="N819" i="4"/>
  <c r="M819" i="4"/>
  <c r="N898" i="4"/>
  <c r="M898" i="4"/>
  <c r="N902" i="4"/>
  <c r="L902" i="4"/>
  <c r="L938" i="4"/>
  <c r="N938" i="4"/>
  <c r="N950" i="4"/>
  <c r="L950" i="4"/>
  <c r="N965" i="4"/>
  <c r="M965" i="4"/>
  <c r="N978" i="4"/>
  <c r="L314" i="4"/>
  <c r="N363" i="4"/>
  <c r="M363" i="4"/>
  <c r="M524" i="4"/>
  <c r="N524" i="4"/>
  <c r="M1410" i="4"/>
  <c r="N1410" i="4"/>
  <c r="L52" i="4"/>
  <c r="L146" i="4"/>
  <c r="L192" i="4"/>
  <c r="L210" i="4"/>
  <c r="L236" i="4"/>
  <c r="L280" i="4"/>
  <c r="L306" i="4"/>
  <c r="L312" i="4"/>
  <c r="L387" i="4"/>
  <c r="L431" i="4"/>
  <c r="L440" i="4"/>
  <c r="L488" i="4"/>
  <c r="L618" i="4"/>
  <c r="N675" i="4"/>
  <c r="M675" i="4"/>
  <c r="L718" i="4"/>
  <c r="N823" i="4"/>
  <c r="M823" i="4"/>
  <c r="N887" i="4"/>
  <c r="M887" i="4"/>
  <c r="L898" i="4"/>
  <c r="N954" i="4"/>
  <c r="L954" i="4"/>
  <c r="N997" i="4"/>
  <c r="M997" i="4"/>
  <c r="N1026" i="4"/>
  <c r="M1026" i="4"/>
  <c r="M1035" i="4"/>
  <c r="N1035" i="4"/>
  <c r="N1097" i="4"/>
  <c r="M1097" i="4"/>
  <c r="M25" i="4"/>
  <c r="H46" i="4"/>
  <c r="G8" i="6" s="1"/>
  <c r="N236" i="4"/>
  <c r="L266" i="4"/>
  <c r="N280" i="4"/>
  <c r="L324" i="4"/>
  <c r="L340" i="4"/>
  <c r="N352" i="4"/>
  <c r="M367" i="4"/>
  <c r="L451" i="4"/>
  <c r="L454" i="4"/>
  <c r="L626" i="4"/>
  <c r="M630" i="4"/>
  <c r="N630" i="4"/>
  <c r="L633" i="4"/>
  <c r="N718" i="4"/>
  <c r="N803" i="4"/>
  <c r="M803" i="4"/>
  <c r="L813" i="4"/>
  <c r="L862" i="4"/>
  <c r="L867" i="4"/>
  <c r="N871" i="4"/>
  <c r="M871" i="4"/>
  <c r="N883" i="4"/>
  <c r="L887" i="4"/>
  <c r="M902" i="4"/>
  <c r="N922" i="4"/>
  <c r="M938" i="4"/>
  <c r="M950" i="4"/>
  <c r="M1408" i="4"/>
  <c r="N1408" i="4"/>
  <c r="N1450" i="4"/>
  <c r="M1450" i="4"/>
  <c r="L731" i="4"/>
  <c r="L802" i="4"/>
  <c r="L838" i="4"/>
  <c r="L857" i="4"/>
  <c r="L922" i="4"/>
  <c r="L997" i="4"/>
  <c r="L1000" i="4"/>
  <c r="N1067" i="4"/>
  <c r="M1067" i="4"/>
  <c r="N1074" i="4"/>
  <c r="M1074" i="4"/>
  <c r="L1115" i="4"/>
  <c r="N1181" i="4"/>
  <c r="M1181" i="4"/>
  <c r="M1289" i="4"/>
  <c r="M1351" i="4"/>
  <c r="L1372" i="4"/>
  <c r="N1413" i="4"/>
  <c r="M1441" i="4"/>
  <c r="H132" i="6"/>
  <c r="F132" i="6"/>
  <c r="E132" i="6"/>
  <c r="E303" i="6"/>
  <c r="F303" i="6"/>
  <c r="L1164" i="4"/>
  <c r="F11" i="6"/>
  <c r="E11" i="6"/>
  <c r="F212" i="6"/>
  <c r="E212" i="6"/>
  <c r="F235" i="6"/>
  <c r="E235" i="6"/>
  <c r="F288" i="6"/>
  <c r="E288" i="6"/>
  <c r="E332" i="6"/>
  <c r="F332" i="6"/>
  <c r="E595" i="6"/>
  <c r="F595" i="6"/>
  <c r="L504" i="4"/>
  <c r="L564" i="4"/>
  <c r="L603" i="4"/>
  <c r="L671" i="4"/>
  <c r="L675" i="4"/>
  <c r="L698" i="4"/>
  <c r="L759" i="4"/>
  <c r="L783" i="4"/>
  <c r="L818" i="4"/>
  <c r="L873" i="4"/>
  <c r="L909" i="4"/>
  <c r="L914" i="4"/>
  <c r="L917" i="4"/>
  <c r="L991" i="4"/>
  <c r="M1015" i="4"/>
  <c r="M1055" i="4"/>
  <c r="M1058" i="4"/>
  <c r="M1061" i="4"/>
  <c r="N1071" i="4"/>
  <c r="M1087" i="4"/>
  <c r="L1132" i="4"/>
  <c r="L1155" i="4"/>
  <c r="L1203" i="4"/>
  <c r="M1248" i="4"/>
  <c r="M1277" i="4"/>
  <c r="M1281" i="4"/>
  <c r="N1281" i="4"/>
  <c r="L1308" i="4"/>
  <c r="N1325" i="4"/>
  <c r="N1336" i="4"/>
  <c r="M1346" i="4"/>
  <c r="L1408" i="4"/>
  <c r="L1429" i="4"/>
  <c r="M1432" i="4"/>
  <c r="N1435" i="4"/>
  <c r="H433" i="6"/>
  <c r="F433" i="6"/>
  <c r="E433" i="6"/>
  <c r="E455" i="6"/>
  <c r="F455" i="6"/>
  <c r="F596" i="6"/>
  <c r="E596" i="6"/>
  <c r="L396" i="4"/>
  <c r="L438" i="4"/>
  <c r="L472" i="4"/>
  <c r="L561" i="4"/>
  <c r="L575" i="4"/>
  <c r="L585" i="4"/>
  <c r="L610" i="4"/>
  <c r="L750" i="4"/>
  <c r="L786" i="4"/>
  <c r="L853" i="4"/>
  <c r="L871" i="4"/>
  <c r="L889" i="4"/>
  <c r="M942" i="4"/>
  <c r="L982" i="4"/>
  <c r="M1029" i="4"/>
  <c r="L1081" i="4"/>
  <c r="L1097" i="4"/>
  <c r="L1100" i="4"/>
  <c r="L1103" i="4"/>
  <c r="L1123" i="4"/>
  <c r="L1196" i="4"/>
  <c r="L1405" i="4"/>
  <c r="F155" i="6"/>
  <c r="E155" i="6"/>
  <c r="F206" i="6"/>
  <c r="H206" i="6"/>
  <c r="E206" i="6"/>
  <c r="F269" i="6"/>
  <c r="H269" i="6"/>
  <c r="E355" i="6"/>
  <c r="H355" i="6"/>
  <c r="F401" i="6"/>
  <c r="E401" i="6"/>
  <c r="L423" i="4"/>
  <c r="L483" i="4"/>
  <c r="M544" i="4"/>
  <c r="L723" i="4"/>
  <c r="M747" i="4"/>
  <c r="L763" i="4"/>
  <c r="N786" i="4"/>
  <c r="N850" i="4"/>
  <c r="L905" i="4"/>
  <c r="L956" i="4"/>
  <c r="M1023" i="4"/>
  <c r="L1030" i="4"/>
  <c r="L1033" i="4"/>
  <c r="L1050" i="4"/>
  <c r="N1103" i="4"/>
  <c r="N1123" i="4"/>
  <c r="M1127" i="4"/>
  <c r="N1127" i="4"/>
  <c r="N1159" i="4"/>
  <c r="M1196" i="4"/>
  <c r="L1200" i="4"/>
  <c r="L1299" i="4"/>
  <c r="N1344" i="4"/>
  <c r="M1380" i="4"/>
  <c r="N1405" i="4"/>
  <c r="M1426" i="4"/>
  <c r="L1450" i="4"/>
  <c r="F387" i="6"/>
  <c r="E387" i="6"/>
  <c r="E423" i="6"/>
  <c r="F423" i="6"/>
  <c r="E551" i="6"/>
  <c r="F551" i="6"/>
  <c r="L869" i="4"/>
  <c r="L885" i="4"/>
  <c r="L1020" i="4"/>
  <c r="N1077" i="4"/>
  <c r="M1077" i="4"/>
  <c r="M1111" i="4"/>
  <c r="N1111" i="4"/>
  <c r="M1261" i="4"/>
  <c r="N1261" i="4"/>
  <c r="N1269" i="4"/>
  <c r="M1269" i="4"/>
  <c r="M1313" i="4"/>
  <c r="N1313" i="4"/>
  <c r="N1338" i="4"/>
  <c r="M1338" i="4"/>
  <c r="E315" i="6"/>
  <c r="H315" i="6"/>
  <c r="F315" i="6"/>
  <c r="F580" i="6"/>
  <c r="E580" i="6"/>
  <c r="L1111" i="4"/>
  <c r="L1127" i="4"/>
  <c r="L1144" i="4"/>
  <c r="L1153" i="4"/>
  <c r="L1168" i="4"/>
  <c r="M1175" i="4"/>
  <c r="M1189" i="4"/>
  <c r="L1192" i="4"/>
  <c r="N1201" i="4"/>
  <c r="L1205" i="4"/>
  <c r="L1209" i="4"/>
  <c r="M1272" i="4"/>
  <c r="L1281" i="4"/>
  <c r="N1293" i="4"/>
  <c r="L1304" i="4"/>
  <c r="L1313" i="4"/>
  <c r="N1329" i="4"/>
  <c r="L1333" i="4"/>
  <c r="N1353" i="4"/>
  <c r="M1389" i="4"/>
  <c r="L1416" i="4"/>
  <c r="L1420" i="4"/>
  <c r="L1423" i="4"/>
  <c r="L1498" i="4"/>
  <c r="H22" i="6"/>
  <c r="H52" i="6"/>
  <c r="H75" i="6"/>
  <c r="H106" i="6"/>
  <c r="H108" i="6"/>
  <c r="H160" i="6"/>
  <c r="H171" i="6"/>
  <c r="H208" i="6"/>
  <c r="F211" i="6"/>
  <c r="H231" i="6"/>
  <c r="H263" i="6"/>
  <c r="H324" i="6"/>
  <c r="H370" i="6"/>
  <c r="H396" i="6"/>
  <c r="H402" i="6"/>
  <c r="H412" i="6"/>
  <c r="H518" i="6"/>
  <c r="H583" i="6"/>
  <c r="L1118" i="4"/>
  <c r="L1357" i="4"/>
  <c r="L1431" i="4"/>
  <c r="L1455" i="4"/>
  <c r="M1491" i="4"/>
  <c r="H19" i="6"/>
  <c r="H35" i="6"/>
  <c r="H44" i="6"/>
  <c r="H139" i="6"/>
  <c r="H165" i="6"/>
  <c r="H199" i="6"/>
  <c r="H220" i="6"/>
  <c r="H331" i="6"/>
  <c r="H378" i="6"/>
  <c r="H460" i="6"/>
  <c r="F503" i="6"/>
  <c r="H509" i="6"/>
  <c r="H522" i="6"/>
  <c r="F548" i="6"/>
  <c r="H590" i="6"/>
  <c r="H36" i="6"/>
  <c r="H182" i="6"/>
  <c r="H258" i="6"/>
  <c r="H270" i="6"/>
  <c r="H504" i="6"/>
  <c r="H558" i="6"/>
  <c r="H567" i="6"/>
  <c r="H588" i="6"/>
  <c r="H14" i="6"/>
  <c r="H33" i="6"/>
  <c r="H60" i="6"/>
  <c r="H69" i="6"/>
  <c r="H192" i="6"/>
  <c r="H228" i="6"/>
  <c r="H298" i="6"/>
  <c r="H455" i="6"/>
  <c r="H514" i="6"/>
  <c r="H568" i="6"/>
  <c r="H591" i="6"/>
  <c r="H11" i="6"/>
  <c r="H15" i="6"/>
  <c r="H100" i="6"/>
  <c r="H147" i="6"/>
  <c r="H212" i="6"/>
  <c r="F462" i="6"/>
  <c r="H592" i="6"/>
  <c r="L1171" i="4"/>
  <c r="L1221" i="4"/>
  <c r="L1341" i="4"/>
  <c r="L1344" i="4"/>
  <c r="L1396" i="4"/>
  <c r="L1415" i="4"/>
  <c r="L1426" i="4"/>
  <c r="E15" i="6"/>
  <c r="H76" i="6"/>
  <c r="E98" i="6"/>
  <c r="E100" i="6"/>
  <c r="H131" i="6"/>
  <c r="H140" i="6"/>
  <c r="E147" i="6"/>
  <c r="F160" i="6"/>
  <c r="F167" i="6"/>
  <c r="F192" i="6"/>
  <c r="H201" i="6"/>
  <c r="H226" i="6"/>
  <c r="F228" i="6"/>
  <c r="F247" i="6"/>
  <c r="E301" i="6"/>
  <c r="H327" i="6"/>
  <c r="F340" i="6"/>
  <c r="E379" i="6"/>
  <c r="E393" i="6"/>
  <c r="F415" i="6"/>
  <c r="H425" i="6"/>
  <c r="E489" i="6"/>
  <c r="H493" i="6"/>
  <c r="H511" i="6"/>
  <c r="H525" i="6"/>
  <c r="H543" i="6"/>
  <c r="H553" i="6"/>
  <c r="E565" i="6"/>
  <c r="H582" i="6"/>
  <c r="E592" i="6"/>
  <c r="H597" i="6"/>
  <c r="M56" i="4"/>
  <c r="N56" i="4"/>
  <c r="L56" i="4"/>
  <c r="M156" i="4"/>
  <c r="N156" i="4"/>
  <c r="L156" i="4"/>
  <c r="L227" i="4"/>
  <c r="M227" i="4"/>
  <c r="N227" i="4"/>
  <c r="M108" i="4"/>
  <c r="N108" i="4"/>
  <c r="L163" i="4"/>
  <c r="M163" i="4"/>
  <c r="N163" i="4"/>
  <c r="M172" i="4"/>
  <c r="N172" i="4"/>
  <c r="M76" i="4"/>
  <c r="N76" i="4"/>
  <c r="L91" i="4"/>
  <c r="M91" i="4"/>
  <c r="N91" i="4"/>
  <c r="L143" i="4"/>
  <c r="N143" i="4"/>
  <c r="M143" i="4"/>
  <c r="L76" i="4"/>
  <c r="L82" i="4"/>
  <c r="M88" i="4"/>
  <c r="N88" i="4"/>
  <c r="L94" i="4"/>
  <c r="M184" i="4"/>
  <c r="N184" i="4"/>
  <c r="M180" i="4"/>
  <c r="N180" i="4"/>
  <c r="L180" i="4"/>
  <c r="L37" i="4"/>
  <c r="N37" i="4"/>
  <c r="M37" i="4"/>
  <c r="N50" i="4"/>
  <c r="L50" i="4"/>
  <c r="L95" i="4"/>
  <c r="M95" i="4"/>
  <c r="N95" i="4"/>
  <c r="L103" i="4"/>
  <c r="M103" i="4"/>
  <c r="N103" i="4"/>
  <c r="M160" i="4"/>
  <c r="N160" i="4"/>
  <c r="L160" i="4"/>
  <c r="L231" i="4"/>
  <c r="M231" i="4"/>
  <c r="N231" i="4"/>
  <c r="L32" i="4"/>
  <c r="L151" i="4"/>
  <c r="N151" i="4"/>
  <c r="M151" i="4"/>
  <c r="L215" i="4"/>
  <c r="N215" i="4"/>
  <c r="M215" i="4"/>
  <c r="L243" i="4"/>
  <c r="M243" i="4"/>
  <c r="N243" i="4"/>
  <c r="L99" i="4"/>
  <c r="M99" i="4"/>
  <c r="N99" i="4"/>
  <c r="L62" i="4"/>
  <c r="L47" i="4"/>
  <c r="N47" i="4"/>
  <c r="M47" i="4"/>
  <c r="L51" i="4"/>
  <c r="N51" i="4"/>
  <c r="M51" i="4"/>
  <c r="M80" i="4"/>
  <c r="N80" i="4"/>
  <c r="M112" i="4"/>
  <c r="N112" i="4"/>
  <c r="L203" i="4"/>
  <c r="N203" i="4"/>
  <c r="M203" i="4"/>
  <c r="M48" i="4"/>
  <c r="L48" i="4"/>
  <c r="N48" i="4"/>
  <c r="L55" i="4"/>
  <c r="N55" i="4"/>
  <c r="M55" i="4"/>
  <c r="L80" i="4"/>
  <c r="M168" i="4"/>
  <c r="N168" i="4"/>
  <c r="L168" i="4"/>
  <c r="L223" i="4"/>
  <c r="M223" i="4"/>
  <c r="L275" i="4"/>
  <c r="N275" i="4"/>
  <c r="L511" i="4"/>
  <c r="N511" i="4"/>
  <c r="H284" i="6"/>
  <c r="F284" i="6"/>
  <c r="E284" i="6"/>
  <c r="L18" i="4"/>
  <c r="L114" i="4"/>
  <c r="M128" i="4"/>
  <c r="N128" i="4"/>
  <c r="L130" i="4"/>
  <c r="L158" i="4"/>
  <c r="L170" i="4"/>
  <c r="L175" i="4"/>
  <c r="N175" i="4"/>
  <c r="L182" i="4"/>
  <c r="L235" i="4"/>
  <c r="N235" i="4"/>
  <c r="M260" i="4"/>
  <c r="N260" i="4"/>
  <c r="L272" i="4"/>
  <c r="M288" i="4"/>
  <c r="N288" i="4"/>
  <c r="L288" i="4"/>
  <c r="M292" i="4"/>
  <c r="N292" i="4"/>
  <c r="L292" i="4"/>
  <c r="M296" i="4"/>
  <c r="N296" i="4"/>
  <c r="L296" i="4"/>
  <c r="M304" i="4"/>
  <c r="N304" i="4"/>
  <c r="L307" i="4"/>
  <c r="N307" i="4"/>
  <c r="M307" i="4"/>
  <c r="L319" i="4"/>
  <c r="M319" i="4"/>
  <c r="L331" i="4"/>
  <c r="N331" i="4"/>
  <c r="M331" i="4"/>
  <c r="M344" i="4"/>
  <c r="N344" i="4"/>
  <c r="L355" i="4"/>
  <c r="N355" i="4"/>
  <c r="M355" i="4"/>
  <c r="M384" i="4"/>
  <c r="N384" i="4"/>
  <c r="L399" i="4"/>
  <c r="M408" i="4"/>
  <c r="N408" i="4"/>
  <c r="M432" i="4"/>
  <c r="N432" i="4"/>
  <c r="N455" i="4"/>
  <c r="M455" i="4"/>
  <c r="L464" i="4"/>
  <c r="M476" i="4"/>
  <c r="N476" i="4"/>
  <c r="M480" i="4"/>
  <c r="N480" i="4"/>
  <c r="L480" i="4"/>
  <c r="L486" i="4"/>
  <c r="L494" i="4"/>
  <c r="M508" i="4"/>
  <c r="N508" i="4"/>
  <c r="L519" i="4"/>
  <c r="N519" i="4"/>
  <c r="M519" i="4"/>
  <c r="L531" i="4"/>
  <c r="L578" i="4"/>
  <c r="M678" i="4"/>
  <c r="N678" i="4"/>
  <c r="N771" i="4"/>
  <c r="M771" i="4"/>
  <c r="L24" i="4"/>
  <c r="M464" i="4"/>
  <c r="N464" i="4"/>
  <c r="L966" i="4"/>
  <c r="N966" i="4"/>
  <c r="M966" i="4"/>
  <c r="N1172" i="4"/>
  <c r="M1172" i="4"/>
  <c r="L4" i="4"/>
  <c r="M33" i="4"/>
  <c r="L36" i="4"/>
  <c r="N52" i="4"/>
  <c r="M59" i="4"/>
  <c r="M63" i="4"/>
  <c r="M67" i="4"/>
  <c r="M71" i="4"/>
  <c r="M83" i="4"/>
  <c r="L112" i="4"/>
  <c r="L116" i="4"/>
  <c r="L119" i="4"/>
  <c r="L131" i="4"/>
  <c r="M135" i="4"/>
  <c r="L142" i="4"/>
  <c r="L147" i="4"/>
  <c r="L198" i="4"/>
  <c r="L211" i="4"/>
  <c r="M211" i="4"/>
  <c r="N223" i="4"/>
  <c r="L232" i="4"/>
  <c r="L240" i="4"/>
  <c r="L251" i="4"/>
  <c r="L263" i="4"/>
  <c r="N267" i="4"/>
  <c r="L270" i="4"/>
  <c r="N272" i="4"/>
  <c r="M275" i="4"/>
  <c r="L278" i="4"/>
  <c r="L304" i="4"/>
  <c r="L347" i="4"/>
  <c r="N347" i="4"/>
  <c r="M347" i="4"/>
  <c r="L384" i="4"/>
  <c r="L390" i="4"/>
  <c r="L408" i="4"/>
  <c r="N423" i="4"/>
  <c r="M423" i="4"/>
  <c r="L432" i="4"/>
  <c r="L446" i="4"/>
  <c r="L455" i="4"/>
  <c r="L470" i="4"/>
  <c r="L476" i="4"/>
  <c r="L487" i="4"/>
  <c r="N487" i="4"/>
  <c r="L495" i="4"/>
  <c r="N495" i="4"/>
  <c r="L508" i="4"/>
  <c r="M511" i="4"/>
  <c r="M516" i="4"/>
  <c r="N516" i="4"/>
  <c r="N827" i="4"/>
  <c r="M827" i="4"/>
  <c r="N918" i="4"/>
  <c r="M918" i="4"/>
  <c r="L927" i="4"/>
  <c r="N927" i="4"/>
  <c r="M927" i="4"/>
  <c r="M284" i="4"/>
  <c r="N284" i="4"/>
  <c r="L284" i="4"/>
  <c r="N399" i="4"/>
  <c r="M399" i="4"/>
  <c r="N531" i="4"/>
  <c r="M531" i="4"/>
  <c r="N843" i="4"/>
  <c r="M843" i="4"/>
  <c r="N1012" i="4"/>
  <c r="L1012" i="4"/>
  <c r="M1012" i="4"/>
  <c r="H116" i="6"/>
  <c r="F116" i="6"/>
  <c r="E116" i="6"/>
  <c r="L8" i="4"/>
  <c r="L28" i="4"/>
  <c r="N33" i="4"/>
  <c r="N59" i="4"/>
  <c r="N63" i="4"/>
  <c r="N67" i="4"/>
  <c r="N71" i="4"/>
  <c r="N83" i="4"/>
  <c r="L106" i="4"/>
  <c r="L108" i="4"/>
  <c r="N116" i="4"/>
  <c r="N135" i="4"/>
  <c r="N144" i="4"/>
  <c r="L159" i="4"/>
  <c r="M159" i="4"/>
  <c r="L171" i="4"/>
  <c r="N171" i="4"/>
  <c r="L183" i="4"/>
  <c r="N183" i="4"/>
  <c r="M188" i="4"/>
  <c r="N188" i="4"/>
  <c r="L191" i="4"/>
  <c r="M191" i="4"/>
  <c r="M196" i="4"/>
  <c r="N196" i="4"/>
  <c r="L199" i="4"/>
  <c r="M199" i="4"/>
  <c r="N208" i="4"/>
  <c r="L219" i="4"/>
  <c r="M219" i="4"/>
  <c r="N232" i="4"/>
  <c r="M256" i="4"/>
  <c r="N256" i="4"/>
  <c r="M308" i="4"/>
  <c r="N308" i="4"/>
  <c r="L308" i="4"/>
  <c r="M332" i="4"/>
  <c r="N332" i="4"/>
  <c r="L335" i="4"/>
  <c r="N335" i="4"/>
  <c r="M335" i="4"/>
  <c r="M364" i="4"/>
  <c r="N364" i="4"/>
  <c r="L379" i="4"/>
  <c r="N379" i="4"/>
  <c r="M400" i="4"/>
  <c r="N400" i="4"/>
  <c r="N447" i="4"/>
  <c r="M447" i="4"/>
  <c r="M456" i="4"/>
  <c r="N456" i="4"/>
  <c r="N459" i="4"/>
  <c r="M459" i="4"/>
  <c r="L459" i="4"/>
  <c r="M484" i="4"/>
  <c r="N484" i="4"/>
  <c r="M890" i="4"/>
  <c r="L890" i="4"/>
  <c r="N890" i="4"/>
  <c r="L90" i="4"/>
  <c r="L98" i="4"/>
  <c r="L102" i="4"/>
  <c r="L111" i="4"/>
  <c r="M119" i="4"/>
  <c r="M124" i="4"/>
  <c r="N124" i="4"/>
  <c r="L127" i="4"/>
  <c r="M131" i="4"/>
  <c r="N140" i="4"/>
  <c r="M147" i="4"/>
  <c r="N211" i="4"/>
  <c r="L214" i="4"/>
  <c r="N216" i="4"/>
  <c r="L228" i="4"/>
  <c r="L238" i="4"/>
  <c r="N248" i="4"/>
  <c r="M251" i="4"/>
  <c r="L259" i="4"/>
  <c r="M263" i="4"/>
  <c r="L268" i="4"/>
  <c r="M276" i="4"/>
  <c r="N276" i="4"/>
  <c r="L279" i="4"/>
  <c r="M279" i="4"/>
  <c r="L323" i="4"/>
  <c r="M323" i="4"/>
  <c r="L364" i="4"/>
  <c r="L370" i="4"/>
  <c r="M376" i="4"/>
  <c r="N376" i="4"/>
  <c r="N391" i="4"/>
  <c r="M391" i="4"/>
  <c r="L400" i="4"/>
  <c r="N415" i="4"/>
  <c r="M415" i="4"/>
  <c r="M424" i="4"/>
  <c r="N424" i="4"/>
  <c r="N427" i="4"/>
  <c r="M427" i="4"/>
  <c r="L427" i="4"/>
  <c r="L462" i="4"/>
  <c r="M468" i="4"/>
  <c r="N468" i="4"/>
  <c r="L468" i="4"/>
  <c r="L471" i="4"/>
  <c r="L484" i="4"/>
  <c r="M487" i="4"/>
  <c r="M495" i="4"/>
  <c r="L498" i="4"/>
  <c r="N755" i="4"/>
  <c r="M755" i="4"/>
  <c r="N851" i="4"/>
  <c r="M851" i="4"/>
  <c r="L172" i="4"/>
  <c r="L184" i="4"/>
  <c r="L16" i="4"/>
  <c r="L86" i="4"/>
  <c r="M136" i="4"/>
  <c r="N136" i="4"/>
  <c r="L155" i="4"/>
  <c r="M155" i="4"/>
  <c r="L178" i="4"/>
  <c r="L207" i="4"/>
  <c r="N207" i="4"/>
  <c r="M300" i="4"/>
  <c r="N300" i="4"/>
  <c r="M336" i="4"/>
  <c r="N336" i="4"/>
  <c r="L351" i="4"/>
  <c r="N351" i="4"/>
  <c r="M351" i="4"/>
  <c r="L359" i="4"/>
  <c r="N359" i="4"/>
  <c r="M359" i="4"/>
  <c r="M379" i="4"/>
  <c r="L430" i="4"/>
  <c r="M436" i="4"/>
  <c r="N436" i="4"/>
  <c r="L436" i="4"/>
  <c r="L447" i="4"/>
  <c r="L456" i="4"/>
  <c r="N463" i="4"/>
  <c r="M463" i="4"/>
  <c r="N471" i="4"/>
  <c r="N482" i="4"/>
  <c r="L482" i="4"/>
  <c r="L499" i="4"/>
  <c r="N499" i="4"/>
  <c r="L523" i="4"/>
  <c r="N523" i="4"/>
  <c r="M523" i="4"/>
  <c r="M598" i="4"/>
  <c r="N598" i="4"/>
  <c r="L13" i="4"/>
  <c r="M13" i="4"/>
  <c r="L17" i="4"/>
  <c r="L20" i="4"/>
  <c r="L26" i="4"/>
  <c r="L58" i="4"/>
  <c r="L66" i="4"/>
  <c r="L70" i="4"/>
  <c r="N92" i="4"/>
  <c r="N96" i="4"/>
  <c r="N100" i="4"/>
  <c r="N104" i="4"/>
  <c r="N115" i="4"/>
  <c r="L122" i="4"/>
  <c r="N152" i="4"/>
  <c r="L167" i="4"/>
  <c r="M167" i="4"/>
  <c r="L176" i="4"/>
  <c r="L179" i="4"/>
  <c r="M179" i="4"/>
  <c r="L186" i="4"/>
  <c r="L194" i="4"/>
  <c r="M212" i="4"/>
  <c r="N212" i="4"/>
  <c r="L222" i="4"/>
  <c r="L239" i="4"/>
  <c r="N239" i="4"/>
  <c r="L283" i="4"/>
  <c r="N283" i="4"/>
  <c r="M283" i="4"/>
  <c r="L286" i="4"/>
  <c r="L300" i="4"/>
  <c r="L315" i="4"/>
  <c r="M315" i="4"/>
  <c r="L339" i="4"/>
  <c r="N339" i="4"/>
  <c r="M339" i="4"/>
  <c r="L371" i="4"/>
  <c r="N371" i="4"/>
  <c r="M371" i="4"/>
  <c r="N383" i="4"/>
  <c r="M383" i="4"/>
  <c r="M392" i="4"/>
  <c r="N392" i="4"/>
  <c r="N395" i="4"/>
  <c r="M395" i="4"/>
  <c r="L395" i="4"/>
  <c r="N431" i="4"/>
  <c r="M431" i="4"/>
  <c r="M448" i="4"/>
  <c r="N448" i="4"/>
  <c r="L463" i="4"/>
  <c r="M472" i="4"/>
  <c r="N472" i="4"/>
  <c r="M595" i="4"/>
  <c r="N595" i="4"/>
  <c r="N767" i="4"/>
  <c r="M767" i="4"/>
  <c r="N779" i="4"/>
  <c r="M779" i="4"/>
  <c r="N799" i="4"/>
  <c r="M799" i="4"/>
  <c r="L74" i="4"/>
  <c r="L21" i="4"/>
  <c r="L54" i="4"/>
  <c r="L60" i="4"/>
  <c r="L64" i="4"/>
  <c r="L68" i="4"/>
  <c r="L72" i="4"/>
  <c r="L75" i="4"/>
  <c r="L79" i="4"/>
  <c r="L84" i="4"/>
  <c r="L87" i="4"/>
  <c r="M107" i="4"/>
  <c r="L123" i="4"/>
  <c r="M132" i="4"/>
  <c r="N132" i="4"/>
  <c r="L134" i="4"/>
  <c r="M139" i="4"/>
  <c r="M148" i="4"/>
  <c r="N148" i="4"/>
  <c r="N155" i="4"/>
  <c r="L164" i="4"/>
  <c r="N176" i="4"/>
  <c r="L187" i="4"/>
  <c r="M187" i="4"/>
  <c r="M192" i="4"/>
  <c r="N192" i="4"/>
  <c r="L195" i="4"/>
  <c r="M195" i="4"/>
  <c r="M200" i="4"/>
  <c r="N200" i="4"/>
  <c r="M207" i="4"/>
  <c r="L234" i="4"/>
  <c r="L247" i="4"/>
  <c r="N247" i="4"/>
  <c r="M252" i="4"/>
  <c r="N252" i="4"/>
  <c r="M264" i="4"/>
  <c r="N264" i="4"/>
  <c r="L274" i="4"/>
  <c r="L287" i="4"/>
  <c r="N287" i="4"/>
  <c r="M287" i="4"/>
  <c r="L291" i="4"/>
  <c r="N291" i="4"/>
  <c r="M291" i="4"/>
  <c r="L295" i="4"/>
  <c r="N295" i="4"/>
  <c r="M295" i="4"/>
  <c r="M312" i="4"/>
  <c r="N312" i="4"/>
  <c r="L327" i="4"/>
  <c r="M327" i="4"/>
  <c r="L336" i="4"/>
  <c r="L343" i="4"/>
  <c r="N343" i="4"/>
  <c r="M343" i="4"/>
  <c r="M368" i="4"/>
  <c r="N368" i="4"/>
  <c r="M404" i="4"/>
  <c r="N404" i="4"/>
  <c r="L404" i="4"/>
  <c r="M416" i="4"/>
  <c r="N416" i="4"/>
  <c r="M440" i="4"/>
  <c r="N440" i="4"/>
  <c r="L479" i="4"/>
  <c r="N479" i="4"/>
  <c r="M479" i="4"/>
  <c r="L491" i="4"/>
  <c r="N491" i="4"/>
  <c r="M504" i="4"/>
  <c r="N504" i="4"/>
  <c r="N743" i="4"/>
  <c r="M743" i="4"/>
  <c r="L939" i="4"/>
  <c r="N939" i="4"/>
  <c r="M939" i="4"/>
  <c r="L298" i="4"/>
  <c r="L310" i="4"/>
  <c r="L402" i="4"/>
  <c r="N411" i="4"/>
  <c r="L434" i="4"/>
  <c r="L466" i="4"/>
  <c r="L533" i="4"/>
  <c r="L549" i="4"/>
  <c r="M568" i="4"/>
  <c r="N568" i="4"/>
  <c r="L595" i="4"/>
  <c r="L598" i="4"/>
  <c r="L601" i="4"/>
  <c r="L617" i="4"/>
  <c r="M624" i="4"/>
  <c r="N624" i="4"/>
  <c r="L639" i="4"/>
  <c r="L643" i="4"/>
  <c r="N647" i="4"/>
  <c r="M647" i="4"/>
  <c r="L681" i="4"/>
  <c r="N688" i="4"/>
  <c r="M688" i="4"/>
  <c r="L709" i="4"/>
  <c r="L728" i="4"/>
  <c r="L745" i="4"/>
  <c r="L771" i="4"/>
  <c r="L779" i="4"/>
  <c r="L810" i="4"/>
  <c r="N855" i="4"/>
  <c r="M855" i="4"/>
  <c r="N866" i="4"/>
  <c r="M866" i="4"/>
  <c r="L899" i="4"/>
  <c r="N899" i="4"/>
  <c r="M899" i="4"/>
  <c r="N910" i="4"/>
  <c r="M910" i="4"/>
  <c r="L915" i="4"/>
  <c r="N915" i="4"/>
  <c r="M915" i="4"/>
  <c r="L918" i="4"/>
  <c r="M1007" i="4"/>
  <c r="N1007" i="4"/>
  <c r="N1217" i="4"/>
  <c r="M1217" i="4"/>
  <c r="N1386" i="4"/>
  <c r="M1386" i="4"/>
  <c r="L154" i="4"/>
  <c r="L162" i="4"/>
  <c r="L166" i="4"/>
  <c r="L282" i="4"/>
  <c r="L290" i="4"/>
  <c r="L294" i="4"/>
  <c r="N316" i="4"/>
  <c r="N320" i="4"/>
  <c r="N324" i="4"/>
  <c r="N328" i="4"/>
  <c r="N340" i="4"/>
  <c r="N396" i="4"/>
  <c r="N428" i="4"/>
  <c r="N460" i="4"/>
  <c r="L478" i="4"/>
  <c r="L553" i="4"/>
  <c r="L688" i="4"/>
  <c r="N822" i="4"/>
  <c r="M822" i="4"/>
  <c r="N847" i="4"/>
  <c r="M847" i="4"/>
  <c r="L855" i="4"/>
  <c r="N859" i="4"/>
  <c r="M859" i="4"/>
  <c r="L866" i="4"/>
  <c r="M894" i="4"/>
  <c r="L894" i="4"/>
  <c r="L910" i="4"/>
  <c r="L921" i="4"/>
  <c r="L931" i="4"/>
  <c r="N931" i="4"/>
  <c r="M931" i="4"/>
  <c r="N1004" i="4"/>
  <c r="M1004" i="4"/>
  <c r="N1068" i="4"/>
  <c r="M1068" i="4"/>
  <c r="N1084" i="4"/>
  <c r="M1084" i="4"/>
  <c r="N1190" i="4"/>
  <c r="M1190" i="4"/>
  <c r="L410" i="4"/>
  <c r="L442" i="4"/>
  <c r="L474" i="4"/>
  <c r="L547" i="4"/>
  <c r="L559" i="4"/>
  <c r="L562" i="4"/>
  <c r="N592" i="4"/>
  <c r="M612" i="4"/>
  <c r="N612" i="4"/>
  <c r="N621" i="4"/>
  <c r="M621" i="4"/>
  <c r="M667" i="4"/>
  <c r="L743" i="4"/>
  <c r="M879" i="4"/>
  <c r="L879" i="4"/>
  <c r="N886" i="4"/>
  <c r="M886" i="4"/>
  <c r="L891" i="4"/>
  <c r="N891" i="4"/>
  <c r="M891" i="4"/>
  <c r="L919" i="4"/>
  <c r="N919" i="4"/>
  <c r="M919" i="4"/>
  <c r="N974" i="4"/>
  <c r="M974" i="4"/>
  <c r="N977" i="4"/>
  <c r="M977" i="4"/>
  <c r="L977" i="4"/>
  <c r="N1158" i="4"/>
  <c r="M1158" i="4"/>
  <c r="L250" i="4"/>
  <c r="L258" i="4"/>
  <c r="L262" i="4"/>
  <c r="L378" i="4"/>
  <c r="L490" i="4"/>
  <c r="L510" i="4"/>
  <c r="N547" i="4"/>
  <c r="M551" i="4"/>
  <c r="N551" i="4"/>
  <c r="N560" i="4"/>
  <c r="M560" i="4"/>
  <c r="L572" i="4"/>
  <c r="L587" i="4"/>
  <c r="L621" i="4"/>
  <c r="L670" i="4"/>
  <c r="L761" i="4"/>
  <c r="L769" i="4"/>
  <c r="N831" i="4"/>
  <c r="M831" i="4"/>
  <c r="M874" i="4"/>
  <c r="L874" i="4"/>
  <c r="L877" i="4"/>
  <c r="L903" i="4"/>
  <c r="N903" i="4"/>
  <c r="M903" i="4"/>
  <c r="N906" i="4"/>
  <c r="M906" i="4"/>
  <c r="L943" i="4"/>
  <c r="N943" i="4"/>
  <c r="M943" i="4"/>
  <c r="N971" i="4"/>
  <c r="M971" i="4"/>
  <c r="N1044" i="4"/>
  <c r="M1044" i="4"/>
  <c r="N1134" i="4"/>
  <c r="M1134" i="4"/>
  <c r="N1140" i="4"/>
  <c r="M1140" i="4"/>
  <c r="L362" i="4"/>
  <c r="L374" i="4"/>
  <c r="L386" i="4"/>
  <c r="L418" i="4"/>
  <c r="L450" i="4"/>
  <c r="L506" i="4"/>
  <c r="M548" i="4"/>
  <c r="N548" i="4"/>
  <c r="L569" i="4"/>
  <c r="M572" i="4"/>
  <c r="N587" i="4"/>
  <c r="L645" i="4"/>
  <c r="L651" i="4"/>
  <c r="L665" i="4"/>
  <c r="N670" i="4"/>
  <c r="L701" i="4"/>
  <c r="L705" i="4"/>
  <c r="N708" i="4"/>
  <c r="M708" i="4"/>
  <c r="N750" i="4"/>
  <c r="M750" i="4"/>
  <c r="N806" i="4"/>
  <c r="M806" i="4"/>
  <c r="L806" i="4"/>
  <c r="L841" i="4"/>
  <c r="N879" i="4"/>
  <c r="L895" i="4"/>
  <c r="N895" i="4"/>
  <c r="M895" i="4"/>
  <c r="L906" i="4"/>
  <c r="M926" i="4"/>
  <c r="N926" i="4"/>
  <c r="N968" i="4"/>
  <c r="M968" i="4"/>
  <c r="L971" i="4"/>
  <c r="L1021" i="4"/>
  <c r="N1021" i="4"/>
  <c r="M1021" i="4"/>
  <c r="L218" i="4"/>
  <c r="L226" i="4"/>
  <c r="L230" i="4"/>
  <c r="N299" i="4"/>
  <c r="N303" i="4"/>
  <c r="N311" i="4"/>
  <c r="L346" i="4"/>
  <c r="L354" i="4"/>
  <c r="L358" i="4"/>
  <c r="N380" i="4"/>
  <c r="M403" i="4"/>
  <c r="N412" i="4"/>
  <c r="M435" i="4"/>
  <c r="N444" i="4"/>
  <c r="M467" i="4"/>
  <c r="N488" i="4"/>
  <c r="N492" i="4"/>
  <c r="N496" i="4"/>
  <c r="N500" i="4"/>
  <c r="N512" i="4"/>
  <c r="L522" i="4"/>
  <c r="M532" i="4"/>
  <c r="L535" i="4"/>
  <c r="L548" i="4"/>
  <c r="N603" i="4"/>
  <c r="L613" i="4"/>
  <c r="M662" i="4"/>
  <c r="N662" i="4"/>
  <c r="L690" i="4"/>
  <c r="M694" i="4"/>
  <c r="N694" i="4"/>
  <c r="L747" i="4"/>
  <c r="L762" i="4"/>
  <c r="L767" i="4"/>
  <c r="L803" i="4"/>
  <c r="L829" i="4"/>
  <c r="N835" i="4"/>
  <c r="M835" i="4"/>
  <c r="N874" i="4"/>
  <c r="N914" i="4"/>
  <c r="M914" i="4"/>
  <c r="L923" i="4"/>
  <c r="N923" i="4"/>
  <c r="M923" i="4"/>
  <c r="L926" i="4"/>
  <c r="L929" i="4"/>
  <c r="L937" i="4"/>
  <c r="L951" i="4"/>
  <c r="N951" i="4"/>
  <c r="M951" i="4"/>
  <c r="L968" i="4"/>
  <c r="N1018" i="4"/>
  <c r="M1018" i="4"/>
  <c r="L1070" i="4"/>
  <c r="N1070" i="4"/>
  <c r="M1070" i="4"/>
  <c r="N1156" i="4"/>
  <c r="M1156" i="4"/>
  <c r="L330" i="4"/>
  <c r="L334" i="4"/>
  <c r="L342" i="4"/>
  <c r="L348" i="4"/>
  <c r="L352" i="4"/>
  <c r="L356" i="4"/>
  <c r="L360" i="4"/>
  <c r="L363" i="4"/>
  <c r="L367" i="4"/>
  <c r="L372" i="4"/>
  <c r="L375" i="4"/>
  <c r="L388" i="4"/>
  <c r="L394" i="4"/>
  <c r="L420" i="4"/>
  <c r="L426" i="4"/>
  <c r="L452" i="4"/>
  <c r="L458" i="4"/>
  <c r="M475" i="4"/>
  <c r="M483" i="4"/>
  <c r="L503" i="4"/>
  <c r="L507" i="4"/>
  <c r="L515" i="4"/>
  <c r="L520" i="4"/>
  <c r="L524" i="4"/>
  <c r="N536" i="4"/>
  <c r="M536" i="4"/>
  <c r="L538" i="4"/>
  <c r="L543" i="4"/>
  <c r="N623" i="4"/>
  <c r="L623" i="4"/>
  <c r="M627" i="4"/>
  <c r="N627" i="4"/>
  <c r="L649" i="4"/>
  <c r="N691" i="4"/>
  <c r="M691" i="4"/>
  <c r="N787" i="4"/>
  <c r="M787" i="4"/>
  <c r="N815" i="4"/>
  <c r="M815" i="4"/>
  <c r="N870" i="4"/>
  <c r="M870" i="4"/>
  <c r="N875" i="4"/>
  <c r="M875" i="4"/>
  <c r="M930" i="4"/>
  <c r="L930" i="4"/>
  <c r="L935" i="4"/>
  <c r="M935" i="4"/>
  <c r="N935" i="4"/>
  <c r="L969" i="4"/>
  <c r="N969" i="4"/>
  <c r="M969" i="4"/>
  <c r="M1098" i="4"/>
  <c r="N1098" i="4"/>
  <c r="N1036" i="4"/>
  <c r="M1036" i="4"/>
  <c r="L1044" i="4"/>
  <c r="L1086" i="4"/>
  <c r="N1086" i="4"/>
  <c r="M1086" i="4"/>
  <c r="L1119" i="4"/>
  <c r="L1158" i="4"/>
  <c r="M1170" i="4"/>
  <c r="N1170" i="4"/>
  <c r="L1217" i="4"/>
  <c r="L1236" i="4"/>
  <c r="N1263" i="4"/>
  <c r="M1263" i="4"/>
  <c r="N1449" i="4"/>
  <c r="M1449" i="4"/>
  <c r="M1495" i="4"/>
  <c r="N1495" i="4"/>
  <c r="L851" i="4"/>
  <c r="L893" i="4"/>
  <c r="L925" i="4"/>
  <c r="L953" i="4"/>
  <c r="M980" i="4"/>
  <c r="M986" i="4"/>
  <c r="N1042" i="4"/>
  <c r="M1042" i="4"/>
  <c r="M1096" i="4"/>
  <c r="N1096" i="4"/>
  <c r="L1116" i="4"/>
  <c r="L1126" i="4"/>
  <c r="N1129" i="4"/>
  <c r="M1129" i="4"/>
  <c r="N1147" i="4"/>
  <c r="M1147" i="4"/>
  <c r="L1176" i="4"/>
  <c r="L1233" i="4"/>
  <c r="L1263" i="4"/>
  <c r="N1291" i="4"/>
  <c r="M1291" i="4"/>
  <c r="N1327" i="4"/>
  <c r="M1327" i="4"/>
  <c r="M1394" i="4"/>
  <c r="N1394" i="4"/>
  <c r="M1424" i="4"/>
  <c r="N1424" i="4"/>
  <c r="N1443" i="4"/>
  <c r="L1443" i="4"/>
  <c r="M1443" i="4"/>
  <c r="N1479" i="4"/>
  <c r="M1479" i="4"/>
  <c r="L1479" i="4"/>
  <c r="L560" i="4"/>
  <c r="L581" i="4"/>
  <c r="L597" i="4"/>
  <c r="L605" i="4"/>
  <c r="L615" i="4"/>
  <c r="L647" i="4"/>
  <c r="L652" i="4"/>
  <c r="L662" i="4"/>
  <c r="L674" i="4"/>
  <c r="L682" i="4"/>
  <c r="L694" i="4"/>
  <c r="L697" i="4"/>
  <c r="L719" i="4"/>
  <c r="L722" i="4"/>
  <c r="L755" i="4"/>
  <c r="L765" i="4"/>
  <c r="L799" i="4"/>
  <c r="L815" i="4"/>
  <c r="L827" i="4"/>
  <c r="L831" i="4"/>
  <c r="L984" i="4"/>
  <c r="M1039" i="4"/>
  <c r="N1039" i="4"/>
  <c r="L1042" i="4"/>
  <c r="M1072" i="4"/>
  <c r="N1072" i="4"/>
  <c r="N1102" i="4"/>
  <c r="M1102" i="4"/>
  <c r="N1117" i="4"/>
  <c r="M1117" i="4"/>
  <c r="M1126" i="4"/>
  <c r="L1147" i="4"/>
  <c r="N1174" i="4"/>
  <c r="M1174" i="4"/>
  <c r="N1188" i="4"/>
  <c r="M1188" i="4"/>
  <c r="M1230" i="4"/>
  <c r="N1230" i="4"/>
  <c r="N1257" i="4"/>
  <c r="M1257" i="4"/>
  <c r="M1268" i="4"/>
  <c r="N1268" i="4"/>
  <c r="L1268" i="4"/>
  <c r="L571" i="4"/>
  <c r="L594" i="4"/>
  <c r="L620" i="4"/>
  <c r="L677" i="4"/>
  <c r="L685" i="4"/>
  <c r="L738" i="4"/>
  <c r="L777" i="4"/>
  <c r="L787" i="4"/>
  <c r="L845" i="4"/>
  <c r="L847" i="4"/>
  <c r="M947" i="4"/>
  <c r="N972" i="4"/>
  <c r="M972" i="4"/>
  <c r="N1064" i="4"/>
  <c r="M1064" i="4"/>
  <c r="L1102" i="4"/>
  <c r="M1114" i="4"/>
  <c r="L1174" i="4"/>
  <c r="M1185" i="4"/>
  <c r="N1185" i="4"/>
  <c r="L1257" i="4"/>
  <c r="N1352" i="4"/>
  <c r="M1352" i="4"/>
  <c r="N1483" i="4"/>
  <c r="M1483" i="4"/>
  <c r="L741" i="4"/>
  <c r="L748" i="4"/>
  <c r="M838" i="4"/>
  <c r="L843" i="4"/>
  <c r="L859" i="4"/>
  <c r="L881" i="4"/>
  <c r="N947" i="4"/>
  <c r="N1032" i="4"/>
  <c r="M1032" i="4"/>
  <c r="N1100" i="4"/>
  <c r="M1100" i="4"/>
  <c r="M1197" i="4"/>
  <c r="N1197" i="4"/>
  <c r="N1219" i="4"/>
  <c r="M1219" i="4"/>
  <c r="N1254" i="4"/>
  <c r="M1254" i="4"/>
  <c r="N1280" i="4"/>
  <c r="M1280" i="4"/>
  <c r="N1283" i="4"/>
  <c r="M1283" i="4"/>
  <c r="N1312" i="4"/>
  <c r="M1312" i="4"/>
  <c r="N1318" i="4"/>
  <c r="M1318" i="4"/>
  <c r="M1332" i="4"/>
  <c r="N1332" i="4"/>
  <c r="N1402" i="4"/>
  <c r="M1402" i="4"/>
  <c r="L907" i="4"/>
  <c r="L911" i="4"/>
  <c r="L946" i="4"/>
  <c r="N991" i="4"/>
  <c r="M991" i="4"/>
  <c r="L1032" i="4"/>
  <c r="L1082" i="4"/>
  <c r="N1082" i="4"/>
  <c r="M1082" i="4"/>
  <c r="N1094" i="4"/>
  <c r="M1094" i="4"/>
  <c r="L1094" i="4"/>
  <c r="M1154" i="4"/>
  <c r="N1154" i="4"/>
  <c r="N1163" i="4"/>
  <c r="M1163" i="4"/>
  <c r="N1166" i="4"/>
  <c r="M1166" i="4"/>
  <c r="L1197" i="4"/>
  <c r="N1245" i="4"/>
  <c r="M1245" i="4"/>
  <c r="L1254" i="4"/>
  <c r="L1280" i="4"/>
  <c r="M1300" i="4"/>
  <c r="N1300" i="4"/>
  <c r="N1399" i="4"/>
  <c r="M1399" i="4"/>
  <c r="L667" i="4"/>
  <c r="L678" i="4"/>
  <c r="L707" i="4"/>
  <c r="L712" i="4"/>
  <c r="L715" i="4"/>
  <c r="N748" i="4"/>
  <c r="L781" i="4"/>
  <c r="L823" i="4"/>
  <c r="N962" i="4"/>
  <c r="M962" i="4"/>
  <c r="L965" i="4"/>
  <c r="L998" i="4"/>
  <c r="M998" i="4"/>
  <c r="L1001" i="4"/>
  <c r="N1001" i="4"/>
  <c r="N1041" i="4"/>
  <c r="M1041" i="4"/>
  <c r="N1047" i="4"/>
  <c r="M1047" i="4"/>
  <c r="L1062" i="4"/>
  <c r="N1062" i="4"/>
  <c r="M1062" i="4"/>
  <c r="N1065" i="4"/>
  <c r="M1065" i="4"/>
  <c r="N1179" i="4"/>
  <c r="M1179" i="4"/>
  <c r="N1192" i="4"/>
  <c r="M1192" i="4"/>
  <c r="N1222" i="4"/>
  <c r="M1222" i="4"/>
  <c r="N1242" i="4"/>
  <c r="M1242" i="4"/>
  <c r="M1297" i="4"/>
  <c r="N1297" i="4"/>
  <c r="M1316" i="4"/>
  <c r="N1316" i="4"/>
  <c r="M1471" i="4"/>
  <c r="N1471" i="4"/>
  <c r="L1047" i="4"/>
  <c r="L1068" i="4"/>
  <c r="L1084" i="4"/>
  <c r="L1107" i="4"/>
  <c r="L1110" i="4"/>
  <c r="L1140" i="4"/>
  <c r="L1154" i="4"/>
  <c r="L1156" i="4"/>
  <c r="L1172" i="4"/>
  <c r="L1190" i="4"/>
  <c r="L1222" i="4"/>
  <c r="L1239" i="4"/>
  <c r="L1242" i="4"/>
  <c r="L1283" i="4"/>
  <c r="L1297" i="4"/>
  <c r="L1318" i="4"/>
  <c r="N1321" i="4"/>
  <c r="M1321" i="4"/>
  <c r="L1327" i="4"/>
  <c r="N1381" i="4"/>
  <c r="L1399" i="4"/>
  <c r="L1402" i="4"/>
  <c r="M1417" i="4"/>
  <c r="L1424" i="4"/>
  <c r="M1467" i="4"/>
  <c r="L1471" i="4"/>
  <c r="L1483" i="4"/>
  <c r="N1486" i="4"/>
  <c r="M1486" i="4"/>
  <c r="L1495" i="4"/>
  <c r="E26" i="6"/>
  <c r="F26" i="6"/>
  <c r="H92" i="6"/>
  <c r="F92" i="6"/>
  <c r="E92" i="6"/>
  <c r="H135" i="6"/>
  <c r="F135" i="6"/>
  <c r="L962" i="4"/>
  <c r="L1034" i="4"/>
  <c r="L1052" i="4"/>
  <c r="L1072" i="4"/>
  <c r="L1098" i="4"/>
  <c r="L1117" i="4"/>
  <c r="L1129" i="4"/>
  <c r="L1143" i="4"/>
  <c r="L1149" i="4"/>
  <c r="L1170" i="4"/>
  <c r="L1188" i="4"/>
  <c r="L1225" i="4"/>
  <c r="L1228" i="4"/>
  <c r="L1234" i="4"/>
  <c r="N1237" i="4"/>
  <c r="M1237" i="4"/>
  <c r="N1240" i="4"/>
  <c r="M1240" i="4"/>
  <c r="L1264" i="4"/>
  <c r="L1286" i="4"/>
  <c r="L1300" i="4"/>
  <c r="L1352" i="4"/>
  <c r="N1355" i="4"/>
  <c r="M1355" i="4"/>
  <c r="L1358" i="4"/>
  <c r="L1374" i="4"/>
  <c r="L1397" i="4"/>
  <c r="L1428" i="4"/>
  <c r="L1446" i="4"/>
  <c r="L1458" i="4"/>
  <c r="N1478" i="4"/>
  <c r="M1478" i="4"/>
  <c r="L1486" i="4"/>
  <c r="N1499" i="4"/>
  <c r="M1499" i="4"/>
  <c r="F90" i="6"/>
  <c r="E90" i="6"/>
  <c r="H161" i="6"/>
  <c r="F161" i="6"/>
  <c r="L959" i="4"/>
  <c r="L978" i="4"/>
  <c r="L1002" i="4"/>
  <c r="L1008" i="4"/>
  <c r="L1010" i="4"/>
  <c r="L1017" i="4"/>
  <c r="M1030" i="4"/>
  <c r="L1053" i="4"/>
  <c r="L1055" i="4"/>
  <c r="N1075" i="4"/>
  <c r="M1115" i="4"/>
  <c r="L1134" i="4"/>
  <c r="L1145" i="4"/>
  <c r="L1177" i="4"/>
  <c r="N1205" i="4"/>
  <c r="M1205" i="4"/>
  <c r="L1220" i="4"/>
  <c r="L1270" i="4"/>
  <c r="L1291" i="4"/>
  <c r="N1358" i="4"/>
  <c r="M1374" i="4"/>
  <c r="L1377" i="4"/>
  <c r="L1394" i="4"/>
  <c r="N1397" i="4"/>
  <c r="N1490" i="4"/>
  <c r="M1490" i="4"/>
  <c r="H20" i="6"/>
  <c r="F20" i="6"/>
  <c r="E20" i="6"/>
  <c r="H127" i="6"/>
  <c r="F127" i="6"/>
  <c r="N1171" i="4"/>
  <c r="M1171" i="4"/>
  <c r="N1253" i="4"/>
  <c r="M1253" i="4"/>
  <c r="N1295" i="4"/>
  <c r="M1295" i="4"/>
  <c r="N1375" i="4"/>
  <c r="M1375" i="4"/>
  <c r="N1422" i="4"/>
  <c r="M1422" i="4"/>
  <c r="N1447" i="4"/>
  <c r="M1447" i="4"/>
  <c r="N1466" i="4"/>
  <c r="L1466" i="4"/>
  <c r="N1475" i="4"/>
  <c r="M1475" i="4"/>
  <c r="H159" i="6"/>
  <c r="F159" i="6"/>
  <c r="E159" i="6"/>
  <c r="E246" i="6"/>
  <c r="F246" i="6"/>
  <c r="F267" i="6"/>
  <c r="E267" i="6"/>
  <c r="L1035" i="4"/>
  <c r="L1048" i="4"/>
  <c r="L1071" i="4"/>
  <c r="L1073" i="4"/>
  <c r="L1120" i="4"/>
  <c r="L1148" i="4"/>
  <c r="L1150" i="4"/>
  <c r="L1191" i="4"/>
  <c r="L1199" i="4"/>
  <c r="L1202" i="4"/>
  <c r="N1266" i="4"/>
  <c r="M1266" i="4"/>
  <c r="L1271" i="4"/>
  <c r="L1284" i="4"/>
  <c r="L1295" i="4"/>
  <c r="L1306" i="4"/>
  <c r="L1309" i="4"/>
  <c r="L1375" i="4"/>
  <c r="L1475" i="4"/>
  <c r="N1482" i="4"/>
  <c r="M1482" i="4"/>
  <c r="L1487" i="4"/>
  <c r="E124" i="6"/>
  <c r="H124" i="6"/>
  <c r="F124" i="6"/>
  <c r="H292" i="6"/>
  <c r="F292" i="6"/>
  <c r="E292" i="6"/>
  <c r="L988" i="4"/>
  <c r="L994" i="4"/>
  <c r="L1003" i="4"/>
  <c r="L1026" i="4"/>
  <c r="L1046" i="4"/>
  <c r="N1053" i="4"/>
  <c r="L1061" i="4"/>
  <c r="L1069" i="4"/>
  <c r="L1093" i="4"/>
  <c r="L1114" i="4"/>
  <c r="M1118" i="4"/>
  <c r="N1120" i="4"/>
  <c r="L1128" i="4"/>
  <c r="L1135" i="4"/>
  <c r="M1139" i="4"/>
  <c r="L1151" i="4"/>
  <c r="M1155" i="4"/>
  <c r="N1162" i="4"/>
  <c r="L1187" i="4"/>
  <c r="M1200" i="4"/>
  <c r="N1200" i="4"/>
  <c r="M1202" i="4"/>
  <c r="M1216" i="4"/>
  <c r="L1238" i="4"/>
  <c r="L1272" i="4"/>
  <c r="N1285" i="4"/>
  <c r="M1285" i="4"/>
  <c r="M1306" i="4"/>
  <c r="M1309" i="4"/>
  <c r="L1315" i="4"/>
  <c r="L1332" i="4"/>
  <c r="N1363" i="4"/>
  <c r="M1363" i="4"/>
  <c r="L1363" i="4"/>
  <c r="M1372" i="4"/>
  <c r="N1453" i="4"/>
  <c r="M1487" i="4"/>
  <c r="E118" i="6"/>
  <c r="F118" i="6"/>
  <c r="H216" i="6"/>
  <c r="E216" i="6"/>
  <c r="E287" i="6"/>
  <c r="F287" i="6"/>
  <c r="F12" i="6"/>
  <c r="H12" i="6"/>
  <c r="E19" i="9" s="1"/>
  <c r="E12" i="6"/>
  <c r="E207" i="6"/>
  <c r="F207" i="6"/>
  <c r="F337" i="6"/>
  <c r="E337" i="6"/>
  <c r="L1312" i="4"/>
  <c r="L1360" i="4"/>
  <c r="N1384" i="4"/>
  <c r="L1412" i="4"/>
  <c r="N1431" i="4"/>
  <c r="L1447" i="4"/>
  <c r="N1456" i="4"/>
  <c r="N1459" i="4"/>
  <c r="H9" i="6"/>
  <c r="E15" i="9" s="1"/>
  <c r="H17" i="6"/>
  <c r="H32" i="6"/>
  <c r="F36" i="6"/>
  <c r="F44" i="6"/>
  <c r="F75" i="6"/>
  <c r="F147" i="6"/>
  <c r="H185" i="6"/>
  <c r="E185" i="6"/>
  <c r="E262" i="6"/>
  <c r="H262" i="6"/>
  <c r="E295" i="6"/>
  <c r="F295" i="6"/>
  <c r="F306" i="6"/>
  <c r="H306" i="6"/>
  <c r="F385" i="6"/>
  <c r="E385" i="6"/>
  <c r="F454" i="6"/>
  <c r="E454" i="6"/>
  <c r="L1159" i="4"/>
  <c r="L1169" i="4"/>
  <c r="L1181" i="4"/>
  <c r="L1253" i="4"/>
  <c r="L1287" i="4"/>
  <c r="L1302" i="4"/>
  <c r="L1335" i="4"/>
  <c r="L1355" i="4"/>
  <c r="L1410" i="4"/>
  <c r="M1420" i="4"/>
  <c r="L1452" i="4"/>
  <c r="L1482" i="4"/>
  <c r="H26" i="6"/>
  <c r="H90" i="6"/>
  <c r="H107" i="6"/>
  <c r="E110" i="6"/>
  <c r="F110" i="6"/>
  <c r="H156" i="6"/>
  <c r="F156" i="6"/>
  <c r="E174" i="6"/>
  <c r="F174" i="6"/>
  <c r="F244" i="6"/>
  <c r="E244" i="6"/>
  <c r="H276" i="6"/>
  <c r="F276" i="6"/>
  <c r="H287" i="6"/>
  <c r="E306" i="6"/>
  <c r="E309" i="6"/>
  <c r="F309" i="6"/>
  <c r="F338" i="6"/>
  <c r="E338" i="6"/>
  <c r="F344" i="6"/>
  <c r="H344" i="6"/>
  <c r="F376" i="6"/>
  <c r="H376" i="6"/>
  <c r="E388" i="6"/>
  <c r="H388" i="6"/>
  <c r="F467" i="6"/>
  <c r="E467" i="6"/>
  <c r="F500" i="6"/>
  <c r="E500" i="6"/>
  <c r="F541" i="6"/>
  <c r="H541" i="6"/>
  <c r="E541" i="6"/>
  <c r="L1184" i="4"/>
  <c r="L1229" i="4"/>
  <c r="L1248" i="4"/>
  <c r="L1255" i="4"/>
  <c r="L1319" i="4"/>
  <c r="L1325" i="4"/>
  <c r="L1336" i="4"/>
  <c r="L1338" i="4"/>
  <c r="L1346" i="4"/>
  <c r="L1351" i="4"/>
  <c r="L1353" i="4"/>
  <c r="N1366" i="4"/>
  <c r="L1380" i="4"/>
  <c r="L1393" i="4"/>
  <c r="L1460" i="4"/>
  <c r="L1478" i="4"/>
  <c r="F15" i="6"/>
  <c r="H29" i="6"/>
  <c r="E35" i="6"/>
  <c r="F52" i="6"/>
  <c r="F54" i="6"/>
  <c r="H57" i="6"/>
  <c r="E60" i="6"/>
  <c r="H62" i="6"/>
  <c r="F70" i="6"/>
  <c r="F83" i="6"/>
  <c r="H98" i="6"/>
  <c r="F100" i="6"/>
  <c r="E114" i="6"/>
  <c r="F139" i="6"/>
  <c r="E186" i="6"/>
  <c r="H186" i="6"/>
  <c r="H200" i="6"/>
  <c r="F200" i="6"/>
  <c r="F268" i="6"/>
  <c r="E276" i="6"/>
  <c r="F354" i="6"/>
  <c r="E354" i="6"/>
  <c r="E360" i="6"/>
  <c r="H386" i="6"/>
  <c r="F386" i="6"/>
  <c r="L1418" i="4"/>
  <c r="F35" i="6"/>
  <c r="H37" i="6"/>
  <c r="H54" i="6"/>
  <c r="F60" i="6"/>
  <c r="E66" i="6"/>
  <c r="H70" i="6"/>
  <c r="F85" i="6"/>
  <c r="H114" i="6"/>
  <c r="H174" i="6"/>
  <c r="E183" i="6"/>
  <c r="F186" i="6"/>
  <c r="H191" i="6"/>
  <c r="F209" i="6"/>
  <c r="E209" i="6"/>
  <c r="H232" i="6"/>
  <c r="E232" i="6"/>
  <c r="H244" i="6"/>
  <c r="E271" i="6"/>
  <c r="F271" i="6"/>
  <c r="F322" i="6"/>
  <c r="E322" i="6"/>
  <c r="F329" i="6"/>
  <c r="H338" i="6"/>
  <c r="E411" i="6"/>
  <c r="H411" i="6"/>
  <c r="E115" i="6"/>
  <c r="H115" i="6"/>
  <c r="H146" i="6"/>
  <c r="E146" i="6"/>
  <c r="H151" i="6"/>
  <c r="H163" i="6"/>
  <c r="F163" i="6"/>
  <c r="E163" i="6"/>
  <c r="E178" i="6"/>
  <c r="H178" i="6"/>
  <c r="F181" i="6"/>
  <c r="H181" i="6"/>
  <c r="F189" i="6"/>
  <c r="E189" i="6"/>
  <c r="H209" i="6"/>
  <c r="H214" i="6"/>
  <c r="F236" i="6"/>
  <c r="H236" i="6"/>
  <c r="E239" i="6"/>
  <c r="F239" i="6"/>
  <c r="H268" i="6"/>
  <c r="F299" i="6"/>
  <c r="E304" i="6"/>
  <c r="H329" i="6"/>
  <c r="F339" i="6"/>
  <c r="E339" i="6"/>
  <c r="H354" i="6"/>
  <c r="F404" i="6"/>
  <c r="F428" i="6"/>
  <c r="E428" i="6"/>
  <c r="F445" i="6"/>
  <c r="H445" i="6"/>
  <c r="E445" i="6"/>
  <c r="H465" i="6"/>
  <c r="F465" i="6"/>
  <c r="E465" i="6"/>
  <c r="H27" i="6"/>
  <c r="H34" i="6"/>
  <c r="H43" i="6"/>
  <c r="H64" i="6"/>
  <c r="H74" i="6"/>
  <c r="E82" i="6"/>
  <c r="H85" i="6"/>
  <c r="F115" i="6"/>
  <c r="F126" i="6"/>
  <c r="E134" i="6"/>
  <c r="F134" i="6"/>
  <c r="E140" i="6"/>
  <c r="F151" i="6"/>
  <c r="F158" i="6"/>
  <c r="E158" i="6"/>
  <c r="H158" i="6"/>
  <c r="F178" i="6"/>
  <c r="E181" i="6"/>
  <c r="H183" i="6"/>
  <c r="F201" i="6"/>
  <c r="F225" i="6"/>
  <c r="E225" i="6"/>
  <c r="E236" i="6"/>
  <c r="F252" i="6"/>
  <c r="E252" i="6"/>
  <c r="H323" i="6"/>
  <c r="E323" i="6"/>
  <c r="E380" i="6"/>
  <c r="H380" i="6"/>
  <c r="L1386" i="4"/>
  <c r="L1389" i="4"/>
  <c r="L1409" i="4"/>
  <c r="L1417" i="4"/>
  <c r="L1444" i="4"/>
  <c r="L1467" i="4"/>
  <c r="L1494" i="4"/>
  <c r="F173" i="6"/>
  <c r="H173" i="6"/>
  <c r="H196" i="6"/>
  <c r="E196" i="6"/>
  <c r="E222" i="6"/>
  <c r="F222" i="6"/>
  <c r="F249" i="6"/>
  <c r="E249" i="6"/>
  <c r="F380" i="6"/>
  <c r="F400" i="6"/>
  <c r="H400" i="6"/>
  <c r="H576" i="6"/>
  <c r="F576" i="6"/>
  <c r="E576" i="6"/>
  <c r="H113" i="6"/>
  <c r="H143" i="6"/>
  <c r="H150" i="6"/>
  <c r="H180" i="6"/>
  <c r="H188" i="6"/>
  <c r="E238" i="6"/>
  <c r="H238" i="6"/>
  <c r="H243" i="6"/>
  <c r="F243" i="6"/>
  <c r="H247" i="6"/>
  <c r="H251" i="6"/>
  <c r="E251" i="6"/>
  <c r="H264" i="6"/>
  <c r="H286" i="6"/>
  <c r="H303" i="6"/>
  <c r="H305" i="6"/>
  <c r="H328" i="6"/>
  <c r="H330" i="6"/>
  <c r="H362" i="6"/>
  <c r="H363" i="6"/>
  <c r="H371" i="6"/>
  <c r="H395" i="6"/>
  <c r="H448" i="6"/>
  <c r="H500" i="6"/>
  <c r="H526" i="6"/>
  <c r="H529" i="6"/>
  <c r="F529" i="6"/>
  <c r="F550" i="6"/>
  <c r="E550" i="6"/>
  <c r="E364" i="6"/>
  <c r="H364" i="6"/>
  <c r="H379" i="6"/>
  <c r="H385" i="6"/>
  <c r="E422" i="6"/>
  <c r="E448" i="6"/>
  <c r="H482" i="6"/>
  <c r="F501" i="6"/>
  <c r="H501" i="6"/>
  <c r="E526" i="6"/>
  <c r="E529" i="6"/>
  <c r="F532" i="6"/>
  <c r="E532" i="6"/>
  <c r="F535" i="6"/>
  <c r="F564" i="6"/>
  <c r="F582" i="6"/>
  <c r="E582" i="6"/>
  <c r="F452" i="6"/>
  <c r="E452" i="6"/>
  <c r="F477" i="6"/>
  <c r="H477" i="6"/>
  <c r="F417" i="6"/>
  <c r="H417" i="6"/>
  <c r="E440" i="6"/>
  <c r="E463" i="6"/>
  <c r="F463" i="6"/>
  <c r="F468" i="6"/>
  <c r="E468" i="6"/>
  <c r="E477" i="6"/>
  <c r="H480" i="6"/>
  <c r="E480" i="6"/>
  <c r="F486" i="6"/>
  <c r="E486" i="6"/>
  <c r="F508" i="6"/>
  <c r="E508" i="6"/>
  <c r="E521" i="6"/>
  <c r="E524" i="6"/>
  <c r="F533" i="6"/>
  <c r="H533" i="6"/>
  <c r="H536" i="6"/>
  <c r="E536" i="6"/>
  <c r="H600" i="6"/>
  <c r="E600" i="6"/>
  <c r="H218" i="6"/>
  <c r="H223" i="6"/>
  <c r="H260" i="6"/>
  <c r="H279" i="6"/>
  <c r="H282" i="6"/>
  <c r="H295" i="6"/>
  <c r="H316" i="6"/>
  <c r="H408" i="6"/>
  <c r="F408" i="6"/>
  <c r="E444" i="6"/>
  <c r="H452" i="6"/>
  <c r="H463" i="6"/>
  <c r="H468" i="6"/>
  <c r="F480" i="6"/>
  <c r="E492" i="6"/>
  <c r="E497" i="6"/>
  <c r="E499" i="6"/>
  <c r="E527" i="6"/>
  <c r="F527" i="6"/>
  <c r="E533" i="6"/>
  <c r="F540" i="6"/>
  <c r="E540" i="6"/>
  <c r="H554" i="6"/>
  <c r="E568" i="6"/>
  <c r="H572" i="6"/>
  <c r="F572" i="6"/>
  <c r="H586" i="6"/>
  <c r="H126" i="6"/>
  <c r="H130" i="6"/>
  <c r="H168" i="6"/>
  <c r="H175" i="6"/>
  <c r="H187" i="6"/>
  <c r="H198" i="6"/>
  <c r="F215" i="6"/>
  <c r="H224" i="6"/>
  <c r="F224" i="6"/>
  <c r="H227" i="6"/>
  <c r="H239" i="6"/>
  <c r="H246" i="6"/>
  <c r="E260" i="6"/>
  <c r="E265" i="6"/>
  <c r="E269" i="6"/>
  <c r="H271" i="6"/>
  <c r="H291" i="6"/>
  <c r="H296" i="6"/>
  <c r="E305" i="6"/>
  <c r="E314" i="6"/>
  <c r="E316" i="6"/>
  <c r="E330" i="6"/>
  <c r="F345" i="6"/>
  <c r="H345" i="6"/>
  <c r="F353" i="6"/>
  <c r="E353" i="6"/>
  <c r="F355" i="6"/>
  <c r="E363" i="6"/>
  <c r="E369" i="6"/>
  <c r="E371" i="6"/>
  <c r="E384" i="6"/>
  <c r="E395" i="6"/>
  <c r="E408" i="6"/>
  <c r="H428" i="6"/>
  <c r="F431" i="6"/>
  <c r="E436" i="6"/>
  <c r="F444" i="6"/>
  <c r="F469" i="6"/>
  <c r="H469" i="6"/>
  <c r="H486" i="6"/>
  <c r="H508" i="6"/>
  <c r="F511" i="6"/>
  <c r="F519" i="6"/>
  <c r="H521" i="6"/>
  <c r="H551" i="6"/>
  <c r="E572" i="6"/>
  <c r="H179" i="6"/>
  <c r="F179" i="6"/>
  <c r="H207" i="6"/>
  <c r="F213" i="6"/>
  <c r="H213" i="6"/>
  <c r="H215" i="6"/>
  <c r="H240" i="6"/>
  <c r="F260" i="6"/>
  <c r="E263" i="6"/>
  <c r="F263" i="6"/>
  <c r="F316" i="6"/>
  <c r="H322" i="6"/>
  <c r="H337" i="6"/>
  <c r="F377" i="6"/>
  <c r="H377" i="6"/>
  <c r="E418" i="6"/>
  <c r="H431" i="6"/>
  <c r="E469" i="6"/>
  <c r="H472" i="6"/>
  <c r="E472" i="6"/>
  <c r="E487" i="6"/>
  <c r="H487" i="6"/>
  <c r="H492" i="6"/>
  <c r="H540" i="6"/>
  <c r="F543" i="6"/>
  <c r="F558" i="6"/>
  <c r="E558" i="6"/>
  <c r="H561" i="6"/>
  <c r="H490" i="6"/>
  <c r="H524" i="6"/>
  <c r="H559" i="6"/>
  <c r="H596" i="6"/>
  <c r="H401" i="6"/>
  <c r="H422" i="6"/>
  <c r="H436" i="6"/>
  <c r="H454" i="6"/>
  <c r="H495" i="6"/>
  <c r="F512" i="6"/>
  <c r="F544" i="6"/>
  <c r="H564" i="6"/>
  <c r="E588" i="6"/>
  <c r="H256" i="6"/>
  <c r="H272" i="6"/>
  <c r="H280" i="6"/>
  <c r="H288" i="6"/>
  <c r="H308" i="6"/>
  <c r="H311" i="6"/>
  <c r="H321" i="6"/>
  <c r="H360" i="6"/>
  <c r="E392" i="6"/>
  <c r="E425" i="6"/>
  <c r="H435" i="6"/>
  <c r="F439" i="6"/>
  <c r="F447" i="6"/>
  <c r="E457" i="6"/>
  <c r="E518" i="6"/>
  <c r="H527" i="6"/>
  <c r="H550" i="6"/>
  <c r="E553" i="6"/>
  <c r="F567" i="6"/>
  <c r="H575" i="6"/>
  <c r="H578" i="6"/>
  <c r="F583" i="6"/>
  <c r="H585" i="6"/>
  <c r="E597" i="6"/>
  <c r="H599" i="6"/>
  <c r="B18" i="9"/>
  <c r="C19" i="9"/>
  <c r="N525" i="4"/>
  <c r="M525" i="4"/>
  <c r="L525" i="4"/>
  <c r="N117" i="4"/>
  <c r="M117" i="4"/>
  <c r="L117" i="4"/>
  <c r="N245" i="4"/>
  <c r="M245" i="4"/>
  <c r="L245" i="4"/>
  <c r="N421" i="4"/>
  <c r="M421" i="4"/>
  <c r="L421" i="4"/>
  <c r="N77" i="4"/>
  <c r="M77" i="4"/>
  <c r="L77" i="4"/>
  <c r="N205" i="4"/>
  <c r="M205" i="4"/>
  <c r="L205" i="4"/>
  <c r="N345" i="4"/>
  <c r="M345" i="4"/>
  <c r="L345" i="4"/>
  <c r="N31" i="4"/>
  <c r="M31" i="4"/>
  <c r="N61" i="4"/>
  <c r="M61" i="4"/>
  <c r="L61" i="4"/>
  <c r="N73" i="4"/>
  <c r="M73" i="4"/>
  <c r="L73" i="4"/>
  <c r="N85" i="4"/>
  <c r="M85" i="4"/>
  <c r="L85" i="4"/>
  <c r="N189" i="4"/>
  <c r="M189" i="4"/>
  <c r="L189" i="4"/>
  <c r="N201" i="4"/>
  <c r="M201" i="4"/>
  <c r="L201" i="4"/>
  <c r="N213" i="4"/>
  <c r="M213" i="4"/>
  <c r="L213" i="4"/>
  <c r="N317" i="4"/>
  <c r="M317" i="4"/>
  <c r="L317" i="4"/>
  <c r="N329" i="4"/>
  <c r="M329" i="4"/>
  <c r="L329" i="4"/>
  <c r="N341" i="4"/>
  <c r="M341" i="4"/>
  <c r="L341" i="4"/>
  <c r="N397" i="4"/>
  <c r="M397" i="4"/>
  <c r="L397" i="4"/>
  <c r="N429" i="4"/>
  <c r="M429" i="4"/>
  <c r="L429" i="4"/>
  <c r="N461" i="4"/>
  <c r="M461" i="4"/>
  <c r="L461" i="4"/>
  <c r="N361" i="4"/>
  <c r="M361" i="4"/>
  <c r="L361" i="4"/>
  <c r="N7" i="4"/>
  <c r="M7" i="4"/>
  <c r="N89" i="4"/>
  <c r="M89" i="4"/>
  <c r="L89" i="4"/>
  <c r="N19" i="4"/>
  <c r="M19" i="4"/>
  <c r="N39" i="4"/>
  <c r="M39" i="4"/>
  <c r="L39" i="4"/>
  <c r="N57" i="4"/>
  <c r="M57" i="4"/>
  <c r="L57" i="4"/>
  <c r="N173" i="4"/>
  <c r="M173" i="4"/>
  <c r="L173" i="4"/>
  <c r="N185" i="4"/>
  <c r="M185" i="4"/>
  <c r="L185" i="4"/>
  <c r="N301" i="4"/>
  <c r="M301" i="4"/>
  <c r="L301" i="4"/>
  <c r="N313" i="4"/>
  <c r="M313" i="4"/>
  <c r="L313" i="4"/>
  <c r="N93" i="4"/>
  <c r="M93" i="4"/>
  <c r="L93" i="4"/>
  <c r="N221" i="4"/>
  <c r="M221" i="4"/>
  <c r="L221" i="4"/>
  <c r="N349" i="4"/>
  <c r="M349" i="4"/>
  <c r="L349" i="4"/>
  <c r="M11" i="4"/>
  <c r="N11" i="4"/>
  <c r="N217" i="4"/>
  <c r="M217" i="4"/>
  <c r="L217" i="4"/>
  <c r="N157" i="4"/>
  <c r="M157" i="4"/>
  <c r="L157" i="4"/>
  <c r="N169" i="4"/>
  <c r="M169" i="4"/>
  <c r="L169" i="4"/>
  <c r="N181" i="4"/>
  <c r="M181" i="4"/>
  <c r="L181" i="4"/>
  <c r="N285" i="4"/>
  <c r="M285" i="4"/>
  <c r="L285" i="4"/>
  <c r="N297" i="4"/>
  <c r="M297" i="4"/>
  <c r="L297" i="4"/>
  <c r="N309" i="4"/>
  <c r="M309" i="4"/>
  <c r="L309" i="4"/>
  <c r="N405" i="4"/>
  <c r="M405" i="4"/>
  <c r="L405" i="4"/>
  <c r="N437" i="4"/>
  <c r="M437" i="4"/>
  <c r="L437" i="4"/>
  <c r="N469" i="4"/>
  <c r="M469" i="4"/>
  <c r="L469" i="4"/>
  <c r="N27" i="4"/>
  <c r="M27" i="4"/>
  <c r="N105" i="4"/>
  <c r="M105" i="4"/>
  <c r="L105" i="4"/>
  <c r="N373" i="4"/>
  <c r="M373" i="4"/>
  <c r="L373" i="4"/>
  <c r="N333" i="4"/>
  <c r="M333" i="4"/>
  <c r="L333" i="4"/>
  <c r="N53" i="4"/>
  <c r="M53" i="4"/>
  <c r="L53" i="4"/>
  <c r="N23" i="4"/>
  <c r="M23" i="4"/>
  <c r="N141" i="4"/>
  <c r="M141" i="4"/>
  <c r="L141" i="4"/>
  <c r="N153" i="4"/>
  <c r="M153" i="4"/>
  <c r="L153" i="4"/>
  <c r="N269" i="4"/>
  <c r="M269" i="4"/>
  <c r="L269" i="4"/>
  <c r="N281" i="4"/>
  <c r="M281" i="4"/>
  <c r="L281" i="4"/>
  <c r="N477" i="4"/>
  <c r="M477" i="4"/>
  <c r="L477" i="4"/>
  <c r="N586" i="4"/>
  <c r="M586" i="4"/>
  <c r="L586" i="4"/>
  <c r="N389" i="4"/>
  <c r="M389" i="4"/>
  <c r="L389" i="4"/>
  <c r="N453" i="4"/>
  <c r="M453" i="4"/>
  <c r="L453" i="4"/>
  <c r="N125" i="4"/>
  <c r="M125" i="4"/>
  <c r="L125" i="4"/>
  <c r="N137" i="4"/>
  <c r="M137" i="4"/>
  <c r="L137" i="4"/>
  <c r="N149" i="4"/>
  <c r="M149" i="4"/>
  <c r="L149" i="4"/>
  <c r="N253" i="4"/>
  <c r="M253" i="4"/>
  <c r="L253" i="4"/>
  <c r="N265" i="4"/>
  <c r="M265" i="4"/>
  <c r="L265" i="4"/>
  <c r="N277" i="4"/>
  <c r="M277" i="4"/>
  <c r="L277" i="4"/>
  <c r="N381" i="4"/>
  <c r="M381" i="4"/>
  <c r="L381" i="4"/>
  <c r="N413" i="4"/>
  <c r="M413" i="4"/>
  <c r="L413" i="4"/>
  <c r="N445" i="4"/>
  <c r="M445" i="4"/>
  <c r="L445" i="4"/>
  <c r="N493" i="4"/>
  <c r="M493" i="4"/>
  <c r="L493" i="4"/>
  <c r="N497" i="4"/>
  <c r="M497" i="4"/>
  <c r="L497" i="4"/>
  <c r="N233" i="4"/>
  <c r="M233" i="4"/>
  <c r="L233" i="4"/>
  <c r="N35" i="4"/>
  <c r="M35" i="4"/>
  <c r="N109" i="4"/>
  <c r="M109" i="4"/>
  <c r="L109" i="4"/>
  <c r="N121" i="4"/>
  <c r="M121" i="4"/>
  <c r="L121" i="4"/>
  <c r="N237" i="4"/>
  <c r="M237" i="4"/>
  <c r="L237" i="4"/>
  <c r="N249" i="4"/>
  <c r="M249" i="4"/>
  <c r="L249" i="4"/>
  <c r="N365" i="4"/>
  <c r="M365" i="4"/>
  <c r="L365" i="4"/>
  <c r="N377" i="4"/>
  <c r="M377" i="4"/>
  <c r="L377" i="4"/>
  <c r="N509" i="4"/>
  <c r="M509" i="4"/>
  <c r="L509" i="4"/>
  <c r="N776" i="4"/>
  <c r="L776" i="4"/>
  <c r="M776" i="4"/>
  <c r="N1343" i="4"/>
  <c r="L1343" i="4"/>
  <c r="M1343" i="4"/>
  <c r="N165" i="4"/>
  <c r="M165" i="4"/>
  <c r="L165" i="4"/>
  <c r="N261" i="4"/>
  <c r="M261" i="4"/>
  <c r="L261" i="4"/>
  <c r="N293" i="4"/>
  <c r="M293" i="4"/>
  <c r="L293" i="4"/>
  <c r="N401" i="4"/>
  <c r="M401" i="4"/>
  <c r="L401" i="4"/>
  <c r="N449" i="4"/>
  <c r="M449" i="4"/>
  <c r="L449" i="4"/>
  <c r="N566" i="4"/>
  <c r="M566" i="4"/>
  <c r="N588" i="4"/>
  <c r="M588" i="4"/>
  <c r="N644" i="4"/>
  <c r="M644" i="4"/>
  <c r="N1463" i="4"/>
  <c r="M1463" i="4"/>
  <c r="E46" i="6"/>
  <c r="H46" i="6"/>
  <c r="F46" i="6"/>
  <c r="L6" i="4"/>
  <c r="N34" i="4"/>
  <c r="L34" i="4"/>
  <c r="M34" i="4"/>
  <c r="N556" i="4"/>
  <c r="M556" i="4"/>
  <c r="L577" i="4"/>
  <c r="L588" i="4"/>
  <c r="N689" i="4"/>
  <c r="M689" i="4"/>
  <c r="N760" i="4"/>
  <c r="L760" i="4"/>
  <c r="M760" i="4"/>
  <c r="M9" i="4"/>
  <c r="D2" i="6"/>
  <c r="M17" i="4"/>
  <c r="L22" i="4"/>
  <c r="L27" i="4"/>
  <c r="N528" i="4"/>
  <c r="M528" i="4"/>
  <c r="N533" i="4"/>
  <c r="M533" i="4"/>
  <c r="L545" i="4"/>
  <c r="L556" i="4"/>
  <c r="L566" i="4"/>
  <c r="N641" i="4"/>
  <c r="M641" i="4"/>
  <c r="L641" i="4"/>
  <c r="N669" i="4"/>
  <c r="M669" i="4"/>
  <c r="N672" i="4"/>
  <c r="M672" i="4"/>
  <c r="M686" i="4"/>
  <c r="N686" i="4"/>
  <c r="L746" i="4"/>
  <c r="N753" i="4"/>
  <c r="M753" i="4"/>
  <c r="L753" i="4"/>
  <c r="N849" i="4"/>
  <c r="M849" i="4"/>
  <c r="L849" i="4"/>
  <c r="N868" i="4"/>
  <c r="M868" i="4"/>
  <c r="L868" i="4"/>
  <c r="N976" i="4"/>
  <c r="M976" i="4"/>
  <c r="N1028" i="4"/>
  <c r="M1028" i="4"/>
  <c r="L1028" i="4"/>
  <c r="N133" i="4"/>
  <c r="M133" i="4"/>
  <c r="L133" i="4"/>
  <c r="N325" i="4"/>
  <c r="M325" i="4"/>
  <c r="L325" i="4"/>
  <c r="N385" i="4"/>
  <c r="M385" i="4"/>
  <c r="L385" i="4"/>
  <c r="N417" i="4"/>
  <c r="M417" i="4"/>
  <c r="L417" i="4"/>
  <c r="N582" i="4"/>
  <c r="M582" i="4"/>
  <c r="L582" i="4"/>
  <c r="N640" i="4"/>
  <c r="M640" i="4"/>
  <c r="M702" i="4"/>
  <c r="N702" i="4"/>
  <c r="F149" i="6"/>
  <c r="E149" i="6"/>
  <c r="H149" i="6"/>
  <c r="N545" i="4"/>
  <c r="M545" i="4"/>
  <c r="N606" i="4"/>
  <c r="M606" i="4"/>
  <c r="L606" i="4"/>
  <c r="N824" i="4"/>
  <c r="L824" i="4"/>
  <c r="M824" i="4"/>
  <c r="N1215" i="4"/>
  <c r="M1215" i="4"/>
  <c r="L1215" i="4"/>
  <c r="N49" i="4"/>
  <c r="M49" i="4"/>
  <c r="L49" i="4"/>
  <c r="N81" i="4"/>
  <c r="M81" i="4"/>
  <c r="L81" i="4"/>
  <c r="N113" i="4"/>
  <c r="M113" i="4"/>
  <c r="L113" i="4"/>
  <c r="N145" i="4"/>
  <c r="M145" i="4"/>
  <c r="L145" i="4"/>
  <c r="N177" i="4"/>
  <c r="M177" i="4"/>
  <c r="L177" i="4"/>
  <c r="N209" i="4"/>
  <c r="M209" i="4"/>
  <c r="L209" i="4"/>
  <c r="N241" i="4"/>
  <c r="M241" i="4"/>
  <c r="L241" i="4"/>
  <c r="N273" i="4"/>
  <c r="M273" i="4"/>
  <c r="L273" i="4"/>
  <c r="N305" i="4"/>
  <c r="M305" i="4"/>
  <c r="L305" i="4"/>
  <c r="N337" i="4"/>
  <c r="M337" i="4"/>
  <c r="L337" i="4"/>
  <c r="N369" i="4"/>
  <c r="M369" i="4"/>
  <c r="L369" i="4"/>
  <c r="N501" i="4"/>
  <c r="M501" i="4"/>
  <c r="L501" i="4"/>
  <c r="M567" i="4"/>
  <c r="N567" i="4"/>
  <c r="L567" i="4"/>
  <c r="L669" i="4"/>
  <c r="L672" i="4"/>
  <c r="N730" i="4"/>
  <c r="M730" i="4"/>
  <c r="N736" i="4"/>
  <c r="M736" i="4"/>
  <c r="M742" i="4"/>
  <c r="L742" i="4"/>
  <c r="N742" i="4"/>
  <c r="N836" i="4"/>
  <c r="L836" i="4"/>
  <c r="M836" i="4"/>
  <c r="N840" i="4"/>
  <c r="L840" i="4"/>
  <c r="M840" i="4"/>
  <c r="N856" i="4"/>
  <c r="L856" i="4"/>
  <c r="M856" i="4"/>
  <c r="N996" i="4"/>
  <c r="M996" i="4"/>
  <c r="L996" i="4"/>
  <c r="N1025" i="4"/>
  <c r="M1025" i="4"/>
  <c r="L1025" i="4"/>
  <c r="N229" i="4"/>
  <c r="M229" i="4"/>
  <c r="L229" i="4"/>
  <c r="N858" i="4"/>
  <c r="M858" i="4"/>
  <c r="L858" i="4"/>
  <c r="E254" i="6"/>
  <c r="H254" i="6"/>
  <c r="F254" i="6"/>
  <c r="H341" i="6"/>
  <c r="E341" i="6"/>
  <c r="F341" i="6"/>
  <c r="G2" i="6"/>
  <c r="N12" i="4"/>
  <c r="M12" i="4"/>
  <c r="N550" i="4"/>
  <c r="M550" i="4"/>
  <c r="L550" i="4"/>
  <c r="L702" i="4"/>
  <c r="G6" i="6"/>
  <c r="L7" i="4"/>
  <c r="N10" i="4"/>
  <c r="M10" i="4"/>
  <c r="L15" i="4"/>
  <c r="N18" i="4"/>
  <c r="M18" i="4"/>
  <c r="N393" i="4"/>
  <c r="M393" i="4"/>
  <c r="L393" i="4"/>
  <c r="N409" i="4"/>
  <c r="M409" i="4"/>
  <c r="L409" i="4"/>
  <c r="N425" i="4"/>
  <c r="M425" i="4"/>
  <c r="L425" i="4"/>
  <c r="N441" i="4"/>
  <c r="M441" i="4"/>
  <c r="L441" i="4"/>
  <c r="N457" i="4"/>
  <c r="M457" i="4"/>
  <c r="L457" i="4"/>
  <c r="N473" i="4"/>
  <c r="M473" i="4"/>
  <c r="L473" i="4"/>
  <c r="N505" i="4"/>
  <c r="M505" i="4"/>
  <c r="L505" i="4"/>
  <c r="N541" i="4"/>
  <c r="M541" i="4"/>
  <c r="N554" i="4"/>
  <c r="M554" i="4"/>
  <c r="L554" i="4"/>
  <c r="N602" i="4"/>
  <c r="M602" i="4"/>
  <c r="N664" i="4"/>
  <c r="M664" i="4"/>
  <c r="N727" i="4"/>
  <c r="M727" i="4"/>
  <c r="L730" i="4"/>
  <c r="N733" i="4"/>
  <c r="M733" i="4"/>
  <c r="L736" i="4"/>
  <c r="N792" i="4"/>
  <c r="L792" i="4"/>
  <c r="M792" i="4"/>
  <c r="G3" i="6"/>
  <c r="N6" i="4"/>
  <c r="M6" i="4"/>
  <c r="L11" i="4"/>
  <c r="N357" i="4"/>
  <c r="M357" i="4"/>
  <c r="L357" i="4"/>
  <c r="N465" i="4"/>
  <c r="M465" i="4"/>
  <c r="L465" i="4"/>
  <c r="N489" i="4"/>
  <c r="M489" i="4"/>
  <c r="L489" i="4"/>
  <c r="N521" i="4"/>
  <c r="M521" i="4"/>
  <c r="L521" i="4"/>
  <c r="H152" i="6"/>
  <c r="F152" i="6"/>
  <c r="E152" i="6"/>
  <c r="H351" i="6"/>
  <c r="F351" i="6"/>
  <c r="E351" i="6"/>
  <c r="E366" i="6"/>
  <c r="H366" i="6"/>
  <c r="F366" i="6"/>
  <c r="N22" i="4"/>
  <c r="M22" i="4"/>
  <c r="N746" i="4"/>
  <c r="M746" i="4"/>
  <c r="M1138" i="4"/>
  <c r="N1138" i="4"/>
  <c r="N30" i="4"/>
  <c r="M30" i="4"/>
  <c r="L30" i="4"/>
  <c r="N8" i="4"/>
  <c r="M8" i="4"/>
  <c r="N16" i="4"/>
  <c r="M16" i="4"/>
  <c r="L23" i="4"/>
  <c r="L35" i="4"/>
  <c r="L541" i="4"/>
  <c r="N573" i="4"/>
  <c r="M573" i="4"/>
  <c r="N584" i="4"/>
  <c r="M584" i="4"/>
  <c r="N611" i="4"/>
  <c r="M611" i="4"/>
  <c r="N614" i="4"/>
  <c r="M614" i="4"/>
  <c r="N622" i="4"/>
  <c r="M622" i="4"/>
  <c r="L622" i="4"/>
  <c r="N625" i="4"/>
  <c r="M625" i="4"/>
  <c r="L625" i="4"/>
  <c r="N628" i="4"/>
  <c r="M628" i="4"/>
  <c r="N661" i="4"/>
  <c r="M661" i="4"/>
  <c r="L661" i="4"/>
  <c r="N724" i="4"/>
  <c r="M724" i="4"/>
  <c r="L727" i="4"/>
  <c r="N14" i="4"/>
  <c r="M14" i="4"/>
  <c r="L19" i="4"/>
  <c r="N69" i="4"/>
  <c r="M69" i="4"/>
  <c r="L69" i="4"/>
  <c r="N197" i="4"/>
  <c r="M197" i="4"/>
  <c r="L197" i="4"/>
  <c r="N4" i="4"/>
  <c r="M4" i="4"/>
  <c r="L12" i="4"/>
  <c r="M15" i="4"/>
  <c r="N15" i="4"/>
  <c r="N17" i="4"/>
  <c r="N26" i="4"/>
  <c r="M26" i="4"/>
  <c r="N481" i="4"/>
  <c r="M481" i="4"/>
  <c r="L481" i="4"/>
  <c r="N513" i="4"/>
  <c r="M513" i="4"/>
  <c r="L513" i="4"/>
  <c r="M529" i="4"/>
  <c r="N552" i="4"/>
  <c r="M552" i="4"/>
  <c r="M571" i="4"/>
  <c r="N571" i="4"/>
  <c r="N590" i="4"/>
  <c r="M590" i="4"/>
  <c r="L590" i="4"/>
  <c r="N608" i="4"/>
  <c r="M608" i="4"/>
  <c r="L611" i="4"/>
  <c r="N649" i="4"/>
  <c r="M649" i="4"/>
  <c r="N658" i="4"/>
  <c r="M658" i="4"/>
  <c r="L658" i="4"/>
  <c r="N705" i="4"/>
  <c r="M705" i="4"/>
  <c r="N713" i="4"/>
  <c r="M713" i="4"/>
  <c r="N769" i="4"/>
  <c r="M769" i="4"/>
  <c r="N788" i="4"/>
  <c r="L788" i="4"/>
  <c r="M788" i="4"/>
  <c r="N876" i="4"/>
  <c r="M876" i="4"/>
  <c r="L876" i="4"/>
  <c r="N917" i="4"/>
  <c r="M917" i="4"/>
  <c r="N964" i="4"/>
  <c r="M964" i="4"/>
  <c r="L964" i="4"/>
  <c r="N101" i="4"/>
  <c r="M101" i="4"/>
  <c r="L101" i="4"/>
  <c r="N433" i="4"/>
  <c r="M433" i="4"/>
  <c r="L433" i="4"/>
  <c r="N577" i="4"/>
  <c r="M577" i="4"/>
  <c r="L9" i="4"/>
  <c r="N5" i="4"/>
  <c r="M21" i="4"/>
  <c r="L31" i="4"/>
  <c r="N38" i="4"/>
  <c r="L38" i="4"/>
  <c r="M38" i="4"/>
  <c r="N65" i="4"/>
  <c r="M65" i="4"/>
  <c r="L65" i="4"/>
  <c r="N97" i="4"/>
  <c r="M97" i="4"/>
  <c r="L97" i="4"/>
  <c r="N129" i="4"/>
  <c r="M129" i="4"/>
  <c r="L129" i="4"/>
  <c r="N161" i="4"/>
  <c r="M161" i="4"/>
  <c r="L161" i="4"/>
  <c r="N193" i="4"/>
  <c r="M193" i="4"/>
  <c r="L193" i="4"/>
  <c r="N225" i="4"/>
  <c r="M225" i="4"/>
  <c r="L225" i="4"/>
  <c r="N257" i="4"/>
  <c r="M257" i="4"/>
  <c r="L257" i="4"/>
  <c r="N289" i="4"/>
  <c r="M289" i="4"/>
  <c r="L289" i="4"/>
  <c r="N321" i="4"/>
  <c r="M321" i="4"/>
  <c r="L321" i="4"/>
  <c r="N353" i="4"/>
  <c r="M353" i="4"/>
  <c r="L353" i="4"/>
  <c r="N485" i="4"/>
  <c r="M485" i="4"/>
  <c r="L485" i="4"/>
  <c r="N517" i="4"/>
  <c r="M517" i="4"/>
  <c r="L517" i="4"/>
  <c r="N530" i="4"/>
  <c r="M530" i="4"/>
  <c r="N537" i="4"/>
  <c r="M537" i="4"/>
  <c r="N558" i="4"/>
  <c r="M558" i="4"/>
  <c r="L558" i="4"/>
  <c r="N574" i="4"/>
  <c r="M574" i="4"/>
  <c r="L574" i="4"/>
  <c r="M710" i="4"/>
  <c r="N710" i="4"/>
  <c r="N765" i="4"/>
  <c r="M765" i="4"/>
  <c r="N860" i="4"/>
  <c r="M860" i="4"/>
  <c r="L860" i="4"/>
  <c r="N900" i="4"/>
  <c r="M900" i="4"/>
  <c r="L900" i="4"/>
  <c r="N949" i="4"/>
  <c r="M949" i="4"/>
  <c r="N961" i="4"/>
  <c r="M961" i="4"/>
  <c r="L961" i="4"/>
  <c r="N1440" i="4"/>
  <c r="M1440" i="4"/>
  <c r="N1454" i="4"/>
  <c r="M1454" i="4"/>
  <c r="F145" i="6"/>
  <c r="E145" i="6"/>
  <c r="H145" i="6"/>
  <c r="H190" i="6"/>
  <c r="F190" i="6"/>
  <c r="E190" i="6"/>
  <c r="F205" i="6"/>
  <c r="H205" i="6"/>
  <c r="E205" i="6"/>
  <c r="F273" i="6"/>
  <c r="H273" i="6"/>
  <c r="E273" i="6"/>
  <c r="M1400" i="4"/>
  <c r="N1400" i="4"/>
  <c r="N1434" i="4"/>
  <c r="M1434" i="4"/>
  <c r="M20" i="4"/>
  <c r="M28" i="4"/>
  <c r="M50" i="4"/>
  <c r="M54" i="4"/>
  <c r="M58" i="4"/>
  <c r="M62" i="4"/>
  <c r="M66" i="4"/>
  <c r="M70" i="4"/>
  <c r="M74" i="4"/>
  <c r="M78" i="4"/>
  <c r="M82" i="4"/>
  <c r="M86" i="4"/>
  <c r="M90" i="4"/>
  <c r="M94" i="4"/>
  <c r="M98" i="4"/>
  <c r="M102" i="4"/>
  <c r="M106" i="4"/>
  <c r="M110" i="4"/>
  <c r="M114" i="4"/>
  <c r="M118" i="4"/>
  <c r="M122" i="4"/>
  <c r="M126" i="4"/>
  <c r="M130" i="4"/>
  <c r="M134" i="4"/>
  <c r="M138" i="4"/>
  <c r="M142" i="4"/>
  <c r="M146" i="4"/>
  <c r="M150" i="4"/>
  <c r="M154" i="4"/>
  <c r="M158" i="4"/>
  <c r="M162" i="4"/>
  <c r="M166" i="4"/>
  <c r="M170" i="4"/>
  <c r="M174" i="4"/>
  <c r="M178" i="4"/>
  <c r="M182" i="4"/>
  <c r="M186" i="4"/>
  <c r="M190" i="4"/>
  <c r="M194" i="4"/>
  <c r="M198" i="4"/>
  <c r="M202" i="4"/>
  <c r="M206" i="4"/>
  <c r="M210" i="4"/>
  <c r="M214" i="4"/>
  <c r="M218" i="4"/>
  <c r="M222" i="4"/>
  <c r="M226" i="4"/>
  <c r="M230" i="4"/>
  <c r="M234" i="4"/>
  <c r="M238" i="4"/>
  <c r="M242" i="4"/>
  <c r="M246" i="4"/>
  <c r="M250" i="4"/>
  <c r="M254" i="4"/>
  <c r="M258" i="4"/>
  <c r="M262" i="4"/>
  <c r="M266" i="4"/>
  <c r="M270" i="4"/>
  <c r="M274" i="4"/>
  <c r="M278" i="4"/>
  <c r="M282" i="4"/>
  <c r="M286" i="4"/>
  <c r="M290" i="4"/>
  <c r="M294" i="4"/>
  <c r="M298" i="4"/>
  <c r="M302" i="4"/>
  <c r="M306" i="4"/>
  <c r="M310" i="4"/>
  <c r="M314" i="4"/>
  <c r="M318" i="4"/>
  <c r="M322" i="4"/>
  <c r="M326" i="4"/>
  <c r="M330" i="4"/>
  <c r="M334" i="4"/>
  <c r="M338" i="4"/>
  <c r="M342" i="4"/>
  <c r="M346" i="4"/>
  <c r="M350" i="4"/>
  <c r="M354" i="4"/>
  <c r="M358" i="4"/>
  <c r="M362" i="4"/>
  <c r="M366" i="4"/>
  <c r="M370" i="4"/>
  <c r="M374" i="4"/>
  <c r="M378" i="4"/>
  <c r="M382" i="4"/>
  <c r="M386" i="4"/>
  <c r="M390" i="4"/>
  <c r="M394" i="4"/>
  <c r="M398" i="4"/>
  <c r="M402" i="4"/>
  <c r="M406" i="4"/>
  <c r="M410" i="4"/>
  <c r="M414" i="4"/>
  <c r="M418" i="4"/>
  <c r="M422" i="4"/>
  <c r="M426" i="4"/>
  <c r="M430" i="4"/>
  <c r="M434" i="4"/>
  <c r="M438" i="4"/>
  <c r="M442" i="4"/>
  <c r="M446" i="4"/>
  <c r="M450" i="4"/>
  <c r="M454" i="4"/>
  <c r="M458" i="4"/>
  <c r="M462" i="4"/>
  <c r="M466" i="4"/>
  <c r="M470" i="4"/>
  <c r="M474" i="4"/>
  <c r="M478" i="4"/>
  <c r="M482" i="4"/>
  <c r="M486" i="4"/>
  <c r="M490" i="4"/>
  <c r="M494" i="4"/>
  <c r="M498" i="4"/>
  <c r="M502" i="4"/>
  <c r="M506" i="4"/>
  <c r="M510" i="4"/>
  <c r="M514" i="4"/>
  <c r="M518" i="4"/>
  <c r="M522" i="4"/>
  <c r="M526" i="4"/>
  <c r="L528" i="4"/>
  <c r="N535" i="4"/>
  <c r="N539" i="4"/>
  <c r="N543" i="4"/>
  <c r="L552" i="4"/>
  <c r="N569" i="4"/>
  <c r="M569" i="4"/>
  <c r="L573" i="4"/>
  <c r="N575" i="4"/>
  <c r="L584" i="4"/>
  <c r="N593" i="4"/>
  <c r="M593" i="4"/>
  <c r="N596" i="4"/>
  <c r="M596" i="4"/>
  <c r="L614" i="4"/>
  <c r="N617" i="4"/>
  <c r="M617" i="4"/>
  <c r="N631" i="4"/>
  <c r="M631" i="4"/>
  <c r="L631" i="4"/>
  <c r="M638" i="4"/>
  <c r="N652" i="4"/>
  <c r="M652" i="4"/>
  <c r="L664" i="4"/>
  <c r="L686" i="4"/>
  <c r="L689" i="4"/>
  <c r="N692" i="4"/>
  <c r="M692" i="4"/>
  <c r="N695" i="4"/>
  <c r="M695" i="4"/>
  <c r="L695" i="4"/>
  <c r="N698" i="4"/>
  <c r="M698" i="4"/>
  <c r="L710" i="4"/>
  <c r="L713" i="4"/>
  <c r="N716" i="4"/>
  <c r="M716" i="4"/>
  <c r="N719" i="4"/>
  <c r="M719" i="4"/>
  <c r="N722" i="4"/>
  <c r="M722" i="4"/>
  <c r="L733" i="4"/>
  <c r="L744" i="4"/>
  <c r="N744" i="4"/>
  <c r="M744" i="4"/>
  <c r="N772" i="4"/>
  <c r="L772" i="4"/>
  <c r="N821" i="4"/>
  <c r="M821" i="4"/>
  <c r="L821" i="4"/>
  <c r="N828" i="4"/>
  <c r="L828" i="4"/>
  <c r="M828" i="4"/>
  <c r="N864" i="4"/>
  <c r="M864" i="4"/>
  <c r="L864" i="4"/>
  <c r="N880" i="4"/>
  <c r="M880" i="4"/>
  <c r="L880" i="4"/>
  <c r="N904" i="4"/>
  <c r="M904" i="4"/>
  <c r="L904" i="4"/>
  <c r="L949" i="4"/>
  <c r="N973" i="4"/>
  <c r="M973" i="4"/>
  <c r="N1037" i="4"/>
  <c r="M1037" i="4"/>
  <c r="N1063" i="4"/>
  <c r="M1063" i="4"/>
  <c r="N1076" i="4"/>
  <c r="M1076" i="4"/>
  <c r="N1090" i="4"/>
  <c r="M1090" i="4"/>
  <c r="N1108" i="4"/>
  <c r="M1108" i="4"/>
  <c r="M24" i="4"/>
  <c r="M32" i="4"/>
  <c r="M36" i="4"/>
  <c r="N546" i="4"/>
  <c r="M546" i="4"/>
  <c r="N565" i="4"/>
  <c r="M565" i="4"/>
  <c r="N578" i="4"/>
  <c r="M578" i="4"/>
  <c r="N599" i="4"/>
  <c r="M599" i="4"/>
  <c r="N626" i="4"/>
  <c r="M626" i="4"/>
  <c r="N629" i="4"/>
  <c r="M629" i="4"/>
  <c r="N634" i="4"/>
  <c r="M634" i="4"/>
  <c r="N673" i="4"/>
  <c r="M673" i="4"/>
  <c r="N703" i="4"/>
  <c r="M703" i="4"/>
  <c r="L703" i="4"/>
  <c r="N706" i="4"/>
  <c r="M706" i="4"/>
  <c r="N725" i="4"/>
  <c r="M725" i="4"/>
  <c r="M734" i="4"/>
  <c r="L734" i="4"/>
  <c r="N737" i="4"/>
  <c r="M737" i="4"/>
  <c r="L737" i="4"/>
  <c r="N756" i="4"/>
  <c r="L756" i="4"/>
  <c r="N805" i="4"/>
  <c r="M805" i="4"/>
  <c r="L805" i="4"/>
  <c r="N812" i="4"/>
  <c r="L812" i="4"/>
  <c r="M812" i="4"/>
  <c r="N826" i="4"/>
  <c r="M826" i="4"/>
  <c r="L826" i="4"/>
  <c r="N852" i="4"/>
  <c r="L852" i="4"/>
  <c r="N908" i="4"/>
  <c r="M908" i="4"/>
  <c r="L908" i="4"/>
  <c r="N936" i="4"/>
  <c r="M936" i="4"/>
  <c r="L936" i="4"/>
  <c r="N940" i="4"/>
  <c r="M940" i="4"/>
  <c r="L940" i="4"/>
  <c r="N1011" i="4"/>
  <c r="M1011" i="4"/>
  <c r="N1031" i="4"/>
  <c r="M1031" i="4"/>
  <c r="N1056" i="4"/>
  <c r="L1056" i="4"/>
  <c r="M1056" i="4"/>
  <c r="L1090" i="4"/>
  <c r="N1099" i="4"/>
  <c r="M1099" i="4"/>
  <c r="L1099" i="4"/>
  <c r="D4" i="6"/>
  <c r="L532" i="4"/>
  <c r="L536" i="4"/>
  <c r="L540" i="4"/>
  <c r="L544" i="4"/>
  <c r="N561" i="4"/>
  <c r="M561" i="4"/>
  <c r="L565" i="4"/>
  <c r="L576" i="4"/>
  <c r="N594" i="4"/>
  <c r="M594" i="4"/>
  <c r="N597" i="4"/>
  <c r="M597" i="4"/>
  <c r="L599" i="4"/>
  <c r="L609" i="4"/>
  <c r="N620" i="4"/>
  <c r="M620" i="4"/>
  <c r="L634" i="4"/>
  <c r="N642" i="4"/>
  <c r="M642" i="4"/>
  <c r="N645" i="4"/>
  <c r="M645" i="4"/>
  <c r="N665" i="4"/>
  <c r="M665" i="4"/>
  <c r="L673" i="4"/>
  <c r="N676" i="4"/>
  <c r="M676" i="4"/>
  <c r="N684" i="4"/>
  <c r="M684" i="4"/>
  <c r="N687" i="4"/>
  <c r="M687" i="4"/>
  <c r="N690" i="4"/>
  <c r="M690" i="4"/>
  <c r="L706" i="4"/>
  <c r="N711" i="4"/>
  <c r="M711" i="4"/>
  <c r="N714" i="4"/>
  <c r="M714" i="4"/>
  <c r="L725" i="4"/>
  <c r="M728" i="4"/>
  <c r="N740" i="4"/>
  <c r="M740" i="4"/>
  <c r="N749" i="4"/>
  <c r="M749" i="4"/>
  <c r="L749" i="4"/>
  <c r="N754" i="4"/>
  <c r="M754" i="4"/>
  <c r="L754" i="4"/>
  <c r="M772" i="4"/>
  <c r="N789" i="4"/>
  <c r="M789" i="4"/>
  <c r="L789" i="4"/>
  <c r="N796" i="4"/>
  <c r="L796" i="4"/>
  <c r="M796" i="4"/>
  <c r="N810" i="4"/>
  <c r="M810" i="4"/>
  <c r="N901" i="4"/>
  <c r="M901" i="4"/>
  <c r="L901" i="4"/>
  <c r="N959" i="4"/>
  <c r="M959" i="4"/>
  <c r="N967" i="4"/>
  <c r="M967" i="4"/>
  <c r="L989" i="4"/>
  <c r="N989" i="4"/>
  <c r="M989" i="4"/>
  <c r="N1051" i="4"/>
  <c r="M1051" i="4"/>
  <c r="N557" i="4"/>
  <c r="M557" i="4"/>
  <c r="N570" i="4"/>
  <c r="M570" i="4"/>
  <c r="N589" i="4"/>
  <c r="M589" i="4"/>
  <c r="L602" i="4"/>
  <c r="N637" i="4"/>
  <c r="M637" i="4"/>
  <c r="L637" i="4"/>
  <c r="N648" i="4"/>
  <c r="M648" i="4"/>
  <c r="N668" i="4"/>
  <c r="M668" i="4"/>
  <c r="N679" i="4"/>
  <c r="M679" i="4"/>
  <c r="N693" i="4"/>
  <c r="M693" i="4"/>
  <c r="N717" i="4"/>
  <c r="M717" i="4"/>
  <c r="M726" i="4"/>
  <c r="L726" i="4"/>
  <c r="N729" i="4"/>
  <c r="M729" i="4"/>
  <c r="L729" i="4"/>
  <c r="N773" i="4"/>
  <c r="M773" i="4"/>
  <c r="L773" i="4"/>
  <c r="N780" i="4"/>
  <c r="L780" i="4"/>
  <c r="M780" i="4"/>
  <c r="N794" i="4"/>
  <c r="M794" i="4"/>
  <c r="N801" i="4"/>
  <c r="M801" i="4"/>
  <c r="L801" i="4"/>
  <c r="N813" i="4"/>
  <c r="M813" i="4"/>
  <c r="N817" i="4"/>
  <c r="M817" i="4"/>
  <c r="L817" i="4"/>
  <c r="N844" i="4"/>
  <c r="L844" i="4"/>
  <c r="M844" i="4"/>
  <c r="M852" i="4"/>
  <c r="N865" i="4"/>
  <c r="M865" i="4"/>
  <c r="N916" i="4"/>
  <c r="M916" i="4"/>
  <c r="L916" i="4"/>
  <c r="N933" i="4"/>
  <c r="M933" i="4"/>
  <c r="N1040" i="4"/>
  <c r="M1040" i="4"/>
  <c r="N1049" i="4"/>
  <c r="M1049" i="4"/>
  <c r="D5" i="6"/>
  <c r="L14" i="4"/>
  <c r="D6" i="6"/>
  <c r="M534" i="4"/>
  <c r="M538" i="4"/>
  <c r="M542" i="4"/>
  <c r="N553" i="4"/>
  <c r="M553" i="4"/>
  <c r="L557" i="4"/>
  <c r="N559" i="4"/>
  <c r="L568" i="4"/>
  <c r="N585" i="4"/>
  <c r="M585" i="4"/>
  <c r="L589" i="4"/>
  <c r="N591" i="4"/>
  <c r="L600" i="4"/>
  <c r="N610" i="4"/>
  <c r="M610" i="4"/>
  <c r="N613" i="4"/>
  <c r="M613" i="4"/>
  <c r="N643" i="4"/>
  <c r="M643" i="4"/>
  <c r="N671" i="4"/>
  <c r="M671" i="4"/>
  <c r="N674" i="4"/>
  <c r="M674" i="4"/>
  <c r="L679" i="4"/>
  <c r="N682" i="4"/>
  <c r="M682" i="4"/>
  <c r="L693" i="4"/>
  <c r="N701" i="4"/>
  <c r="M701" i="4"/>
  <c r="L704" i="4"/>
  <c r="L717" i="4"/>
  <c r="N732" i="4"/>
  <c r="M732" i="4"/>
  <c r="N735" i="4"/>
  <c r="M735" i="4"/>
  <c r="N738" i="4"/>
  <c r="M738" i="4"/>
  <c r="N757" i="4"/>
  <c r="M757" i="4"/>
  <c r="L757" i="4"/>
  <c r="N764" i="4"/>
  <c r="L764" i="4"/>
  <c r="M764" i="4"/>
  <c r="N778" i="4"/>
  <c r="M778" i="4"/>
  <c r="L794" i="4"/>
  <c r="N797" i="4"/>
  <c r="M797" i="4"/>
  <c r="N833" i="4"/>
  <c r="M833" i="4"/>
  <c r="L833" i="4"/>
  <c r="N842" i="4"/>
  <c r="M842" i="4"/>
  <c r="L842" i="4"/>
  <c r="L865" i="4"/>
  <c r="N888" i="4"/>
  <c r="M888" i="4"/>
  <c r="L888" i="4"/>
  <c r="N920" i="4"/>
  <c r="M920" i="4"/>
  <c r="L920" i="4"/>
  <c r="L933" i="4"/>
  <c r="N1019" i="4"/>
  <c r="M1019" i="4"/>
  <c r="N1024" i="4"/>
  <c r="L1024" i="4"/>
  <c r="M1024" i="4"/>
  <c r="L1040" i="4"/>
  <c r="L1049" i="4"/>
  <c r="N1088" i="4"/>
  <c r="M1088" i="4"/>
  <c r="D3" i="6"/>
  <c r="L5" i="4"/>
  <c r="L529" i="4"/>
  <c r="N549" i="4"/>
  <c r="M549" i="4"/>
  <c r="L551" i="4"/>
  <c r="N562" i="4"/>
  <c r="M562" i="4"/>
  <c r="L570" i="4"/>
  <c r="N581" i="4"/>
  <c r="M581" i="4"/>
  <c r="L583" i="4"/>
  <c r="M600" i="4"/>
  <c r="N605" i="4"/>
  <c r="M605" i="4"/>
  <c r="N616" i="4"/>
  <c r="M616" i="4"/>
  <c r="N646" i="4"/>
  <c r="M646" i="4"/>
  <c r="N654" i="4"/>
  <c r="M654" i="4"/>
  <c r="L654" i="4"/>
  <c r="N657" i="4"/>
  <c r="M657" i="4"/>
  <c r="L657" i="4"/>
  <c r="N660" i="4"/>
  <c r="M660" i="4"/>
  <c r="N663" i="4"/>
  <c r="M663" i="4"/>
  <c r="N666" i="4"/>
  <c r="M666" i="4"/>
  <c r="N677" i="4"/>
  <c r="M677" i="4"/>
  <c r="N685" i="4"/>
  <c r="M685" i="4"/>
  <c r="N697" i="4"/>
  <c r="M697" i="4"/>
  <c r="M704" i="4"/>
  <c r="N709" i="4"/>
  <c r="M709" i="4"/>
  <c r="N721" i="4"/>
  <c r="M721" i="4"/>
  <c r="L721" i="4"/>
  <c r="N726" i="4"/>
  <c r="N741" i="4"/>
  <c r="M741" i="4"/>
  <c r="L752" i="4"/>
  <c r="N752" i="4"/>
  <c r="M752" i="4"/>
  <c r="N762" i="4"/>
  <c r="M762" i="4"/>
  <c r="N781" i="4"/>
  <c r="M781" i="4"/>
  <c r="N785" i="4"/>
  <c r="M785" i="4"/>
  <c r="L785" i="4"/>
  <c r="N808" i="4"/>
  <c r="L808" i="4"/>
  <c r="M808" i="4"/>
  <c r="N820" i="4"/>
  <c r="L820" i="4"/>
  <c r="N885" i="4"/>
  <c r="M885" i="4"/>
  <c r="N892" i="4"/>
  <c r="M892" i="4"/>
  <c r="L892" i="4"/>
  <c r="N924" i="4"/>
  <c r="M924" i="4"/>
  <c r="L924" i="4"/>
  <c r="N952" i="4"/>
  <c r="M952" i="4"/>
  <c r="L952" i="4"/>
  <c r="L957" i="4"/>
  <c r="N957" i="4"/>
  <c r="M957" i="4"/>
  <c r="N970" i="4"/>
  <c r="M970" i="4"/>
  <c r="N1002" i="4"/>
  <c r="M1002" i="4"/>
  <c r="N1008" i="4"/>
  <c r="M1008" i="4"/>
  <c r="N1017" i="4"/>
  <c r="M1017" i="4"/>
  <c r="L608" i="4"/>
  <c r="M623" i="4"/>
  <c r="L640" i="4"/>
  <c r="M655" i="4"/>
  <c r="N877" i="4"/>
  <c r="M877" i="4"/>
  <c r="L970" i="4"/>
  <c r="L976" i="4"/>
  <c r="N985" i="4"/>
  <c r="M985" i="4"/>
  <c r="N987" i="4"/>
  <c r="M987" i="4"/>
  <c r="N992" i="4"/>
  <c r="L992" i="4"/>
  <c r="N1054" i="4"/>
  <c r="M1054" i="4"/>
  <c r="L1054" i="4"/>
  <c r="L1088" i="4"/>
  <c r="L1108" i="4"/>
  <c r="N1152" i="4"/>
  <c r="M1152" i="4"/>
  <c r="N1212" i="4"/>
  <c r="M1212" i="4"/>
  <c r="L1212" i="4"/>
  <c r="L596" i="4"/>
  <c r="L628" i="4"/>
  <c r="L660" i="4"/>
  <c r="N837" i="4"/>
  <c r="M837" i="4"/>
  <c r="N853" i="4"/>
  <c r="M853" i="4"/>
  <c r="N889" i="4"/>
  <c r="M889" i="4"/>
  <c r="N905" i="4"/>
  <c r="M905" i="4"/>
  <c r="N921" i="4"/>
  <c r="M921" i="4"/>
  <c r="N937" i="4"/>
  <c r="M937" i="4"/>
  <c r="N953" i="4"/>
  <c r="M953" i="4"/>
  <c r="N955" i="4"/>
  <c r="M955" i="4"/>
  <c r="N960" i="4"/>
  <c r="L960" i="4"/>
  <c r="N1022" i="4"/>
  <c r="M1022" i="4"/>
  <c r="L1022" i="4"/>
  <c r="N1045" i="4"/>
  <c r="M1045" i="4"/>
  <c r="N1052" i="4"/>
  <c r="M1052" i="4"/>
  <c r="N1073" i="4"/>
  <c r="M1073" i="4"/>
  <c r="M1095" i="4"/>
  <c r="N1095" i="4"/>
  <c r="N1106" i="4"/>
  <c r="M1106" i="4"/>
  <c r="M1130" i="4"/>
  <c r="N1130" i="4"/>
  <c r="N1150" i="4"/>
  <c r="M1150" i="4"/>
  <c r="N1157" i="4"/>
  <c r="M1157" i="4"/>
  <c r="M1198" i="4"/>
  <c r="N1198" i="4"/>
  <c r="N1264" i="4"/>
  <c r="M1264" i="4"/>
  <c r="N1296" i="4"/>
  <c r="M1296" i="4"/>
  <c r="N1320" i="4"/>
  <c r="M1320" i="4"/>
  <c r="L616" i="4"/>
  <c r="L648" i="4"/>
  <c r="L668" i="4"/>
  <c r="L676" i="4"/>
  <c r="N681" i="4"/>
  <c r="M681" i="4"/>
  <c r="L684" i="4"/>
  <c r="L692" i="4"/>
  <c r="L700" i="4"/>
  <c r="L708" i="4"/>
  <c r="L716" i="4"/>
  <c r="L724" i="4"/>
  <c r="L732" i="4"/>
  <c r="L740" i="4"/>
  <c r="L798" i="4"/>
  <c r="N869" i="4"/>
  <c r="M869" i="4"/>
  <c r="N872" i="4"/>
  <c r="M872" i="4"/>
  <c r="L872" i="4"/>
  <c r="N896" i="4"/>
  <c r="M896" i="4"/>
  <c r="L896" i="4"/>
  <c r="N912" i="4"/>
  <c r="M912" i="4"/>
  <c r="L912" i="4"/>
  <c r="N928" i="4"/>
  <c r="M928" i="4"/>
  <c r="L928" i="4"/>
  <c r="N944" i="4"/>
  <c r="M944" i="4"/>
  <c r="L944" i="4"/>
  <c r="N990" i="4"/>
  <c r="M990" i="4"/>
  <c r="L990" i="4"/>
  <c r="N999" i="4"/>
  <c r="M999" i="4"/>
  <c r="N1005" i="4"/>
  <c r="M1005" i="4"/>
  <c r="N1013" i="4"/>
  <c r="M1013" i="4"/>
  <c r="N1020" i="4"/>
  <c r="M1020" i="4"/>
  <c r="L1037" i="4"/>
  <c r="N1043" i="4"/>
  <c r="M1043" i="4"/>
  <c r="N1057" i="4"/>
  <c r="M1057" i="4"/>
  <c r="L1057" i="4"/>
  <c r="M1078" i="4"/>
  <c r="N1078" i="4"/>
  <c r="L1078" i="4"/>
  <c r="N1089" i="4"/>
  <c r="L1089" i="4"/>
  <c r="M1089" i="4"/>
  <c r="M1146" i="4"/>
  <c r="N1146" i="4"/>
  <c r="M1204" i="4"/>
  <c r="L1204" i="4"/>
  <c r="N1204" i="4"/>
  <c r="N1256" i="4"/>
  <c r="M1256" i="4"/>
  <c r="L604" i="4"/>
  <c r="M619" i="4"/>
  <c r="L636" i="4"/>
  <c r="M651" i="4"/>
  <c r="N745" i="4"/>
  <c r="M745" i="4"/>
  <c r="N761" i="4"/>
  <c r="M761" i="4"/>
  <c r="N768" i="4"/>
  <c r="L768" i="4"/>
  <c r="N777" i="4"/>
  <c r="M777" i="4"/>
  <c r="N784" i="4"/>
  <c r="L784" i="4"/>
  <c r="N793" i="4"/>
  <c r="M793" i="4"/>
  <c r="N800" i="4"/>
  <c r="L800" i="4"/>
  <c r="N809" i="4"/>
  <c r="M809" i="4"/>
  <c r="N816" i="4"/>
  <c r="L816" i="4"/>
  <c r="N825" i="4"/>
  <c r="M825" i="4"/>
  <c r="N832" i="4"/>
  <c r="L832" i="4"/>
  <c r="N841" i="4"/>
  <c r="M841" i="4"/>
  <c r="N848" i="4"/>
  <c r="L848" i="4"/>
  <c r="N857" i="4"/>
  <c r="M857" i="4"/>
  <c r="N881" i="4"/>
  <c r="M881" i="4"/>
  <c r="N884" i="4"/>
  <c r="M884" i="4"/>
  <c r="L884" i="4"/>
  <c r="N893" i="4"/>
  <c r="M893" i="4"/>
  <c r="N909" i="4"/>
  <c r="M909" i="4"/>
  <c r="N925" i="4"/>
  <c r="M925" i="4"/>
  <c r="N941" i="4"/>
  <c r="M941" i="4"/>
  <c r="N958" i="4"/>
  <c r="M958" i="4"/>
  <c r="L958" i="4"/>
  <c r="N981" i="4"/>
  <c r="M981" i="4"/>
  <c r="N988" i="4"/>
  <c r="M988" i="4"/>
  <c r="L1005" i="4"/>
  <c r="L1013" i="4"/>
  <c r="N1027" i="4"/>
  <c r="L1043" i="4"/>
  <c r="N1046" i="4"/>
  <c r="M1046" i="4"/>
  <c r="N1048" i="4"/>
  <c r="M1048" i="4"/>
  <c r="M1069" i="4"/>
  <c r="L1106" i="4"/>
  <c r="L1146" i="4"/>
  <c r="N1177" i="4"/>
  <c r="M1177" i="4"/>
  <c r="N1244" i="4"/>
  <c r="M1244" i="4"/>
  <c r="L1244" i="4"/>
  <c r="M1262" i="4"/>
  <c r="N1262" i="4"/>
  <c r="L592" i="4"/>
  <c r="M604" i="4"/>
  <c r="M607" i="4"/>
  <c r="L624" i="4"/>
  <c r="L627" i="4"/>
  <c r="L630" i="4"/>
  <c r="M636" i="4"/>
  <c r="M639" i="4"/>
  <c r="L656" i="4"/>
  <c r="L834" i="4"/>
  <c r="L850" i="4"/>
  <c r="N861" i="4"/>
  <c r="M861" i="4"/>
  <c r="N932" i="4"/>
  <c r="M932" i="4"/>
  <c r="L932" i="4"/>
  <c r="N948" i="4"/>
  <c r="M948" i="4"/>
  <c r="L948" i="4"/>
  <c r="N956" i="4"/>
  <c r="M956" i="4"/>
  <c r="L973" i="4"/>
  <c r="N979" i="4"/>
  <c r="M979" i="4"/>
  <c r="N993" i="4"/>
  <c r="M993" i="4"/>
  <c r="L993" i="4"/>
  <c r="N995" i="4"/>
  <c r="L1011" i="4"/>
  <c r="N1014" i="4"/>
  <c r="M1014" i="4"/>
  <c r="N1016" i="4"/>
  <c r="M1016" i="4"/>
  <c r="N1060" i="4"/>
  <c r="M1060" i="4"/>
  <c r="L1060" i="4"/>
  <c r="N1066" i="4"/>
  <c r="M1066" i="4"/>
  <c r="L1076" i="4"/>
  <c r="N1085" i="4"/>
  <c r="M1085" i="4"/>
  <c r="L1085" i="4"/>
  <c r="M1092" i="4"/>
  <c r="N1092" i="4"/>
  <c r="N1104" i="4"/>
  <c r="M1104" i="4"/>
  <c r="N1121" i="4"/>
  <c r="L1121" i="4"/>
  <c r="M1121" i="4"/>
  <c r="N1133" i="4"/>
  <c r="M1133" i="4"/>
  <c r="N1160" i="4"/>
  <c r="M1160" i="4"/>
  <c r="N1180" i="4"/>
  <c r="M1180" i="4"/>
  <c r="L1180" i="4"/>
  <c r="N1247" i="4"/>
  <c r="M1247" i="4"/>
  <c r="L1247" i="4"/>
  <c r="N1250" i="4"/>
  <c r="M1250" i="4"/>
  <c r="M601" i="4"/>
  <c r="L612" i="4"/>
  <c r="M633" i="4"/>
  <c r="L644" i="4"/>
  <c r="M748" i="4"/>
  <c r="M768" i="4"/>
  <c r="M784" i="4"/>
  <c r="L793" i="4"/>
  <c r="M800" i="4"/>
  <c r="N804" i="4"/>
  <c r="L804" i="4"/>
  <c r="L809" i="4"/>
  <c r="M816" i="4"/>
  <c r="N829" i="4"/>
  <c r="M829" i="4"/>
  <c r="M832" i="4"/>
  <c r="N845" i="4"/>
  <c r="M845" i="4"/>
  <c r="M848" i="4"/>
  <c r="N873" i="4"/>
  <c r="M873" i="4"/>
  <c r="N897" i="4"/>
  <c r="M897" i="4"/>
  <c r="N913" i="4"/>
  <c r="M913" i="4"/>
  <c r="N929" i="4"/>
  <c r="M929" i="4"/>
  <c r="N945" i="4"/>
  <c r="M945" i="4"/>
  <c r="N963" i="4"/>
  <c r="L979" i="4"/>
  <c r="N982" i="4"/>
  <c r="M982" i="4"/>
  <c r="N984" i="4"/>
  <c r="M984" i="4"/>
  <c r="L1016" i="4"/>
  <c r="L1023" i="4"/>
  <c r="N1034" i="4"/>
  <c r="M1034" i="4"/>
  <c r="L1066" i="4"/>
  <c r="N1081" i="4"/>
  <c r="M1081" i="4"/>
  <c r="L1083" i="4"/>
  <c r="N1083" i="4"/>
  <c r="M1083" i="4"/>
  <c r="N1110" i="4"/>
  <c r="M1110" i="4"/>
  <c r="L1133" i="4"/>
  <c r="N1142" i="4"/>
  <c r="M1142" i="4"/>
  <c r="L1160" i="4"/>
  <c r="N1173" i="4"/>
  <c r="M1173" i="4"/>
  <c r="N1221" i="4"/>
  <c r="M1221" i="4"/>
  <c r="N1223" i="4"/>
  <c r="M1223" i="4"/>
  <c r="N1231" i="4"/>
  <c r="M1231" i="4"/>
  <c r="H598" i="6"/>
  <c r="F598" i="6"/>
  <c r="E598" i="6"/>
  <c r="L967" i="4"/>
  <c r="L999" i="4"/>
  <c r="L1031" i="4"/>
  <c r="L1063" i="4"/>
  <c r="L1138" i="4"/>
  <c r="L1142" i="4"/>
  <c r="N1144" i="4"/>
  <c r="M1144" i="4"/>
  <c r="L1152" i="4"/>
  <c r="N1169" i="4"/>
  <c r="M1169" i="4"/>
  <c r="N1183" i="4"/>
  <c r="M1183" i="4"/>
  <c r="L1183" i="4"/>
  <c r="N1186" i="4"/>
  <c r="M1186" i="4"/>
  <c r="N1199" i="4"/>
  <c r="M1199" i="4"/>
  <c r="N1228" i="4"/>
  <c r="L1231" i="4"/>
  <c r="N1259" i="4"/>
  <c r="M1259" i="4"/>
  <c r="N1282" i="4"/>
  <c r="M1282" i="4"/>
  <c r="M1294" i="4"/>
  <c r="N1294" i="4"/>
  <c r="N1382" i="4"/>
  <c r="M1382" i="4"/>
  <c r="L955" i="4"/>
  <c r="L987" i="4"/>
  <c r="L1019" i="4"/>
  <c r="L1051" i="4"/>
  <c r="N1101" i="4"/>
  <c r="M1101" i="4"/>
  <c r="N1113" i="4"/>
  <c r="M1113" i="4"/>
  <c r="N1122" i="4"/>
  <c r="M1122" i="4"/>
  <c r="L1130" i="4"/>
  <c r="N1136" i="4"/>
  <c r="M1136" i="4"/>
  <c r="N1161" i="4"/>
  <c r="M1161" i="4"/>
  <c r="N1165" i="4"/>
  <c r="M1165" i="4"/>
  <c r="L1173" i="4"/>
  <c r="N1178" i="4"/>
  <c r="M1178" i="4"/>
  <c r="M1194" i="4"/>
  <c r="N1194" i="4"/>
  <c r="N1207" i="4"/>
  <c r="M1207" i="4"/>
  <c r="N1213" i="4"/>
  <c r="L1213" i="4"/>
  <c r="N1224" i="4"/>
  <c r="M1224" i="4"/>
  <c r="M1232" i="4"/>
  <c r="N1232" i="4"/>
  <c r="N1235" i="4"/>
  <c r="M1235" i="4"/>
  <c r="N1314" i="4"/>
  <c r="M1314" i="4"/>
  <c r="M1326" i="4"/>
  <c r="N1326" i="4"/>
  <c r="L975" i="4"/>
  <c r="L1007" i="4"/>
  <c r="L1039" i="4"/>
  <c r="L1101" i="4"/>
  <c r="N1107" i="4"/>
  <c r="M1107" i="4"/>
  <c r="L1113" i="4"/>
  <c r="L1136" i="4"/>
  <c r="N1153" i="4"/>
  <c r="M1153" i="4"/>
  <c r="L1161" i="4"/>
  <c r="L1165" i="4"/>
  <c r="N1210" i="4"/>
  <c r="M1210" i="4"/>
  <c r="L1235" i="4"/>
  <c r="N1260" i="4"/>
  <c r="M1260" i="4"/>
  <c r="L1260" i="4"/>
  <c r="N1307" i="4"/>
  <c r="L1307" i="4"/>
  <c r="M1307" i="4"/>
  <c r="L1323" i="4"/>
  <c r="N1339" i="4"/>
  <c r="L1339" i="4"/>
  <c r="M1339" i="4"/>
  <c r="N1356" i="4"/>
  <c r="M1356" i="4"/>
  <c r="L963" i="4"/>
  <c r="L972" i="4"/>
  <c r="L995" i="4"/>
  <c r="L1004" i="4"/>
  <c r="L1027" i="4"/>
  <c r="L1036" i="4"/>
  <c r="L1059" i="4"/>
  <c r="L1065" i="4"/>
  <c r="L1075" i="4"/>
  <c r="L1096" i="4"/>
  <c r="L1105" i="4"/>
  <c r="L1109" i="4"/>
  <c r="L1122" i="4"/>
  <c r="N1124" i="4"/>
  <c r="N1145" i="4"/>
  <c r="M1145" i="4"/>
  <c r="N1149" i="4"/>
  <c r="M1149" i="4"/>
  <c r="L1157" i="4"/>
  <c r="N1176" i="4"/>
  <c r="M1176" i="4"/>
  <c r="N1184" i="4"/>
  <c r="M1184" i="4"/>
  <c r="L1207" i="4"/>
  <c r="M1213" i="4"/>
  <c r="N1227" i="4"/>
  <c r="M1227" i="4"/>
  <c r="M1233" i="4"/>
  <c r="N1233" i="4"/>
  <c r="M1236" i="4"/>
  <c r="N1236" i="4"/>
  <c r="N1273" i="4"/>
  <c r="M1273" i="4"/>
  <c r="L1273" i="4"/>
  <c r="N1292" i="4"/>
  <c r="M1292" i="4"/>
  <c r="L1292" i="4"/>
  <c r="M1323" i="4"/>
  <c r="N1334" i="4"/>
  <c r="M1334" i="4"/>
  <c r="M1105" i="4"/>
  <c r="M1109" i="4"/>
  <c r="N1125" i="4"/>
  <c r="M1125" i="4"/>
  <c r="N1137" i="4"/>
  <c r="M1137" i="4"/>
  <c r="N1141" i="4"/>
  <c r="M1141" i="4"/>
  <c r="N1195" i="4"/>
  <c r="M1195" i="4"/>
  <c r="M1208" i="4"/>
  <c r="L1208" i="4"/>
  <c r="N1211" i="4"/>
  <c r="L1211" i="4"/>
  <c r="N1214" i="4"/>
  <c r="M1214" i="4"/>
  <c r="M1246" i="4"/>
  <c r="N1246" i="4"/>
  <c r="N1276" i="4"/>
  <c r="M1276" i="4"/>
  <c r="L1276" i="4"/>
  <c r="N1305" i="4"/>
  <c r="M1305" i="4"/>
  <c r="L1305" i="4"/>
  <c r="L1334" i="4"/>
  <c r="M1340" i="4"/>
  <c r="N1340" i="4"/>
  <c r="L1340" i="4"/>
  <c r="N1359" i="4"/>
  <c r="M1359" i="4"/>
  <c r="N1116" i="4"/>
  <c r="M1116" i="4"/>
  <c r="L1137" i="4"/>
  <c r="L1141" i="4"/>
  <c r="L1162" i="4"/>
  <c r="L1166" i="4"/>
  <c r="N1168" i="4"/>
  <c r="M1168" i="4"/>
  <c r="N1182" i="4"/>
  <c r="M1182" i="4"/>
  <c r="N1191" i="4"/>
  <c r="M1191" i="4"/>
  <c r="N1271" i="4"/>
  <c r="M1271" i="4"/>
  <c r="N1288" i="4"/>
  <c r="M1288" i="4"/>
  <c r="N1319" i="4"/>
  <c r="M1319" i="4"/>
  <c r="N1330" i="4"/>
  <c r="M1330" i="4"/>
  <c r="N1345" i="4"/>
  <c r="M1345" i="4"/>
  <c r="L1345" i="4"/>
  <c r="L1104" i="4"/>
  <c r="M1119" i="4"/>
  <c r="L1178" i="4"/>
  <c r="L1195" i="4"/>
  <c r="L1223" i="4"/>
  <c r="L1256" i="4"/>
  <c r="N1258" i="4"/>
  <c r="M1258" i="4"/>
  <c r="L1262" i="4"/>
  <c r="N1267" i="4"/>
  <c r="M1267" i="4"/>
  <c r="L1296" i="4"/>
  <c r="N1303" i="4"/>
  <c r="M1303" i="4"/>
  <c r="N1328" i="4"/>
  <c r="M1328" i="4"/>
  <c r="N1337" i="4"/>
  <c r="M1337" i="4"/>
  <c r="M1350" i="4"/>
  <c r="N1350" i="4"/>
  <c r="N1354" i="4"/>
  <c r="M1354" i="4"/>
  <c r="N1376" i="4"/>
  <c r="M1376" i="4"/>
  <c r="L1434" i="4"/>
  <c r="N1437" i="4"/>
  <c r="M1437" i="4"/>
  <c r="L1092" i="4"/>
  <c r="L1124" i="4"/>
  <c r="N1206" i="4"/>
  <c r="M1206" i="4"/>
  <c r="L1210" i="4"/>
  <c r="L1227" i="4"/>
  <c r="L1252" i="4"/>
  <c r="L1267" i="4"/>
  <c r="L1288" i="4"/>
  <c r="N1290" i="4"/>
  <c r="M1290" i="4"/>
  <c r="L1294" i="4"/>
  <c r="N1299" i="4"/>
  <c r="M1299" i="4"/>
  <c r="L1328" i="4"/>
  <c r="N1335" i="4"/>
  <c r="M1335" i="4"/>
  <c r="N1348" i="4"/>
  <c r="M1348" i="4"/>
  <c r="L1376" i="4"/>
  <c r="M1388" i="4"/>
  <c r="N1388" i="4"/>
  <c r="L1388" i="4"/>
  <c r="M1396" i="4"/>
  <c r="N1396" i="4"/>
  <c r="N1423" i="4"/>
  <c r="M1423" i="4"/>
  <c r="N1429" i="4"/>
  <c r="M1429" i="4"/>
  <c r="L1112" i="4"/>
  <c r="L1175" i="4"/>
  <c r="L1216" i="4"/>
  <c r="N1238" i="4"/>
  <c r="M1238" i="4"/>
  <c r="L1240" i="4"/>
  <c r="N1252" i="4"/>
  <c r="L1265" i="4"/>
  <c r="N1278" i="4"/>
  <c r="L1303" i="4"/>
  <c r="N1308" i="4"/>
  <c r="M1308" i="4"/>
  <c r="L1320" i="4"/>
  <c r="N1322" i="4"/>
  <c r="M1322" i="4"/>
  <c r="L1324" i="4"/>
  <c r="L1326" i="4"/>
  <c r="N1331" i="4"/>
  <c r="M1331" i="4"/>
  <c r="L1337" i="4"/>
  <c r="N1362" i="4"/>
  <c r="M1362" i="4"/>
  <c r="N1370" i="4"/>
  <c r="M1370" i="4"/>
  <c r="N1265" i="4"/>
  <c r="L1274" i="4"/>
  <c r="N1284" i="4"/>
  <c r="N1310" i="4"/>
  <c r="L1316" i="4"/>
  <c r="M1324" i="4"/>
  <c r="L1331" i="4"/>
  <c r="L1348" i="4"/>
  <c r="N1368" i="4"/>
  <c r="M1368" i="4"/>
  <c r="N1379" i="4"/>
  <c r="M1379" i="4"/>
  <c r="N1391" i="4"/>
  <c r="M1391" i="4"/>
  <c r="L1391" i="4"/>
  <c r="N1419" i="4"/>
  <c r="M1419" i="4"/>
  <c r="N1474" i="4"/>
  <c r="M1474" i="4"/>
  <c r="L1474" i="4"/>
  <c r="N1485" i="4"/>
  <c r="M1485" i="4"/>
  <c r="L1185" i="4"/>
  <c r="L1198" i="4"/>
  <c r="N1209" i="4"/>
  <c r="M1209" i="4"/>
  <c r="L1224" i="4"/>
  <c r="L1232" i="4"/>
  <c r="N1243" i="4"/>
  <c r="L1243" i="4"/>
  <c r="L1249" i="4"/>
  <c r="N1255" i="4"/>
  <c r="M1255" i="4"/>
  <c r="L1259" i="4"/>
  <c r="N1270" i="4"/>
  <c r="M1270" i="4"/>
  <c r="N1279" i="4"/>
  <c r="M1279" i="4"/>
  <c r="N1342" i="4"/>
  <c r="M1342" i="4"/>
  <c r="L1368" i="4"/>
  <c r="N1371" i="4"/>
  <c r="M1371" i="4"/>
  <c r="N1373" i="4"/>
  <c r="M1373" i="4"/>
  <c r="N1409" i="4"/>
  <c r="M1409" i="4"/>
  <c r="N1470" i="4"/>
  <c r="M1470" i="4"/>
  <c r="N1203" i="4"/>
  <c r="M1203" i="4"/>
  <c r="L1230" i="4"/>
  <c r="N1239" i="4"/>
  <c r="M1239" i="4"/>
  <c r="N1241" i="4"/>
  <c r="M1241" i="4"/>
  <c r="N1249" i="4"/>
  <c r="N1275" i="4"/>
  <c r="L1275" i="4"/>
  <c r="N1287" i="4"/>
  <c r="M1287" i="4"/>
  <c r="N1302" i="4"/>
  <c r="M1302" i="4"/>
  <c r="N1311" i="4"/>
  <c r="M1311" i="4"/>
  <c r="N1347" i="4"/>
  <c r="L1347" i="4"/>
  <c r="L1371" i="4"/>
  <c r="M1392" i="4"/>
  <c r="N1392" i="4"/>
  <c r="L1359" i="4"/>
  <c r="L1366" i="4"/>
  <c r="N1385" i="4"/>
  <c r="M1385" i="4"/>
  <c r="N1387" i="4"/>
  <c r="M1387" i="4"/>
  <c r="L1387" i="4"/>
  <c r="N1398" i="4"/>
  <c r="M1398" i="4"/>
  <c r="L1400" i="4"/>
  <c r="N1407" i="4"/>
  <c r="M1407" i="4"/>
  <c r="M1412" i="4"/>
  <c r="N1412" i="4"/>
  <c r="N1414" i="4"/>
  <c r="M1414" i="4"/>
  <c r="M1421" i="4"/>
  <c r="N1421" i="4"/>
  <c r="L1437" i="4"/>
  <c r="L1440" i="4"/>
  <c r="N1445" i="4"/>
  <c r="M1445" i="4"/>
  <c r="M1465" i="4"/>
  <c r="N1465" i="4"/>
  <c r="N1481" i="4"/>
  <c r="M1481" i="4"/>
  <c r="N1498" i="4"/>
  <c r="M1498" i="4"/>
  <c r="L1186" i="4"/>
  <c r="L1218" i="4"/>
  <c r="L1250" i="4"/>
  <c r="L1282" i="4"/>
  <c r="L1314" i="4"/>
  <c r="M1364" i="4"/>
  <c r="L1364" i="4"/>
  <c r="L1419" i="4"/>
  <c r="M1427" i="4"/>
  <c r="N1427" i="4"/>
  <c r="N1477" i="4"/>
  <c r="M1477" i="4"/>
  <c r="N1494" i="4"/>
  <c r="M1494" i="4"/>
  <c r="M1500" i="4"/>
  <c r="L1500" i="4"/>
  <c r="N1500" i="4"/>
  <c r="N1401" i="4"/>
  <c r="M1401" i="4"/>
  <c r="N1403" i="4"/>
  <c r="M1403" i="4"/>
  <c r="L1403" i="4"/>
  <c r="L1407" i="4"/>
  <c r="N1415" i="4"/>
  <c r="M1415" i="4"/>
  <c r="L1427" i="4"/>
  <c r="N1438" i="4"/>
  <c r="M1438" i="4"/>
  <c r="L1438" i="4"/>
  <c r="L1463" i="4"/>
  <c r="M1496" i="4"/>
  <c r="L1496" i="4"/>
  <c r="N1496" i="4"/>
  <c r="L1194" i="4"/>
  <c r="L1226" i="4"/>
  <c r="L1258" i="4"/>
  <c r="L1290" i="4"/>
  <c r="L1322" i="4"/>
  <c r="L1342" i="4"/>
  <c r="L1354" i="4"/>
  <c r="N1364" i="4"/>
  <c r="N1367" i="4"/>
  <c r="M1367" i="4"/>
  <c r="L1367" i="4"/>
  <c r="L1373" i="4"/>
  <c r="M1377" i="4"/>
  <c r="L1379" i="4"/>
  <c r="L1383" i="4"/>
  <c r="N1390" i="4"/>
  <c r="M1390" i="4"/>
  <c r="L1392" i="4"/>
  <c r="N1446" i="4"/>
  <c r="M1446" i="4"/>
  <c r="N1458" i="4"/>
  <c r="M1458" i="4"/>
  <c r="M1492" i="4"/>
  <c r="L1492" i="4"/>
  <c r="N1492" i="4"/>
  <c r="L1182" i="4"/>
  <c r="L1214" i="4"/>
  <c r="L1246" i="4"/>
  <c r="L1278" i="4"/>
  <c r="L1310" i="4"/>
  <c r="L1356" i="4"/>
  <c r="M1360" i="4"/>
  <c r="L1362" i="4"/>
  <c r="N1365" i="4"/>
  <c r="M1365" i="4"/>
  <c r="M1383" i="4"/>
  <c r="M1425" i="4"/>
  <c r="N1425" i="4"/>
  <c r="N1433" i="4"/>
  <c r="M1433" i="4"/>
  <c r="N1439" i="4"/>
  <c r="M1439" i="4"/>
  <c r="N1461" i="4"/>
  <c r="M1461" i="4"/>
  <c r="M1488" i="4"/>
  <c r="L1488" i="4"/>
  <c r="N1488" i="4"/>
  <c r="L1266" i="4"/>
  <c r="L1298" i="4"/>
  <c r="L1330" i="4"/>
  <c r="N1393" i="4"/>
  <c r="M1393" i="4"/>
  <c r="N1395" i="4"/>
  <c r="M1395" i="4"/>
  <c r="L1395" i="4"/>
  <c r="M1404" i="4"/>
  <c r="N1404" i="4"/>
  <c r="N1411" i="4"/>
  <c r="M1411" i="4"/>
  <c r="L1411" i="4"/>
  <c r="M1416" i="4"/>
  <c r="N1416" i="4"/>
  <c r="L1433" i="4"/>
  <c r="N1442" i="4"/>
  <c r="M1442" i="4"/>
  <c r="L1442" i="4"/>
  <c r="N1451" i="4"/>
  <c r="M1451" i="4"/>
  <c r="L1414" i="4"/>
  <c r="L1425" i="4"/>
  <c r="N1436" i="4"/>
  <c r="M1436" i="4"/>
  <c r="N1448" i="4"/>
  <c r="M1448" i="4"/>
  <c r="L1461" i="4"/>
  <c r="L1470" i="4"/>
  <c r="L1350" i="4"/>
  <c r="L1382" i="4"/>
  <c r="L1390" i="4"/>
  <c r="L1398" i="4"/>
  <c r="L1406" i="4"/>
  <c r="N1430" i="4"/>
  <c r="M1430" i="4"/>
  <c r="L1448" i="4"/>
  <c r="L1454" i="4"/>
  <c r="N1489" i="4"/>
  <c r="M1489" i="4"/>
  <c r="F81" i="6"/>
  <c r="H81" i="6"/>
  <c r="E81" i="6"/>
  <c r="L1370" i="4"/>
  <c r="M1406" i="4"/>
  <c r="L1430" i="4"/>
  <c r="L1436" i="4"/>
  <c r="L1459" i="4"/>
  <c r="L1468" i="4"/>
  <c r="N1468" i="4"/>
  <c r="M1468" i="4"/>
  <c r="L1477" i="4"/>
  <c r="L1481" i="4"/>
  <c r="H13" i="6"/>
  <c r="F13" i="6"/>
  <c r="E13" i="6"/>
  <c r="H21" i="6"/>
  <c r="F21" i="6"/>
  <c r="E21" i="6"/>
  <c r="E78" i="6"/>
  <c r="H78" i="6"/>
  <c r="F78" i="6"/>
  <c r="N1457" i="4"/>
  <c r="M1457" i="4"/>
  <c r="N1462" i="4"/>
  <c r="M1462" i="4"/>
  <c r="N1473" i="4"/>
  <c r="M1473" i="4"/>
  <c r="H16" i="6"/>
  <c r="F16" i="6"/>
  <c r="E16" i="6"/>
  <c r="L1378" i="4"/>
  <c r="M1418" i="4"/>
  <c r="L1422" i="4"/>
  <c r="N1428" i="4"/>
  <c r="L1449" i="4"/>
  <c r="L1457" i="4"/>
  <c r="N1460" i="4"/>
  <c r="M1460" i="4"/>
  <c r="L1462" i="4"/>
  <c r="M1466" i="4"/>
  <c r="N1469" i="4"/>
  <c r="M1469" i="4"/>
  <c r="L1473" i="4"/>
  <c r="H61" i="6"/>
  <c r="F61" i="6"/>
  <c r="E61" i="6"/>
  <c r="L1445" i="4"/>
  <c r="M1472" i="4"/>
  <c r="L1472" i="4"/>
  <c r="L1485" i="4"/>
  <c r="F50" i="6"/>
  <c r="H50" i="6"/>
  <c r="L1465" i="4"/>
  <c r="M1476" i="4"/>
  <c r="L1476" i="4"/>
  <c r="L1489" i="4"/>
  <c r="N1493" i="4"/>
  <c r="M1493" i="4"/>
  <c r="N1497" i="4"/>
  <c r="M1497" i="4"/>
  <c r="N1501" i="4"/>
  <c r="M1501" i="4"/>
  <c r="E93" i="6"/>
  <c r="H93" i="6"/>
  <c r="L1421" i="4"/>
  <c r="L1453" i="4"/>
  <c r="M1480" i="4"/>
  <c r="L1480" i="4"/>
  <c r="L1493" i="4"/>
  <c r="L1497" i="4"/>
  <c r="L1501" i="4"/>
  <c r="H48" i="6"/>
  <c r="F48" i="6"/>
  <c r="F65" i="6"/>
  <c r="H65" i="6"/>
  <c r="F89" i="6"/>
  <c r="E89" i="6"/>
  <c r="H89" i="6"/>
  <c r="F93" i="6"/>
  <c r="H120" i="6"/>
  <c r="F120" i="6"/>
  <c r="E120" i="6"/>
  <c r="L1441" i="4"/>
  <c r="N1476" i="4"/>
  <c r="M1484" i="4"/>
  <c r="L1484" i="4"/>
  <c r="H28" i="6"/>
  <c r="F28" i="6"/>
  <c r="E48" i="6"/>
  <c r="E65" i="6"/>
  <c r="H111" i="6"/>
  <c r="E111" i="6"/>
  <c r="F111" i="6"/>
  <c r="F133" i="6"/>
  <c r="E133" i="6"/>
  <c r="H133" i="6"/>
  <c r="H136" i="6"/>
  <c r="F136" i="6"/>
  <c r="E136" i="6"/>
  <c r="F157" i="6"/>
  <c r="H157" i="6"/>
  <c r="E157" i="6"/>
  <c r="H18" i="6"/>
  <c r="F18" i="6"/>
  <c r="E18" i="6"/>
  <c r="H23" i="6"/>
  <c r="F23" i="6"/>
  <c r="E23" i="6"/>
  <c r="H63" i="6"/>
  <c r="E63" i="6"/>
  <c r="F63" i="6"/>
  <c r="F129" i="6"/>
  <c r="E129" i="6"/>
  <c r="H129" i="6"/>
  <c r="H87" i="6"/>
  <c r="E87" i="6"/>
  <c r="H96" i="6"/>
  <c r="F96" i="6"/>
  <c r="F105" i="6"/>
  <c r="E105" i="6"/>
  <c r="F166" i="6"/>
  <c r="E166" i="6"/>
  <c r="F250" i="6"/>
  <c r="E250" i="6"/>
  <c r="H250" i="6"/>
  <c r="F294" i="6"/>
  <c r="E294" i="6"/>
  <c r="H294" i="6"/>
  <c r="F320" i="6"/>
  <c r="E320" i="6"/>
  <c r="H320" i="6"/>
  <c r="E10" i="6"/>
  <c r="E25" i="6"/>
  <c r="F30" i="6"/>
  <c r="E32" i="6"/>
  <c r="E37" i="6"/>
  <c r="H39" i="6"/>
  <c r="E39" i="6"/>
  <c r="E41" i="6"/>
  <c r="E56" i="6"/>
  <c r="E58" i="6"/>
  <c r="E69" i="6"/>
  <c r="H71" i="6"/>
  <c r="E71" i="6"/>
  <c r="E73" i="6"/>
  <c r="H79" i="6"/>
  <c r="E79" i="6"/>
  <c r="F87" i="6"/>
  <c r="E96" i="6"/>
  <c r="F109" i="6"/>
  <c r="E7" i="6"/>
  <c r="F10" i="6"/>
  <c r="F32" i="6"/>
  <c r="F37" i="6"/>
  <c r="F56" i="6"/>
  <c r="F69" i="6"/>
  <c r="H103" i="6"/>
  <c r="E103" i="6"/>
  <c r="H105" i="6"/>
  <c r="H112" i="6"/>
  <c r="F112" i="6"/>
  <c r="F121" i="6"/>
  <c r="E121" i="6"/>
  <c r="F125" i="6"/>
  <c r="E125" i="6"/>
  <c r="F137" i="6"/>
  <c r="E137" i="6"/>
  <c r="F141" i="6"/>
  <c r="E141" i="6"/>
  <c r="F153" i="6"/>
  <c r="E153" i="6"/>
  <c r="H164" i="6"/>
  <c r="F164" i="6"/>
  <c r="H166" i="6"/>
  <c r="H169" i="6"/>
  <c r="F169" i="6"/>
  <c r="H176" i="6"/>
  <c r="F176" i="6"/>
  <c r="E176" i="6"/>
  <c r="F221" i="6"/>
  <c r="H221" i="6"/>
  <c r="E221" i="6"/>
  <c r="F290" i="6"/>
  <c r="E290" i="6"/>
  <c r="H290" i="6"/>
  <c r="F7" i="6"/>
  <c r="H25" i="6"/>
  <c r="H30" i="6"/>
  <c r="H41" i="6"/>
  <c r="H47" i="6"/>
  <c r="E47" i="6"/>
  <c r="H58" i="6"/>
  <c r="H73" i="6"/>
  <c r="H88" i="6"/>
  <c r="F88" i="6"/>
  <c r="F97" i="6"/>
  <c r="E97" i="6"/>
  <c r="H109" i="6"/>
  <c r="H128" i="6"/>
  <c r="F128" i="6"/>
  <c r="H144" i="6"/>
  <c r="F144" i="6"/>
  <c r="E162" i="6"/>
  <c r="H162" i="6"/>
  <c r="E164" i="6"/>
  <c r="E169" i="6"/>
  <c r="H248" i="6"/>
  <c r="F248" i="6"/>
  <c r="E248" i="6"/>
  <c r="E9" i="6"/>
  <c r="E17" i="6"/>
  <c r="F22" i="6"/>
  <c r="E24" i="6"/>
  <c r="E29" i="6"/>
  <c r="H31" i="6"/>
  <c r="H40" i="6"/>
  <c r="F47" i="6"/>
  <c r="F62" i="6"/>
  <c r="F64" i="6"/>
  <c r="H72" i="6"/>
  <c r="H80" i="6"/>
  <c r="F80" i="6"/>
  <c r="E88" i="6"/>
  <c r="F101" i="6"/>
  <c r="H119" i="6"/>
  <c r="E119" i="6"/>
  <c r="H121" i="6"/>
  <c r="H125" i="6"/>
  <c r="E128" i="6"/>
  <c r="H137" i="6"/>
  <c r="H141" i="6"/>
  <c r="E144" i="6"/>
  <c r="H153" i="6"/>
  <c r="F162" i="6"/>
  <c r="F277" i="6"/>
  <c r="H277" i="6"/>
  <c r="E277" i="6"/>
  <c r="H7" i="6"/>
  <c r="E31" i="6"/>
  <c r="E40" i="6"/>
  <c r="E42" i="6"/>
  <c r="H49" i="6"/>
  <c r="H55" i="6"/>
  <c r="E55" i="6"/>
  <c r="E57" i="6"/>
  <c r="H66" i="6"/>
  <c r="E72" i="6"/>
  <c r="E74" i="6"/>
  <c r="H77" i="6"/>
  <c r="E80" i="6"/>
  <c r="H95" i="6"/>
  <c r="E95" i="6"/>
  <c r="H97" i="6"/>
  <c r="H104" i="6"/>
  <c r="F104" i="6"/>
  <c r="F113" i="6"/>
  <c r="E113" i="6"/>
  <c r="H122" i="6"/>
  <c r="H138" i="6"/>
  <c r="H154" i="6"/>
  <c r="F165" i="6"/>
  <c r="E165" i="6"/>
  <c r="E170" i="6"/>
  <c r="F170" i="6"/>
  <c r="F217" i="6"/>
  <c r="H217" i="6"/>
  <c r="E217" i="6"/>
  <c r="H172" i="6"/>
  <c r="H177" i="6"/>
  <c r="H184" i="6"/>
  <c r="H193" i="6"/>
  <c r="H197" i="6"/>
  <c r="H233" i="6"/>
  <c r="H237" i="6"/>
  <c r="F242" i="6"/>
  <c r="E242" i="6"/>
  <c r="H267" i="6"/>
  <c r="H281" i="6"/>
  <c r="H285" i="6"/>
  <c r="H299" i="6"/>
  <c r="F307" i="6"/>
  <c r="E307" i="6"/>
  <c r="H318" i="6"/>
  <c r="F318" i="6"/>
  <c r="E325" i="6"/>
  <c r="F325" i="6"/>
  <c r="F485" i="6"/>
  <c r="H485" i="6"/>
  <c r="E485" i="6"/>
  <c r="H86" i="6"/>
  <c r="H94" i="6"/>
  <c r="H102" i="6"/>
  <c r="H110" i="6"/>
  <c r="H118" i="6"/>
  <c r="F194" i="6"/>
  <c r="E194" i="6"/>
  <c r="F234" i="6"/>
  <c r="E234" i="6"/>
  <c r="H259" i="6"/>
  <c r="F282" i="6"/>
  <c r="E282" i="6"/>
  <c r="F286" i="6"/>
  <c r="E286" i="6"/>
  <c r="F312" i="6"/>
  <c r="H312" i="6"/>
  <c r="F352" i="6"/>
  <c r="H352" i="6"/>
  <c r="E352" i="6"/>
  <c r="H391" i="6"/>
  <c r="F391" i="6"/>
  <c r="E391" i="6"/>
  <c r="H405" i="6"/>
  <c r="E405" i="6"/>
  <c r="F405" i="6"/>
  <c r="H483" i="6"/>
  <c r="F483" i="6"/>
  <c r="E483" i="6"/>
  <c r="H552" i="6"/>
  <c r="E552" i="6"/>
  <c r="F552" i="6"/>
  <c r="F226" i="6"/>
  <c r="E226" i="6"/>
  <c r="E312" i="6"/>
  <c r="H414" i="6"/>
  <c r="F414" i="6"/>
  <c r="E414" i="6"/>
  <c r="F434" i="6"/>
  <c r="E434" i="6"/>
  <c r="H434" i="6"/>
  <c r="F122" i="6"/>
  <c r="E127" i="6"/>
  <c r="F130" i="6"/>
  <c r="E135" i="6"/>
  <c r="F138" i="6"/>
  <c r="E143" i="6"/>
  <c r="F146" i="6"/>
  <c r="E151" i="6"/>
  <c r="F154" i="6"/>
  <c r="E156" i="6"/>
  <c r="E161" i="6"/>
  <c r="E168" i="6"/>
  <c r="F180" i="6"/>
  <c r="E182" i="6"/>
  <c r="F185" i="6"/>
  <c r="E187" i="6"/>
  <c r="H194" i="6"/>
  <c r="F198" i="6"/>
  <c r="E200" i="6"/>
  <c r="F202" i="6"/>
  <c r="E202" i="6"/>
  <c r="F218" i="6"/>
  <c r="E218" i="6"/>
  <c r="E224" i="6"/>
  <c r="F230" i="6"/>
  <c r="F232" i="6"/>
  <c r="H234" i="6"/>
  <c r="E257" i="6"/>
  <c r="E261" i="6"/>
  <c r="F274" i="6"/>
  <c r="E274" i="6"/>
  <c r="F278" i="6"/>
  <c r="E278" i="6"/>
  <c r="H432" i="6"/>
  <c r="F432" i="6"/>
  <c r="E432" i="6"/>
  <c r="H473" i="6"/>
  <c r="E473" i="6"/>
  <c r="F473" i="6"/>
  <c r="F510" i="6"/>
  <c r="E510" i="6"/>
  <c r="H510" i="6"/>
  <c r="F570" i="6"/>
  <c r="E570" i="6"/>
  <c r="H570" i="6"/>
  <c r="H195" i="6"/>
  <c r="F210" i="6"/>
  <c r="E210" i="6"/>
  <c r="H235" i="6"/>
  <c r="H283" i="6"/>
  <c r="H297" i="6"/>
  <c r="H301" i="6"/>
  <c r="E319" i="6"/>
  <c r="H333" i="6"/>
  <c r="E333" i="6"/>
  <c r="F333" i="6"/>
  <c r="E372" i="6"/>
  <c r="H372" i="6"/>
  <c r="F372" i="6"/>
  <c r="E172" i="6"/>
  <c r="E177" i="6"/>
  <c r="E184" i="6"/>
  <c r="E193" i="6"/>
  <c r="E195" i="6"/>
  <c r="H202" i="6"/>
  <c r="E208" i="6"/>
  <c r="F214" i="6"/>
  <c r="F216" i="6"/>
  <c r="H230" i="6"/>
  <c r="E241" i="6"/>
  <c r="E245" i="6"/>
  <c r="H257" i="6"/>
  <c r="H261" i="6"/>
  <c r="F266" i="6"/>
  <c r="E266" i="6"/>
  <c r="F270" i="6"/>
  <c r="E270" i="6"/>
  <c r="H274" i="6"/>
  <c r="H278" i="6"/>
  <c r="F298" i="6"/>
  <c r="E298" i="6"/>
  <c r="F302" i="6"/>
  <c r="E302" i="6"/>
  <c r="E317" i="6"/>
  <c r="H317" i="6"/>
  <c r="F324" i="6"/>
  <c r="E324" i="6"/>
  <c r="F327" i="6"/>
  <c r="E327" i="6"/>
  <c r="H365" i="6"/>
  <c r="E365" i="6"/>
  <c r="F365" i="6"/>
  <c r="H155" i="6"/>
  <c r="E179" i="6"/>
  <c r="H189" i="6"/>
  <c r="F195" i="6"/>
  <c r="E197" i="6"/>
  <c r="H203" i="6"/>
  <c r="F208" i="6"/>
  <c r="H210" i="6"/>
  <c r="H219" i="6"/>
  <c r="H222" i="6"/>
  <c r="E233" i="6"/>
  <c r="E237" i="6"/>
  <c r="H249" i="6"/>
  <c r="H253" i="6"/>
  <c r="F258" i="6"/>
  <c r="E258" i="6"/>
  <c r="H275" i="6"/>
  <c r="E281" i="6"/>
  <c r="E285" i="6"/>
  <c r="H289" i="6"/>
  <c r="H293" i="6"/>
  <c r="F317" i="6"/>
  <c r="H319" i="6"/>
  <c r="H326" i="6"/>
  <c r="E358" i="6"/>
  <c r="H358" i="6"/>
  <c r="H383" i="6"/>
  <c r="F383" i="6"/>
  <c r="H397" i="6"/>
  <c r="E397" i="6"/>
  <c r="H421" i="6"/>
  <c r="F421" i="6"/>
  <c r="H441" i="6"/>
  <c r="E441" i="6"/>
  <c r="H451" i="6"/>
  <c r="F451" i="6"/>
  <c r="F453" i="6"/>
  <c r="H453" i="6"/>
  <c r="E453" i="6"/>
  <c r="F478" i="6"/>
  <c r="E478" i="6"/>
  <c r="H478" i="6"/>
  <c r="H520" i="6"/>
  <c r="E520" i="6"/>
  <c r="F538" i="6"/>
  <c r="E538" i="6"/>
  <c r="H538" i="6"/>
  <c r="H545" i="6"/>
  <c r="F545" i="6"/>
  <c r="F557" i="6"/>
  <c r="E557" i="6"/>
  <c r="H601" i="6"/>
  <c r="F601" i="6"/>
  <c r="E601" i="6"/>
  <c r="E321" i="6"/>
  <c r="E326" i="6"/>
  <c r="E328" i="6"/>
  <c r="E336" i="6"/>
  <c r="E344" i="6"/>
  <c r="E350" i="6"/>
  <c r="H350" i="6"/>
  <c r="F358" i="6"/>
  <c r="F364" i="6"/>
  <c r="H375" i="6"/>
  <c r="F375" i="6"/>
  <c r="E383" i="6"/>
  <c r="H389" i="6"/>
  <c r="E389" i="6"/>
  <c r="F397" i="6"/>
  <c r="E410" i="6"/>
  <c r="H419" i="6"/>
  <c r="E419" i="6"/>
  <c r="E421" i="6"/>
  <c r="F441" i="6"/>
  <c r="F446" i="6"/>
  <c r="E446" i="6"/>
  <c r="H446" i="6"/>
  <c r="E451" i="6"/>
  <c r="H488" i="6"/>
  <c r="E488" i="6"/>
  <c r="F506" i="6"/>
  <c r="E506" i="6"/>
  <c r="H506" i="6"/>
  <c r="H513" i="6"/>
  <c r="F513" i="6"/>
  <c r="F520" i="6"/>
  <c r="F525" i="6"/>
  <c r="E525" i="6"/>
  <c r="E545" i="6"/>
  <c r="H571" i="6"/>
  <c r="E571" i="6"/>
  <c r="F594" i="6"/>
  <c r="E594" i="6"/>
  <c r="H594" i="6"/>
  <c r="F326" i="6"/>
  <c r="E334" i="6"/>
  <c r="H334" i="6"/>
  <c r="E342" i="6"/>
  <c r="H342" i="6"/>
  <c r="F350" i="6"/>
  <c r="F356" i="6"/>
  <c r="H367" i="6"/>
  <c r="F367" i="6"/>
  <c r="E375" i="6"/>
  <c r="H381" i="6"/>
  <c r="E381" i="6"/>
  <c r="F389" i="6"/>
  <c r="E400" i="6"/>
  <c r="E406" i="6"/>
  <c r="H406" i="6"/>
  <c r="E417" i="6"/>
  <c r="F419" i="6"/>
  <c r="H456" i="6"/>
  <c r="E456" i="6"/>
  <c r="F474" i="6"/>
  <c r="E474" i="6"/>
  <c r="H474" i="6"/>
  <c r="H481" i="6"/>
  <c r="F481" i="6"/>
  <c r="F488" i="6"/>
  <c r="F493" i="6"/>
  <c r="E493" i="6"/>
  <c r="E513" i="6"/>
  <c r="H539" i="6"/>
  <c r="E539" i="6"/>
  <c r="H557" i="6"/>
  <c r="H566" i="6"/>
  <c r="E566" i="6"/>
  <c r="F571" i="6"/>
  <c r="H359" i="6"/>
  <c r="F359" i="6"/>
  <c r="H373" i="6"/>
  <c r="E373" i="6"/>
  <c r="E398" i="6"/>
  <c r="H398" i="6"/>
  <c r="H410" i="6"/>
  <c r="H424" i="6"/>
  <c r="E424" i="6"/>
  <c r="F442" i="6"/>
  <c r="E442" i="6"/>
  <c r="H442" i="6"/>
  <c r="H449" i="6"/>
  <c r="F449" i="6"/>
  <c r="F461" i="6"/>
  <c r="E461" i="6"/>
  <c r="H507" i="6"/>
  <c r="E507" i="6"/>
  <c r="H534" i="6"/>
  <c r="E534" i="6"/>
  <c r="H546" i="6"/>
  <c r="H560" i="6"/>
  <c r="F560" i="6"/>
  <c r="F562" i="6"/>
  <c r="E562" i="6"/>
  <c r="H579" i="6"/>
  <c r="F579" i="6"/>
  <c r="F581" i="6"/>
  <c r="H581" i="6"/>
  <c r="E581" i="6"/>
  <c r="E390" i="6"/>
  <c r="H390" i="6"/>
  <c r="E413" i="6"/>
  <c r="H413" i="6"/>
  <c r="F429" i="6"/>
  <c r="E429" i="6"/>
  <c r="H475" i="6"/>
  <c r="E475" i="6"/>
  <c r="H502" i="6"/>
  <c r="E502" i="6"/>
  <c r="H528" i="6"/>
  <c r="F528" i="6"/>
  <c r="F530" i="6"/>
  <c r="E530" i="6"/>
  <c r="H569" i="6"/>
  <c r="E569" i="6"/>
  <c r="F574" i="6"/>
  <c r="E574" i="6"/>
  <c r="H574" i="6"/>
  <c r="H304" i="6"/>
  <c r="H309" i="6"/>
  <c r="H335" i="6"/>
  <c r="F335" i="6"/>
  <c r="H343" i="6"/>
  <c r="F343" i="6"/>
  <c r="H348" i="6"/>
  <c r="H357" i="6"/>
  <c r="E357" i="6"/>
  <c r="E376" i="6"/>
  <c r="E382" i="6"/>
  <c r="H382" i="6"/>
  <c r="F390" i="6"/>
  <c r="H392" i="6"/>
  <c r="F396" i="6"/>
  <c r="H409" i="6"/>
  <c r="F409" i="6"/>
  <c r="F411" i="6"/>
  <c r="F413" i="6"/>
  <c r="H415" i="6"/>
  <c r="H443" i="6"/>
  <c r="E443" i="6"/>
  <c r="H461" i="6"/>
  <c r="H470" i="6"/>
  <c r="E470" i="6"/>
  <c r="F475" i="6"/>
  <c r="H496" i="6"/>
  <c r="F496" i="6"/>
  <c r="F498" i="6"/>
  <c r="E498" i="6"/>
  <c r="F502" i="6"/>
  <c r="E528" i="6"/>
  <c r="H537" i="6"/>
  <c r="E537" i="6"/>
  <c r="H547" i="6"/>
  <c r="F547" i="6"/>
  <c r="F549" i="6"/>
  <c r="H549" i="6"/>
  <c r="E549" i="6"/>
  <c r="H562" i="6"/>
  <c r="F569" i="6"/>
  <c r="H584" i="6"/>
  <c r="E584" i="6"/>
  <c r="H310" i="6"/>
  <c r="H332" i="6"/>
  <c r="E335" i="6"/>
  <c r="H340" i="6"/>
  <c r="E343" i="6"/>
  <c r="H349" i="6"/>
  <c r="E349" i="6"/>
  <c r="F357" i="6"/>
  <c r="E368" i="6"/>
  <c r="E374" i="6"/>
  <c r="H374" i="6"/>
  <c r="F382" i="6"/>
  <c r="H384" i="6"/>
  <c r="F388" i="6"/>
  <c r="H399" i="6"/>
  <c r="F399" i="6"/>
  <c r="H404" i="6"/>
  <c r="F407" i="6"/>
  <c r="E409" i="6"/>
  <c r="H416" i="6"/>
  <c r="E416" i="6"/>
  <c r="H429" i="6"/>
  <c r="H438" i="6"/>
  <c r="E438" i="6"/>
  <c r="F443" i="6"/>
  <c r="H450" i="6"/>
  <c r="H464" i="6"/>
  <c r="F464" i="6"/>
  <c r="F466" i="6"/>
  <c r="E466" i="6"/>
  <c r="F470" i="6"/>
  <c r="E496" i="6"/>
  <c r="H505" i="6"/>
  <c r="E505" i="6"/>
  <c r="H515" i="6"/>
  <c r="F515" i="6"/>
  <c r="F517" i="6"/>
  <c r="H517" i="6"/>
  <c r="E517" i="6"/>
  <c r="H530" i="6"/>
  <c r="F537" i="6"/>
  <c r="F542" i="6"/>
  <c r="E542" i="6"/>
  <c r="H542" i="6"/>
  <c r="E547" i="6"/>
  <c r="H577" i="6"/>
  <c r="F577" i="6"/>
  <c r="F584" i="6"/>
  <c r="F426" i="6"/>
  <c r="E426" i="6"/>
  <c r="F458" i="6"/>
  <c r="E458" i="6"/>
  <c r="F490" i="6"/>
  <c r="E490" i="6"/>
  <c r="F522" i="6"/>
  <c r="E522" i="6"/>
  <c r="F554" i="6"/>
  <c r="E554" i="6"/>
  <c r="F586" i="6"/>
  <c r="E586" i="6"/>
  <c r="H427" i="6"/>
  <c r="H459" i="6"/>
  <c r="H491" i="6"/>
  <c r="H523" i="6"/>
  <c r="H555" i="6"/>
  <c r="H573" i="6"/>
  <c r="H587" i="6"/>
  <c r="F592" i="6"/>
  <c r="C21" i="9"/>
  <c r="F427" i="6"/>
  <c r="F440" i="6"/>
  <c r="F459" i="6"/>
  <c r="H467" i="6"/>
  <c r="F472" i="6"/>
  <c r="F491" i="6"/>
  <c r="H499" i="6"/>
  <c r="F504" i="6"/>
  <c r="F523" i="6"/>
  <c r="H531" i="6"/>
  <c r="F536" i="6"/>
  <c r="F555" i="6"/>
  <c r="H563" i="6"/>
  <c r="F568" i="6"/>
  <c r="F587" i="6"/>
  <c r="E589" i="6"/>
  <c r="H595" i="6"/>
  <c r="F600" i="6"/>
  <c r="H30" i="9"/>
  <c r="B26" i="9"/>
  <c r="H22" i="9"/>
  <c r="B21" i="9"/>
  <c r="B19" i="9"/>
  <c r="I16" i="9"/>
  <c r="H15" i="9"/>
  <c r="H29" i="9"/>
  <c r="H25" i="9"/>
  <c r="C24" i="9"/>
  <c r="E22" i="9"/>
  <c r="E20" i="9"/>
  <c r="I17" i="9"/>
  <c r="H16" i="9"/>
  <c r="H28" i="9"/>
  <c r="E25" i="9"/>
  <c r="B24" i="9"/>
  <c r="I18" i="9"/>
  <c r="H17" i="9"/>
  <c r="H27" i="9"/>
  <c r="H23" i="9"/>
  <c r="C22" i="9"/>
  <c r="C20" i="9"/>
  <c r="H18" i="9"/>
  <c r="E17" i="9"/>
  <c r="C15" i="9"/>
  <c r="H26" i="9"/>
  <c r="C25" i="9"/>
  <c r="E23" i="9"/>
  <c r="B22" i="9"/>
  <c r="B20" i="9"/>
  <c r="C16" i="9"/>
  <c r="B15" i="9"/>
  <c r="E26" i="9"/>
  <c r="B25" i="9"/>
  <c r="E21" i="9"/>
  <c r="C17" i="9"/>
  <c r="B16" i="9"/>
  <c r="H3" i="9"/>
  <c r="H24" i="9"/>
  <c r="C23" i="9"/>
  <c r="D23" i="9" s="1"/>
  <c r="B17" i="9"/>
  <c r="E3" i="9"/>
  <c r="E24" i="9"/>
  <c r="F450" i="6"/>
  <c r="E450" i="6"/>
  <c r="F482" i="6"/>
  <c r="E482" i="6"/>
  <c r="F514" i="6"/>
  <c r="E514" i="6"/>
  <c r="F546" i="6"/>
  <c r="E546" i="6"/>
  <c r="F578" i="6"/>
  <c r="E578" i="6"/>
  <c r="C26" i="9"/>
  <c r="A6" i="9"/>
  <c r="B16" i="7"/>
  <c r="G6" i="9" s="1"/>
  <c r="N3" i="4" l="1"/>
  <c r="B11" i="7"/>
  <c r="L3" i="4"/>
  <c r="M2" i="4"/>
  <c r="G4" i="6"/>
  <c r="H4" i="6" s="1"/>
  <c r="L2" i="4"/>
  <c r="G5" i="6"/>
  <c r="H5" i="6" s="1"/>
  <c r="L29" i="4"/>
  <c r="D24" i="9"/>
  <c r="N29" i="4"/>
  <c r="D25" i="9"/>
  <c r="C18" i="9"/>
  <c r="D18" i="9" s="1"/>
  <c r="H8" i="6"/>
  <c r="E18" i="9" s="1"/>
  <c r="J16" i="9"/>
  <c r="L46" i="4"/>
  <c r="J17" i="9"/>
  <c r="B17" i="7"/>
  <c r="G10" i="9" s="1"/>
  <c r="M46" i="4"/>
  <c r="B18" i="7"/>
  <c r="I15" i="9"/>
  <c r="J15" i="9" s="1"/>
  <c r="B10" i="7"/>
  <c r="E8" i="6"/>
  <c r="N46" i="4"/>
  <c r="D15" i="9"/>
  <c r="D19" i="9"/>
  <c r="D21" i="9"/>
  <c r="D17" i="9"/>
  <c r="H2" i="6"/>
  <c r="F2" i="6"/>
  <c r="E2" i="6"/>
  <c r="H3" i="6"/>
  <c r="F3" i="6"/>
  <c r="E3" i="6"/>
  <c r="E6" i="6"/>
  <c r="H6" i="6"/>
  <c r="F6" i="6"/>
  <c r="F4" i="6"/>
  <c r="E4" i="6"/>
  <c r="D20" i="9"/>
  <c r="D22" i="9"/>
  <c r="D16" i="9"/>
  <c r="J18" i="9"/>
  <c r="D26" i="9"/>
  <c r="F5" i="6"/>
  <c r="E5" i="6"/>
  <c r="A10" i="9" l="1"/>
  <c r="B13" i="7"/>
  <c r="D10" i="9" s="1"/>
  <c r="B14" i="7"/>
  <c r="J6" i="9" s="1"/>
  <c r="B15" i="7"/>
  <c r="D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Codex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Preencher um ID único por operação/navio. Ex.: OP-001</t>
        </r>
      </text>
    </comment>
    <comment ref="A2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Corrigido: Operacao ID padronizado como OP-001 para alinhar com Base_Porao_Turno, Poroes_Resumo, KPI_Resumo e Dashboard.</t>
        </r>
      </text>
    </comment>
    <comment ref="J2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Corrigido: data invalida 31/06/2026 ajustada para 30/06/2026.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Codex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Cada linha representa 1 turno em 1 porão. Este é o nível ideal para gerar KPI confiável.</t>
        </r>
      </text>
    </comment>
    <comment ref="G2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Corrigido: horas paradas agora somam Paradas_Detalhadas. 1h55 e representado como 1,9166667 hora decimal, nao como 1,55.</t>
        </r>
      </text>
    </comment>
    <comment ref="H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Corrigido: 6h - 1h55 = 4h05, equivalente a 4,083333 horas decimais.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Corrigido: Operacao ID padronizado como OP-001 para permitir somatorios de paradas no dashboard.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Informar o manifesto por porão. Os demais campos calculam automaticamente.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Codex</author>
  </authors>
  <commentList>
    <comment ref="B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Selecione a operação para atualizar KPIs e Dashboard.</t>
        </r>
      </text>
    </comment>
    <comment ref="B13" authorId="1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Formula corrigida: % Parada Operacional = Total Paradas / Total Operacao.</t>
        </r>
      </text>
    </comment>
    <comment ref="B14" authorId="1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Formula corrigida: Eficiencia Operacional = Total Trabalhado / Total Operacao.</t>
        </r>
      </text>
    </comment>
    <comment ref="B15" authorId="1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Formula corrigida: Produtividade Media = Volume Descarregado / Total Trabalhado.</t>
        </r>
      </text>
    </comment>
    <comment ref="B16" authorId="1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Formula corrigida: Media Descarga diaria = Volume Descarregado / dias de operacao calendario.</t>
        </r>
      </text>
    </comment>
    <comment ref="B19" authorId="1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Formula corrigida: Aderencia ao Manifesto = Volume Descarregado / Volume Navio.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Corrigido: substituido XLOOKUP por INDEX/MATCH para retornar o nome do navio com maior compatibilidade.</t>
        </r>
      </text>
    </comment>
    <comment ref="H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Corrigido: substituido XLOOKUP por INDEX/MATCH para retornar o terminal com maior compatibilidade.</t>
        </r>
      </text>
    </comment>
  </commentList>
</comments>
</file>

<file path=xl/sharedStrings.xml><?xml version="1.0" encoding="utf-8"?>
<sst xmlns="http://schemas.openxmlformats.org/spreadsheetml/2006/main" count="736" uniqueCount="226">
  <si>
    <t>Operacao ID</t>
  </si>
  <si>
    <t>Data</t>
  </si>
  <si>
    <t>Turno</t>
  </si>
  <si>
    <t>Janela</t>
  </si>
  <si>
    <t>Porão</t>
  </si>
  <si>
    <t>Horas Calendário</t>
  </si>
  <si>
    <t>Horas Paradas</t>
  </si>
  <si>
    <t>Horas Trabalhadas</t>
  </si>
  <si>
    <t>Volume Terminal (t)</t>
  </si>
  <si>
    <t>Volume Direto (t)</t>
  </si>
  <si>
    <t>Volume Total (t)</t>
  </si>
  <si>
    <t>Produtividade Total (t/h)</t>
  </si>
  <si>
    <t>Produtividade Terminal (t/h)</t>
  </si>
  <si>
    <t>Produtividade Direto (t/h)</t>
  </si>
  <si>
    <t>Categoria Parada Principal</t>
  </si>
  <si>
    <t>Observações</t>
  </si>
  <si>
    <t>OP-001</t>
  </si>
  <si>
    <t>A</t>
  </si>
  <si>
    <t>07x13</t>
  </si>
  <si>
    <t>Operacional</t>
  </si>
  <si>
    <t>Importado do modelo</t>
  </si>
  <si>
    <t>B</t>
  </si>
  <si>
    <t>13x19</t>
  </si>
  <si>
    <t>C</t>
  </si>
  <si>
    <t>19x01</t>
  </si>
  <si>
    <t>D</t>
  </si>
  <si>
    <t>01x07</t>
  </si>
  <si>
    <t>OP-002</t>
  </si>
  <si>
    <t>Outros</t>
  </si>
  <si>
    <t>Segurança</t>
  </si>
  <si>
    <t>Falta de caminhões</t>
  </si>
  <si>
    <t>TORRE DE CONTROLE – PRODUTIVIDADE DE DESCARGA DE NAVIOS</t>
  </si>
  <si>
    <t>Objetivo</t>
  </si>
  <si>
    <t>Controlar produtividade de descarga por navio, turno e porão, com rastreabilidade de paradas e dashboard executivo.</t>
  </si>
  <si>
    <t>Lógica de captura</t>
  </si>
  <si>
    <t>1) Cadastrar o navio em Cadastro_Navio. 2) Informar volumes manifestados por porão em Poroes_Resumo. 3) Lançar cada turno em Base_Porao_Turno. 4) Detalhar paradas em Paradas_Detalhadas. 5) Ler KPIs e Dashboard.</t>
  </si>
  <si>
    <t>Melhor prática para KPI</t>
  </si>
  <si>
    <t>O KPI deve nascer do menor nível operacional possível: turno + porão. Isso evita distorções de média e melhora a confiabilidade.</t>
  </si>
  <si>
    <t>Cores</t>
  </si>
  <si>
    <t>Azul = input manual | Preto = fórmula | Verde = resumo/consolidado | Roxo = controle.</t>
  </si>
  <si>
    <t>KPIs do modelo original</t>
  </si>
  <si>
    <t>ETB, ETS, Volume Navio, Volume Descarregado, Produtividade t/h, Média t/dia, Tempo Médio porão, Total Trabalhado, Total Paradas, % Parada Operacional, Eficiência Operacional e Total de Operação.</t>
  </si>
  <si>
    <t>Terminais</t>
  </si>
  <si>
    <t>Bercos</t>
  </si>
  <si>
    <t>Turnos</t>
  </si>
  <si>
    <t>Janelas</t>
  </si>
  <si>
    <t>Categorias_Parada</t>
  </si>
  <si>
    <t>Tipos_Operacao</t>
  </si>
  <si>
    <t>Poroes</t>
  </si>
  <si>
    <t>Imbituba</t>
  </si>
  <si>
    <t>Berço 1</t>
  </si>
  <si>
    <t>Clima</t>
  </si>
  <si>
    <t>Terminal</t>
  </si>
  <si>
    <t>Itaúna</t>
  </si>
  <si>
    <t>Berço 2</t>
  </si>
  <si>
    <t>Equipamento</t>
  </si>
  <si>
    <t>Direto</t>
  </si>
  <si>
    <t>Criciúma</t>
  </si>
  <si>
    <t>Berço 3</t>
  </si>
  <si>
    <t>Mista</t>
  </si>
  <si>
    <t>Açu</t>
  </si>
  <si>
    <t>Berço 4</t>
  </si>
  <si>
    <t>Manutenção</t>
  </si>
  <si>
    <t>Berço 5</t>
  </si>
  <si>
    <t>Aguardando Cliente</t>
  </si>
  <si>
    <t>Sem Energia</t>
  </si>
  <si>
    <t>Navio</t>
  </si>
  <si>
    <t>IMO</t>
  </si>
  <si>
    <t>Bandeira</t>
  </si>
  <si>
    <t>Berço</t>
  </si>
  <si>
    <t>Produto</t>
  </si>
  <si>
    <t>Cliente</t>
  </si>
  <si>
    <t>ETB</t>
  </si>
  <si>
    <t>ETS</t>
  </si>
  <si>
    <t>Volume Manifestado (t)</t>
  </si>
  <si>
    <t>Qtd Porões</t>
  </si>
  <si>
    <t>Tipo Operação</t>
  </si>
  <si>
    <t>Meta Produtividade (t/h)</t>
  </si>
  <si>
    <t>Meta Descarga (t/dia)</t>
  </si>
  <si>
    <t>Magic Celeste</t>
  </si>
  <si>
    <t>Ilhas Marshalls</t>
  </si>
  <si>
    <t>Gipisita</t>
  </si>
  <si>
    <t>Minas Tranding Company</t>
  </si>
  <si>
    <t>Phoenician M</t>
  </si>
  <si>
    <t>Panamá</t>
  </si>
  <si>
    <t>Antracito</t>
  </si>
  <si>
    <t>Categoria</t>
  </si>
  <si>
    <t>Motivo</t>
  </si>
  <si>
    <t>Início</t>
  </si>
  <si>
    <t>Fim</t>
  </si>
  <si>
    <t>Responsável</t>
  </si>
  <si>
    <t>Impacto</t>
  </si>
  <si>
    <t>Inicio Operação</t>
  </si>
  <si>
    <t>Operação cais</t>
  </si>
  <si>
    <t>translado guindastes</t>
  </si>
  <si>
    <t>DDS</t>
  </si>
  <si>
    <t>Colocar escavadeira no porão</t>
  </si>
  <si>
    <t>escavadeira porão e movimentaçoes</t>
  </si>
  <si>
    <t>DDS movimentação maquinas</t>
  </si>
  <si>
    <t>Aguardando caminhoes</t>
  </si>
  <si>
    <t>diversas</t>
  </si>
  <si>
    <t>rechego porão</t>
  </si>
  <si>
    <t>rechego com pc</t>
  </si>
  <si>
    <t>aguardando inicio operação</t>
  </si>
  <si>
    <t>falta de caminhoes</t>
  </si>
  <si>
    <t>Volume Descargado (t)</t>
  </si>
  <si>
    <t>Saldo (t)</t>
  </si>
  <si>
    <t>% Descarga</t>
  </si>
  <si>
    <t>Produtividade Média (t/h)</t>
  </si>
  <si>
    <t>PAINEL DE KPIs – OPERAÇÃO SELECIONADA</t>
  </si>
  <si>
    <t>Operação Selecionada</t>
  </si>
  <si>
    <t>Volume Navio (t)</t>
  </si>
  <si>
    <t>Volume Descarregado (t)</t>
  </si>
  <si>
    <t>Total Trabalhado (h)</t>
  </si>
  <si>
    <t>Total Paradas (h)</t>
  </si>
  <si>
    <t>Total Operação (h)</t>
  </si>
  <si>
    <t>% Parada Operacional</t>
  </si>
  <si>
    <t>Eficiência Operacional</t>
  </si>
  <si>
    <t>Média Descarga (t/dia)</t>
  </si>
  <si>
    <t>Tempo Médio porão (h)</t>
  </si>
  <si>
    <t>Qtd Porões Operados</t>
  </si>
  <si>
    <t>% Aderência ao Manifesto</t>
  </si>
  <si>
    <t>KPI</t>
  </si>
  <si>
    <t>Como obter</t>
  </si>
  <si>
    <t>Fonte primária</t>
  </si>
  <si>
    <t>Fórmula gerencial</t>
  </si>
  <si>
    <t>Leitura executiva</t>
  </si>
  <si>
    <t>Somar o volume total lançado em cada turno e porão.</t>
  </si>
  <si>
    <t>Base_Porao_Turno[Volume Total (t)]</t>
  </si>
  <si>
    <t>Σ Volume Total</t>
  </si>
  <si>
    <t>Volume efetivamente movimentado do navio.</t>
  </si>
  <si>
    <t>Dividir o volume descarregado pelas horas efetivamente trabalhadas.</t>
  </si>
  <si>
    <t>Base_Porao_Turno[Volume Total, Horas Trabalhadas]</t>
  </si>
  <si>
    <t>Volume descarregado / Total trabalhado</t>
  </si>
  <si>
    <t>Mostra capacidade operacional real sem inflar resultado com horas paradas.</t>
  </si>
  <si>
    <t>Converter o total de horas calendário para dias e dividir o volume total.</t>
  </si>
  <si>
    <t>Base_Porao_Turno[Horas Calendário]</t>
  </si>
  <si>
    <t>Volume descarregado / (Horas calendário/24)</t>
  </si>
  <si>
    <t>Mostra ritmo de descarga percebido pela operação/cliente.</t>
  </si>
  <si>
    <t>Apurar horas trabalhadas por porão e tirar média apenas dos porões operados.</t>
  </si>
  <si>
    <t>Poroes_Resumo[Horas Trabalhadas]</t>
  </si>
  <si>
    <t>Média das horas por porão com descarga &gt; 0</t>
  </si>
  <si>
    <t>Indica balanceamento da operação entre porões.</t>
  </si>
  <si>
    <t>Somar horas de paradas informadas por turno.</t>
  </si>
  <si>
    <t>Base_Porao_Turno[Horas Paradas] ou Paradas_Detalhadas[Horas Paradas]</t>
  </si>
  <si>
    <t>Σ Horas Paradas</t>
  </si>
  <si>
    <t>Evidencia perdas operacionais.</t>
  </si>
  <si>
    <t>Dividir horas de paradas pelas horas calendário.</t>
  </si>
  <si>
    <t>Base_Porao_Turno</t>
  </si>
  <si>
    <t>Total Paradas / Total Operação</t>
  </si>
  <si>
    <t>Permite atacar causas estruturais de perda.</t>
  </si>
  <si>
    <t>Dividir horas trabalhadas pelas horas calendário.</t>
  </si>
  <si>
    <t>Total Trabalhado / Total Operação</t>
  </si>
  <si>
    <t>Mede aproveitamento do tempo disponível.</t>
  </si>
  <si>
    <t>Comparar o descarregado ao manifestado por navio.</t>
  </si>
  <si>
    <t>Cadastro_Navio + Base_Porao_Turno</t>
  </si>
  <si>
    <t>Volume descarregado / Volume manifestado</t>
  </si>
  <si>
    <t>Ajuda a detectar divergências de volume e reconciliação.</t>
  </si>
  <si>
    <t>Produtividade por porão</t>
  </si>
  <si>
    <t>Dividir volume descarregado do porão pelas horas trabalhadas do porão.</t>
  </si>
  <si>
    <t>Poroes_Resumo</t>
  </si>
  <si>
    <t>Volume do porão / Horas do porão</t>
  </si>
  <si>
    <t>Expõe gargalos localizados e desequilíbrio de sequenciamento.</t>
  </si>
  <si>
    <t>Paradas por categoria</t>
  </si>
  <si>
    <t>Classificar cada parada detalhada por categoria e consolidar horas.</t>
  </si>
  <si>
    <t>Paradas_Detalhadas</t>
  </si>
  <si>
    <t>Σ Horas por categoria</t>
  </si>
  <si>
    <t>Direciona ação corretiva: equipamento, clima, cliente, documentação etc.</t>
  </si>
  <si>
    <t>DASHBOARD EXECUTIVO – PRODUTIVIDADE DE DESCARGA</t>
  </si>
  <si>
    <t>Operação</t>
  </si>
  <si>
    <t>% Aderência Manifesto</t>
  </si>
  <si>
    <t>Manifestado</t>
  </si>
  <si>
    <t>Descarregado</t>
  </si>
  <si>
    <t>Saldo</t>
  </si>
  <si>
    <t>TPH</t>
  </si>
  <si>
    <t>Volume</t>
  </si>
  <si>
    <t>Horas</t>
  </si>
  <si>
    <t>Aguardando Documentação</t>
  </si>
  <si>
    <t>Item</t>
  </si>
  <si>
    <t>Aba/Celula</t>
  </si>
  <si>
    <t>Antes/Problema</t>
  </si>
  <si>
    <t>Depois/Correcao</t>
  </si>
  <si>
    <t>Cadastro_Navio!A2</t>
  </si>
  <si>
    <t>Valor numerico 1, divergente de OP-001</t>
  </si>
  <si>
    <t>Paradas_Detalhadas!A2:A3</t>
  </si>
  <si>
    <t>Valor numerico 1, nao somava no Dashboard</t>
  </si>
  <si>
    <t>Cadastro_Navio!J2</t>
  </si>
  <si>
    <t>31/06/2026, data inexistente</t>
  </si>
  <si>
    <t>30/06/2026</t>
  </si>
  <si>
    <t>KPI_Resumo!B13</t>
  </si>
  <si>
    <t>B10/B11/100</t>
  </si>
  <si>
    <t>B11/B12</t>
  </si>
  <si>
    <t>Eficiencia Operacional</t>
  </si>
  <si>
    <t>KPI_Resumo!B14</t>
  </si>
  <si>
    <t>B7/B11/1000</t>
  </si>
  <si>
    <t>B10/B12</t>
  </si>
  <si>
    <t>Produtividade Media</t>
  </si>
  <si>
    <t>KPI_Resumo!B15</t>
  </si>
  <si>
    <t>B6/B9</t>
  </si>
  <si>
    <t>B7/B10</t>
  </si>
  <si>
    <t>Media Descarga diaria</t>
  </si>
  <si>
    <t>KPI_Resumo!B16</t>
  </si>
  <si>
    <t>B6/(B11/24)</t>
  </si>
  <si>
    <t>B7/(B12/24)</t>
  </si>
  <si>
    <t>Aderencia ao Manifesto</t>
  </si>
  <si>
    <t>KPI_Resumo!B19</t>
  </si>
  <si>
    <t>B6/B5</t>
  </si>
  <si>
    <t>B7/B6</t>
  </si>
  <si>
    <t>Nome do navio no Dashboard</t>
  </si>
  <si>
    <t>Dashboard!E3</t>
  </si>
  <si>
    <t>_xludf.XLOOKUP podia nao retornar em algumas versoes/configuracoes</t>
  </si>
  <si>
    <t>INDEX/MATCH buscando Cadastro_Navio!B por Operacao ID</t>
  </si>
  <si>
    <t>Terminal no Dashboard</t>
  </si>
  <si>
    <t>Dashboard!H3</t>
  </si>
  <si>
    <t>INDEX/MATCH buscando Cadastro_Navio!E por Operacao ID</t>
  </si>
  <si>
    <t>Base_Porao_Turno!G:H</t>
  </si>
  <si>
    <t>Horas paradas digitadas como 1,55 eram tratadas como 1,55 hora decimal</t>
  </si>
  <si>
    <t>Horas paradas calculadas por SUMIFS de Paradas_Detalhadas; 1h55 = 1,9167h e 6h - 1h55 = 4h05</t>
  </si>
  <si>
    <t>Correção de linhas com volume direto sem Operacao ID e sem cálculo de horas</t>
  </si>
  <si>
    <t>Linhas corrigidas: 40, 41, 42, 43, 44, 45</t>
  </si>
  <si>
    <t>Horas paradas preenchidas a partir da aba Paradas_Detalhadas por Data + Turno</t>
  </si>
  <si>
    <t>OP-003</t>
  </si>
  <si>
    <t>IC Phoenix</t>
  </si>
  <si>
    <t>Petcoke</t>
  </si>
  <si>
    <t>Chuva</t>
  </si>
  <si>
    <t>Posicionar Guindastes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</si>
</sst>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 &quot;h&quot;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7EA"/>
      </patternFill>
    </fill>
    <fill>
      <patternFill patternType="solid">
        <fgColor rgb="FFEAF2FF"/>
      </patternFill>
    </fill>
    <fill>
      <patternFill patternType="solid">
        <fgColor rgb="FFF3F4F6"/>
      </patternFill>
    </fill>
    <fill>
      <patternFill patternType="solid">
        <fgColor rgb="FFF4ECFF"/>
      </patternFill>
    </fill>
    <fill>
      <patternFill patternType="solid">
        <fgColor rgb="FF0F766E"/>
      </patternFill>
    </fill>
    <fill>
      <patternFill patternType="solid">
        <fgColor rgb="FFFFF6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14" fontId="3" fillId="2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14" fontId="4" fillId="4" borderId="0" xfId="0" applyNumberFormat="1" applyFont="1" applyFill="1"/>
    <xf numFmtId="4" fontId="4" fillId="4" borderId="0" xfId="0" applyNumberFormat="1" applyFont="1" applyFill="1"/>
    <xf numFmtId="2" fontId="5" fillId="5" borderId="0" xfId="0" applyNumberFormat="1" applyFont="1" applyFill="1"/>
    <xf numFmtId="4" fontId="5" fillId="5" borderId="0" xfId="0" applyNumberFormat="1" applyFont="1" applyFill="1"/>
    <xf numFmtId="20" fontId="3" fillId="2" borderId="1" xfId="0" applyNumberFormat="1" applyFont="1" applyFill="1" applyBorder="1" applyAlignment="1">
      <alignment horizontal="center" vertical="center" wrapText="1"/>
    </xf>
    <xf numFmtId="20" fontId="4" fillId="4" borderId="0" xfId="0" applyNumberFormat="1" applyFont="1" applyFill="1"/>
    <xf numFmtId="4" fontId="5" fillId="3" borderId="0" xfId="0" applyNumberFormat="1" applyFont="1" applyFill="1"/>
    <xf numFmtId="164" fontId="5" fillId="3" borderId="0" xfId="0" applyNumberFormat="1" applyFont="1" applyFill="1"/>
    <xf numFmtId="0" fontId="6" fillId="5" borderId="0" xfId="0" applyFont="1" applyFill="1"/>
    <xf numFmtId="0" fontId="5" fillId="5" borderId="0" xfId="0" applyFont="1" applyFill="1"/>
    <xf numFmtId="0" fontId="0" fillId="6" borderId="0" xfId="0" applyFill="1"/>
    <xf numFmtId="0" fontId="3" fillId="2" borderId="0" xfId="0" applyFont="1" applyFill="1"/>
    <xf numFmtId="0" fontId="5" fillId="3" borderId="0" xfId="0" applyFont="1" applyFill="1"/>
    <xf numFmtId="0" fontId="5" fillId="8" borderId="0" xfId="0" applyFont="1" applyFill="1"/>
    <xf numFmtId="14" fontId="0" fillId="3" borderId="0" xfId="0" applyNumberFormat="1" applyFill="1" applyAlignment="1">
      <alignment horizontal="center"/>
    </xf>
    <xf numFmtId="4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8" fillId="9" borderId="0" xfId="0" applyFont="1" applyFill="1"/>
    <xf numFmtId="165" fontId="4" fillId="4" borderId="0" xfId="0" applyNumberFormat="1" applyFont="1" applyFill="1"/>
    <xf numFmtId="165" fontId="5" fillId="5" borderId="0" xfId="0" applyNumberFormat="1" applyFont="1" applyFill="1"/>
    <xf numFmtId="4" fontId="7" fillId="5" borderId="0" xfId="0" applyNumberFormat="1" applyFont="1" applyFill="1" applyAlignment="1">
      <alignment horizontal="center" vertical="center"/>
    </xf>
    <xf numFmtId="0" fontId="0" fillId="0" borderId="0" xfId="0"/>
    <xf numFmtId="164" fontId="7" fillId="5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Descarregado por Porão (t)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Descarregado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Dashboard!$A$15:$A$26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0</c:v>
                </c:pt>
                <c:pt idx="1">
                  <c:v>6347.77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B-4239-94A0-6274DCC43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Porão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TPH por Turno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Dashboard!$J$14</c:f>
              <c:strCache>
                <c:ptCount val="1"/>
                <c:pt idx="0">
                  <c:v>TPH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Dashboard!$G$15:$G$18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Dashboard!$J$15:$J$18</c:f>
              <c:numCache>
                <c:formatCode>General</c:formatCode>
                <c:ptCount val="4"/>
                <c:pt idx="0">
                  <c:v>389.72709677419351</c:v>
                </c:pt>
                <c:pt idx="1">
                  <c:v>0</c:v>
                </c:pt>
                <c:pt idx="2">
                  <c:v>380.41885714285729</c:v>
                </c:pt>
                <c:pt idx="3">
                  <c:v>362.58342857142861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3-46E2-B73F-5DE127976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t/h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Horas de Parada por Categoria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973456790123457"/>
          <c:y val="0"/>
          <c:w val="0.69154320987654316"/>
          <c:h val="0.8891269841269841"/>
        </c:manualLayout>
      </c:layout>
      <c:pieChart>
        <c:varyColors val="1"/>
        <c:ser>
          <c:idx val="0"/>
          <c:order val="0"/>
          <c:tx>
            <c:strRef>
              <c:f>Dashboard!$H$21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Dashboard!$G$22:$G$30</c:f>
              <c:strCache>
                <c:ptCount val="9"/>
                <c:pt idx="0">
                  <c:v>Clima</c:v>
                </c:pt>
                <c:pt idx="1">
                  <c:v>Equipamento</c:v>
                </c:pt>
                <c:pt idx="2">
                  <c:v>Operacional</c:v>
                </c:pt>
                <c:pt idx="3">
                  <c:v>Manutenção</c:v>
                </c:pt>
                <c:pt idx="4">
                  <c:v>Aguardando Cliente</c:v>
                </c:pt>
                <c:pt idx="5">
                  <c:v>Aguardando Documentação</c:v>
                </c:pt>
                <c:pt idx="6">
                  <c:v>Segurança</c:v>
                </c:pt>
                <c:pt idx="7">
                  <c:v>Sem Energia</c:v>
                </c:pt>
                <c:pt idx="8">
                  <c:v>Outros</c:v>
                </c:pt>
              </c:strCache>
            </c:strRef>
          </c:cat>
          <c:val>
            <c:numRef>
              <c:f>Dashboard!$H$22:$H$30</c:f>
              <c:numCache>
                <c:formatCode>General</c:formatCode>
                <c:ptCount val="9"/>
                <c:pt idx="0">
                  <c:v>0.16666666666666607</c:v>
                </c:pt>
                <c:pt idx="1">
                  <c:v>0</c:v>
                </c:pt>
                <c:pt idx="2">
                  <c:v>0.50000000000000089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0.50000000000000155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A-42C1-8303-FAF66047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31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586740</xdr:colOff>
      <xdr:row>27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24" customWidth="1"/>
    <col min="2" max="2" width="120" customWidth="1"/>
  </cols>
  <sheetData>
    <row r="1" spans="1:8" ht="17.399999999999999" customHeight="1" x14ac:dyDescent="0.3">
      <c r="A1" s="32" t="s">
        <v>31</v>
      </c>
      <c r="B1" s="28"/>
      <c r="C1" s="28"/>
      <c r="D1" s="28"/>
      <c r="E1" s="28"/>
      <c r="F1" s="28"/>
      <c r="G1" s="28"/>
      <c r="H1" s="28"/>
    </row>
    <row r="3" spans="1:8" x14ac:dyDescent="0.3">
      <c r="A3" s="1" t="s">
        <v>32</v>
      </c>
      <c r="B3" s="2" t="s">
        <v>33</v>
      </c>
    </row>
    <row r="4" spans="1:8" ht="28.8" customHeight="1" x14ac:dyDescent="0.3">
      <c r="A4" s="1" t="s">
        <v>34</v>
      </c>
      <c r="B4" s="2" t="s">
        <v>35</v>
      </c>
    </row>
    <row r="5" spans="1:8" x14ac:dyDescent="0.3">
      <c r="A5" s="1" t="s">
        <v>36</v>
      </c>
      <c r="B5" s="2" t="s">
        <v>37</v>
      </c>
    </row>
    <row r="6" spans="1:8" x14ac:dyDescent="0.3">
      <c r="A6" s="1" t="s">
        <v>38</v>
      </c>
      <c r="B6" s="2" t="s">
        <v>39</v>
      </c>
    </row>
    <row r="7" spans="1:8" ht="28.8" customHeight="1" x14ac:dyDescent="0.3">
      <c r="A7" s="1" t="s">
        <v>40</v>
      </c>
      <c r="B7" s="2" t="s">
        <v>41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workbookViewId="0">
      <selection activeCell="E8" sqref="E8"/>
    </sheetView>
  </sheetViews>
  <sheetFormatPr defaultRowHeight="14.4" x14ac:dyDescent="0.3"/>
  <cols>
    <col min="1" max="2" width="18" customWidth="1"/>
    <col min="3" max="3" width="10" customWidth="1"/>
    <col min="4" max="4" width="12" customWidth="1"/>
    <col min="5" max="5" width="28" customWidth="1"/>
    <col min="6" max="6" width="16" customWidth="1"/>
    <col min="7" max="7" width="10" customWidth="1"/>
  </cols>
  <sheetData>
    <row r="1" spans="1:7" ht="24" customHeight="1" x14ac:dyDescent="0.3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</row>
    <row r="2" spans="1:7" x14ac:dyDescent="0.3">
      <c r="A2" s="4" t="s">
        <v>49</v>
      </c>
      <c r="B2" s="4" t="s">
        <v>50</v>
      </c>
      <c r="C2" s="4" t="s">
        <v>17</v>
      </c>
      <c r="D2" s="4" t="s">
        <v>26</v>
      </c>
      <c r="E2" s="4" t="s">
        <v>51</v>
      </c>
      <c r="F2" s="4" t="s">
        <v>52</v>
      </c>
      <c r="G2" s="4">
        <v>1</v>
      </c>
    </row>
    <row r="3" spans="1:7" x14ac:dyDescent="0.3">
      <c r="A3" s="4" t="s">
        <v>53</v>
      </c>
      <c r="B3" s="4" t="s">
        <v>54</v>
      </c>
      <c r="C3" s="4" t="s">
        <v>21</v>
      </c>
      <c r="D3" s="4" t="s">
        <v>18</v>
      </c>
      <c r="E3" s="4" t="s">
        <v>55</v>
      </c>
      <c r="F3" s="4" t="s">
        <v>56</v>
      </c>
      <c r="G3" s="4">
        <v>2</v>
      </c>
    </row>
    <row r="4" spans="1:7" x14ac:dyDescent="0.3">
      <c r="A4" s="4" t="s">
        <v>57</v>
      </c>
      <c r="B4" s="4" t="s">
        <v>58</v>
      </c>
      <c r="C4" s="4" t="s">
        <v>23</v>
      </c>
      <c r="D4" s="4" t="s">
        <v>22</v>
      </c>
      <c r="E4" s="4" t="s">
        <v>19</v>
      </c>
      <c r="F4" s="4" t="s">
        <v>59</v>
      </c>
      <c r="G4" s="4">
        <v>3</v>
      </c>
    </row>
    <row r="5" spans="1:7" x14ac:dyDescent="0.3">
      <c r="A5" s="4" t="s">
        <v>60</v>
      </c>
      <c r="B5" s="4" t="s">
        <v>61</v>
      </c>
      <c r="C5" s="4" t="s">
        <v>25</v>
      </c>
      <c r="D5" s="4" t="s">
        <v>24</v>
      </c>
      <c r="E5" s="4" t="s">
        <v>62</v>
      </c>
      <c r="G5" s="4">
        <v>4</v>
      </c>
    </row>
    <row r="6" spans="1:7" x14ac:dyDescent="0.3">
      <c r="B6" s="4" t="s">
        <v>63</v>
      </c>
      <c r="E6" s="4" t="s">
        <v>64</v>
      </c>
      <c r="G6" s="4">
        <v>5</v>
      </c>
    </row>
    <row r="7" spans="1:7" x14ac:dyDescent="0.3">
      <c r="E7" s="4" t="s">
        <v>30</v>
      </c>
      <c r="G7" s="4">
        <v>6</v>
      </c>
    </row>
    <row r="8" spans="1:7" x14ac:dyDescent="0.3">
      <c r="E8" s="4" t="s">
        <v>29</v>
      </c>
      <c r="G8" s="4">
        <v>7</v>
      </c>
    </row>
    <row r="9" spans="1:7" x14ac:dyDescent="0.3">
      <c r="E9" s="4" t="s">
        <v>65</v>
      </c>
      <c r="G9" s="4">
        <v>8</v>
      </c>
    </row>
    <row r="10" spans="1:7" x14ac:dyDescent="0.3">
      <c r="E10" s="4" t="s">
        <v>28</v>
      </c>
      <c r="G10" s="4">
        <v>9</v>
      </c>
    </row>
    <row r="11" spans="1:7" x14ac:dyDescent="0.3">
      <c r="G11" s="4">
        <v>10</v>
      </c>
    </row>
    <row r="12" spans="1:7" x14ac:dyDescent="0.3">
      <c r="G12" s="4">
        <v>11</v>
      </c>
    </row>
    <row r="13" spans="1:7" x14ac:dyDescent="0.3">
      <c r="G13" s="4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8"/>
  <sheetViews>
    <sheetView tabSelected="1" topLeftCell="E1" workbookViewId="0">
      <pane ySplit="1" topLeftCell="A2" activePane="bottomLeft" state="frozen"/>
      <selection pane="bottomLeft" activeCell="N15" sqref="N15:O15"/>
    </sheetView>
  </sheetViews>
  <sheetFormatPr defaultRowHeight="14.4" x14ac:dyDescent="0.3"/>
  <cols>
    <col min="1" max="1" width="16" customWidth="1"/>
    <col min="2" max="2" width="24" customWidth="1"/>
    <col min="3" max="5" width="14" customWidth="1"/>
    <col min="6" max="6" width="12" customWidth="1"/>
    <col min="7" max="7" width="20" customWidth="1"/>
    <col min="8" max="8" width="22" customWidth="1"/>
    <col min="9" max="10" width="12" customWidth="1"/>
    <col min="11" max="11" width="18" customWidth="1"/>
    <col min="12" max="12" width="12" customWidth="1"/>
    <col min="13" max="13" width="16" customWidth="1"/>
    <col min="14" max="14" width="20" customWidth="1"/>
    <col min="15" max="15" width="18" customWidth="1"/>
    <col min="16" max="16" width="36.6640625" bestFit="1" customWidth="1"/>
  </cols>
  <sheetData>
    <row r="1" spans="1:16" ht="24" customHeight="1" x14ac:dyDescent="0.3">
      <c r="A1" s="3" t="s">
        <v>0</v>
      </c>
      <c r="B1" s="5" t="s">
        <v>66</v>
      </c>
      <c r="C1" s="3" t="s">
        <v>67</v>
      </c>
      <c r="D1" s="3" t="s">
        <v>68</v>
      </c>
      <c r="E1" s="3" t="s">
        <v>52</v>
      </c>
      <c r="F1" s="3" t="s">
        <v>69</v>
      </c>
      <c r="G1" s="3" t="s">
        <v>70</v>
      </c>
      <c r="H1" s="3" t="s">
        <v>71</v>
      </c>
      <c r="I1" s="5" t="s">
        <v>72</v>
      </c>
      <c r="J1" s="5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15</v>
      </c>
    </row>
    <row r="2" spans="1:16" x14ac:dyDescent="0.3">
      <c r="A2" s="6" t="s">
        <v>16</v>
      </c>
      <c r="B2" s="7" t="s">
        <v>79</v>
      </c>
      <c r="C2" s="6">
        <v>9735115</v>
      </c>
      <c r="D2" s="6" t="s">
        <v>80</v>
      </c>
      <c r="E2" s="6" t="s">
        <v>49</v>
      </c>
      <c r="F2" s="6" t="s">
        <v>50</v>
      </c>
      <c r="G2" s="6" t="s">
        <v>81</v>
      </c>
      <c r="H2" s="6" t="s">
        <v>82</v>
      </c>
      <c r="I2" s="7">
        <v>46198</v>
      </c>
      <c r="J2" s="7">
        <v>46203</v>
      </c>
      <c r="K2" s="8">
        <v>61027</v>
      </c>
      <c r="L2" s="6">
        <v>5</v>
      </c>
      <c r="M2" s="6" t="s">
        <v>52</v>
      </c>
      <c r="N2" s="8">
        <v>550</v>
      </c>
      <c r="O2" s="8">
        <v>12000</v>
      </c>
      <c r="P2" s="6"/>
    </row>
    <row r="3" spans="1:16" x14ac:dyDescent="0.3">
      <c r="A3" s="6" t="s">
        <v>27</v>
      </c>
      <c r="B3" s="7" t="s">
        <v>83</v>
      </c>
      <c r="C3" s="6">
        <v>9450806</v>
      </c>
      <c r="D3" s="6" t="s">
        <v>84</v>
      </c>
      <c r="E3" s="6" t="s">
        <v>49</v>
      </c>
      <c r="F3" s="6" t="s">
        <v>58</v>
      </c>
      <c r="G3" s="6" t="s">
        <v>85</v>
      </c>
      <c r="H3" s="6" t="s">
        <v>82</v>
      </c>
      <c r="I3" s="7">
        <v>46211</v>
      </c>
      <c r="J3" s="7">
        <v>46212</v>
      </c>
      <c r="K3" s="8">
        <v>10600</v>
      </c>
      <c r="L3" s="6">
        <v>2</v>
      </c>
      <c r="M3" s="6" t="s">
        <v>56</v>
      </c>
      <c r="N3" s="8">
        <v>350</v>
      </c>
      <c r="O3" s="8">
        <v>10600</v>
      </c>
      <c r="P3" s="6"/>
    </row>
    <row r="4" spans="1:16" x14ac:dyDescent="0.3">
      <c r="A4" s="6" t="s">
        <v>221</v>
      </c>
      <c r="B4" s="7" t="s">
        <v>222</v>
      </c>
      <c r="C4" s="6">
        <v>9738961</v>
      </c>
      <c r="D4" s="6" t="s">
        <v>84</v>
      </c>
      <c r="E4" s="6" t="s">
        <v>49</v>
      </c>
      <c r="F4" s="6" t="s">
        <v>58</v>
      </c>
      <c r="G4" s="6" t="s">
        <v>223</v>
      </c>
      <c r="H4" s="6" t="s">
        <v>82</v>
      </c>
      <c r="I4" s="7">
        <v>46237</v>
      </c>
      <c r="J4" s="7">
        <v>46242</v>
      </c>
      <c r="K4" s="8">
        <v>44031.65</v>
      </c>
      <c r="L4" s="6">
        <v>4</v>
      </c>
      <c r="M4" s="6" t="s">
        <v>52</v>
      </c>
      <c r="N4" s="8">
        <v>400</v>
      </c>
      <c r="O4" s="8">
        <v>8000</v>
      </c>
      <c r="P4" s="6"/>
    </row>
    <row r="5" spans="1:16" x14ac:dyDescent="0.3">
      <c r="A5" s="6"/>
      <c r="B5" s="7"/>
      <c r="C5" s="6"/>
      <c r="D5" s="6"/>
      <c r="E5" s="6"/>
      <c r="F5" s="6"/>
      <c r="G5" s="6"/>
      <c r="H5" s="6"/>
      <c r="I5" s="7"/>
      <c r="J5" s="7"/>
      <c r="K5" s="8"/>
      <c r="L5" s="6"/>
      <c r="M5" s="6"/>
      <c r="N5" s="8"/>
      <c r="O5" s="8"/>
      <c r="P5" s="6"/>
    </row>
    <row r="6" spans="1:16" x14ac:dyDescent="0.3">
      <c r="A6" s="6"/>
      <c r="B6" s="7"/>
      <c r="C6" s="6"/>
      <c r="D6" s="6"/>
      <c r="E6" s="6"/>
      <c r="F6" s="6"/>
      <c r="G6" s="6"/>
      <c r="H6" s="6"/>
      <c r="I6" s="7"/>
      <c r="J6" s="7"/>
      <c r="K6" s="8"/>
      <c r="L6" s="6"/>
      <c r="M6" s="6"/>
      <c r="N6" s="8"/>
      <c r="O6" s="8"/>
      <c r="P6" s="6"/>
    </row>
    <row r="7" spans="1:16" x14ac:dyDescent="0.3">
      <c r="A7" s="6"/>
      <c r="B7" s="7"/>
      <c r="C7" s="6"/>
      <c r="D7" s="6"/>
      <c r="E7" s="6"/>
      <c r="F7" s="6"/>
      <c r="G7" s="6"/>
      <c r="H7" s="6"/>
      <c r="I7" s="7"/>
      <c r="J7" s="7"/>
      <c r="K7" s="8"/>
      <c r="L7" s="6"/>
      <c r="M7" s="6"/>
      <c r="N7" s="8"/>
      <c r="O7" s="8"/>
      <c r="P7" s="6"/>
    </row>
    <row r="8" spans="1:16" x14ac:dyDescent="0.3">
      <c r="A8" s="6"/>
      <c r="B8" s="7"/>
      <c r="C8" s="6"/>
      <c r="D8" s="6"/>
      <c r="E8" s="6"/>
      <c r="F8" s="6"/>
      <c r="G8" s="6"/>
      <c r="H8" s="6"/>
      <c r="I8" s="7"/>
      <c r="J8" s="7"/>
      <c r="K8" s="8"/>
      <c r="L8" s="6"/>
      <c r="M8" s="6"/>
      <c r="N8" s="8"/>
      <c r="O8" s="8"/>
      <c r="P8" s="6"/>
    </row>
    <row r="9" spans="1:16" x14ac:dyDescent="0.3">
      <c r="A9" s="6"/>
      <c r="B9" s="7"/>
      <c r="C9" s="6"/>
      <c r="D9" s="6"/>
      <c r="E9" s="6"/>
      <c r="F9" s="6"/>
      <c r="G9" s="6"/>
      <c r="H9" s="6"/>
      <c r="I9" s="7"/>
      <c r="J9" s="7"/>
      <c r="K9" s="8"/>
      <c r="L9" s="6"/>
      <c r="M9" s="6"/>
      <c r="N9" s="8"/>
      <c r="O9" s="8"/>
      <c r="P9" s="6"/>
    </row>
    <row r="10" spans="1:16" x14ac:dyDescent="0.3">
      <c r="A10" s="6"/>
      <c r="B10" s="7"/>
      <c r="C10" s="6"/>
      <c r="D10" s="6"/>
      <c r="E10" s="6"/>
      <c r="F10" s="6"/>
      <c r="G10" s="6"/>
      <c r="H10" s="6"/>
      <c r="I10" s="7"/>
      <c r="J10" s="7"/>
      <c r="K10" s="8"/>
      <c r="L10" s="6"/>
      <c r="M10" s="6"/>
      <c r="N10" s="8"/>
      <c r="O10" s="8"/>
      <c r="P10" s="6"/>
    </row>
    <row r="11" spans="1:16" x14ac:dyDescent="0.3">
      <c r="A11" s="6"/>
      <c r="B11" s="7"/>
      <c r="C11" s="6"/>
      <c r="D11" s="6"/>
      <c r="E11" s="6"/>
      <c r="F11" s="6"/>
      <c r="G11" s="6"/>
      <c r="H11" s="6"/>
      <c r="I11" s="7"/>
      <c r="J11" s="7"/>
      <c r="K11" s="8"/>
      <c r="L11" s="6"/>
      <c r="M11" s="6"/>
      <c r="N11" s="8"/>
      <c r="O11" s="8"/>
      <c r="P11" s="6"/>
    </row>
    <row r="12" spans="1:16" x14ac:dyDescent="0.3">
      <c r="A12" s="6"/>
      <c r="B12" s="7"/>
      <c r="C12" s="6"/>
      <c r="D12" s="6"/>
      <c r="E12" s="6"/>
      <c r="F12" s="6"/>
      <c r="G12" s="6"/>
      <c r="H12" s="6"/>
      <c r="I12" s="7"/>
      <c r="J12" s="7"/>
      <c r="K12" s="8"/>
      <c r="L12" s="6"/>
      <c r="M12" s="6"/>
      <c r="N12" s="8"/>
      <c r="O12" s="8"/>
      <c r="P12" s="6"/>
    </row>
    <row r="13" spans="1:16" x14ac:dyDescent="0.3">
      <c r="A13" s="6"/>
      <c r="B13" s="7"/>
      <c r="C13" s="6"/>
      <c r="D13" s="6"/>
      <c r="E13" s="6"/>
      <c r="F13" s="6"/>
      <c r="G13" s="6"/>
      <c r="H13" s="6"/>
      <c r="I13" s="7"/>
      <c r="J13" s="7"/>
      <c r="K13" s="8"/>
      <c r="L13" s="6"/>
      <c r="M13" s="6"/>
      <c r="N13" s="8"/>
      <c r="O13" s="8"/>
      <c r="P13" s="6"/>
    </row>
    <row r="14" spans="1:16" x14ac:dyDescent="0.3">
      <c r="A14" s="6"/>
      <c r="B14" s="7"/>
      <c r="C14" s="6"/>
      <c r="D14" s="6"/>
      <c r="E14" s="6"/>
      <c r="F14" s="6"/>
      <c r="G14" s="6"/>
      <c r="H14" s="6"/>
      <c r="I14" s="7"/>
      <c r="J14" s="7"/>
      <c r="K14" s="8"/>
      <c r="L14" s="6"/>
      <c r="M14" s="6"/>
      <c r="N14" s="8"/>
      <c r="O14" s="8"/>
      <c r="P14" s="6"/>
    </row>
    <row r="15" spans="1:16" x14ac:dyDescent="0.3">
      <c r="A15" s="6"/>
      <c r="B15" s="7"/>
      <c r="C15" s="6"/>
      <c r="D15" s="6"/>
      <c r="E15" s="6"/>
      <c r="F15" s="6"/>
      <c r="G15" s="6"/>
      <c r="H15" s="6"/>
      <c r="I15" s="7"/>
      <c r="J15" s="7"/>
      <c r="K15" s="8"/>
      <c r="L15" s="6"/>
      <c r="M15" s="6"/>
      <c r="N15" s="8"/>
      <c r="O15" s="8"/>
      <c r="P15" s="6"/>
    </row>
    <row r="16" spans="1:16" x14ac:dyDescent="0.3">
      <c r="A16" s="6"/>
      <c r="B16" s="7"/>
      <c r="C16" s="6"/>
      <c r="D16" s="6"/>
      <c r="E16" s="6"/>
      <c r="F16" s="6"/>
      <c r="G16" s="6"/>
      <c r="H16" s="6"/>
      <c r="I16" s="7"/>
      <c r="J16" s="7"/>
      <c r="K16" s="8"/>
      <c r="L16" s="6"/>
      <c r="M16" s="6"/>
      <c r="N16" s="8"/>
      <c r="O16" s="8"/>
      <c r="P16" s="6"/>
    </row>
    <row r="17" spans="1:16" x14ac:dyDescent="0.3">
      <c r="A17" s="6"/>
      <c r="B17" s="7"/>
      <c r="C17" s="6"/>
      <c r="D17" s="6"/>
      <c r="E17" s="6"/>
      <c r="F17" s="6"/>
      <c r="G17" s="6"/>
      <c r="H17" s="6"/>
      <c r="I17" s="7"/>
      <c r="J17" s="7"/>
      <c r="K17" s="8"/>
      <c r="L17" s="6"/>
      <c r="M17" s="6"/>
      <c r="N17" s="8"/>
      <c r="O17" s="8"/>
      <c r="P17" s="6"/>
    </row>
    <row r="18" spans="1:16" x14ac:dyDescent="0.3">
      <c r="A18" s="6"/>
      <c r="B18" s="7"/>
      <c r="C18" s="6"/>
      <c r="D18" s="6"/>
      <c r="E18" s="6"/>
      <c r="F18" s="6"/>
      <c r="G18" s="6"/>
      <c r="H18" s="6"/>
      <c r="I18" s="7"/>
      <c r="J18" s="7"/>
      <c r="K18" s="8"/>
      <c r="L18" s="6"/>
      <c r="M18" s="6"/>
      <c r="N18" s="8"/>
      <c r="O18" s="8"/>
      <c r="P18" s="6"/>
    </row>
    <row r="19" spans="1:16" x14ac:dyDescent="0.3">
      <c r="A19" s="6"/>
      <c r="B19" s="7"/>
      <c r="C19" s="6"/>
      <c r="D19" s="6"/>
      <c r="E19" s="6"/>
      <c r="F19" s="6"/>
      <c r="G19" s="6"/>
      <c r="H19" s="6"/>
      <c r="I19" s="7"/>
      <c r="J19" s="7"/>
      <c r="K19" s="8"/>
      <c r="L19" s="6"/>
      <c r="M19" s="6"/>
      <c r="N19" s="8"/>
      <c r="O19" s="8"/>
      <c r="P19" s="6"/>
    </row>
    <row r="20" spans="1:16" x14ac:dyDescent="0.3">
      <c r="A20" s="6"/>
      <c r="B20" s="7"/>
      <c r="C20" s="6"/>
      <c r="D20" s="6"/>
      <c r="E20" s="6"/>
      <c r="F20" s="6"/>
      <c r="G20" s="6"/>
      <c r="H20" s="6"/>
      <c r="I20" s="7"/>
      <c r="J20" s="7"/>
      <c r="K20" s="8"/>
      <c r="L20" s="6"/>
      <c r="M20" s="6"/>
      <c r="N20" s="8"/>
      <c r="O20" s="8"/>
      <c r="P20" s="6"/>
    </row>
    <row r="21" spans="1:16" x14ac:dyDescent="0.3">
      <c r="A21" s="6"/>
      <c r="B21" s="7"/>
      <c r="C21" s="6"/>
      <c r="D21" s="6"/>
      <c r="E21" s="6"/>
      <c r="F21" s="6"/>
      <c r="G21" s="6"/>
      <c r="H21" s="6"/>
      <c r="I21" s="7"/>
      <c r="J21" s="7"/>
      <c r="K21" s="8"/>
      <c r="L21" s="6"/>
      <c r="M21" s="6"/>
      <c r="N21" s="8"/>
      <c r="O21" s="8"/>
      <c r="P21" s="6"/>
    </row>
    <row r="22" spans="1:16" x14ac:dyDescent="0.3">
      <c r="A22" s="6"/>
      <c r="B22" s="7"/>
      <c r="C22" s="6"/>
      <c r="D22" s="6"/>
      <c r="E22" s="6"/>
      <c r="F22" s="6"/>
      <c r="G22" s="6"/>
      <c r="H22" s="6"/>
      <c r="I22" s="7"/>
      <c r="J22" s="7"/>
      <c r="K22" s="8"/>
      <c r="L22" s="6"/>
      <c r="M22" s="6"/>
      <c r="N22" s="8"/>
      <c r="O22" s="8"/>
      <c r="P22" s="6"/>
    </row>
    <row r="23" spans="1:16" x14ac:dyDescent="0.3">
      <c r="A23" s="6"/>
      <c r="B23" s="7"/>
      <c r="C23" s="6"/>
      <c r="D23" s="6"/>
      <c r="E23" s="6"/>
      <c r="F23" s="6"/>
      <c r="G23" s="6"/>
      <c r="H23" s="6"/>
      <c r="I23" s="7"/>
      <c r="J23" s="7"/>
      <c r="K23" s="8"/>
      <c r="L23" s="6"/>
      <c r="M23" s="6"/>
      <c r="N23" s="8"/>
      <c r="O23" s="8"/>
      <c r="P23" s="6"/>
    </row>
    <row r="24" spans="1:16" x14ac:dyDescent="0.3">
      <c r="A24" s="6"/>
      <c r="B24" s="7"/>
      <c r="C24" s="6"/>
      <c r="D24" s="6"/>
      <c r="E24" s="6"/>
      <c r="F24" s="6"/>
      <c r="G24" s="6"/>
      <c r="H24" s="6"/>
      <c r="I24" s="7"/>
      <c r="J24" s="7"/>
      <c r="K24" s="8"/>
      <c r="L24" s="6"/>
      <c r="M24" s="6"/>
      <c r="N24" s="8"/>
      <c r="O24" s="8"/>
      <c r="P24" s="6"/>
    </row>
    <row r="25" spans="1:16" x14ac:dyDescent="0.3">
      <c r="A25" s="6"/>
      <c r="B25" s="7"/>
      <c r="C25" s="6"/>
      <c r="D25" s="6"/>
      <c r="E25" s="6"/>
      <c r="F25" s="6"/>
      <c r="G25" s="6"/>
      <c r="H25" s="6"/>
      <c r="I25" s="7"/>
      <c r="J25" s="7"/>
      <c r="K25" s="8"/>
      <c r="L25" s="6"/>
      <c r="M25" s="6"/>
      <c r="N25" s="8"/>
      <c r="O25" s="8"/>
      <c r="P25" s="6"/>
    </row>
    <row r="26" spans="1:16" x14ac:dyDescent="0.3">
      <c r="A26" s="6"/>
      <c r="B26" s="7"/>
      <c r="C26" s="6"/>
      <c r="D26" s="6"/>
      <c r="E26" s="6"/>
      <c r="F26" s="6"/>
      <c r="G26" s="6"/>
      <c r="H26" s="6"/>
      <c r="I26" s="7"/>
      <c r="J26" s="7"/>
      <c r="K26" s="8"/>
      <c r="L26" s="6"/>
      <c r="M26" s="6"/>
      <c r="N26" s="8"/>
      <c r="O26" s="8"/>
      <c r="P26" s="6"/>
    </row>
    <row r="27" spans="1:16" x14ac:dyDescent="0.3">
      <c r="A27" s="6"/>
      <c r="B27" s="7"/>
      <c r="C27" s="6"/>
      <c r="D27" s="6"/>
      <c r="E27" s="6"/>
      <c r="F27" s="6"/>
      <c r="G27" s="6"/>
      <c r="H27" s="6"/>
      <c r="I27" s="7"/>
      <c r="J27" s="7"/>
      <c r="K27" s="8"/>
      <c r="L27" s="6"/>
      <c r="M27" s="6"/>
      <c r="N27" s="8"/>
      <c r="O27" s="8"/>
      <c r="P27" s="6"/>
    </row>
    <row r="28" spans="1:16" x14ac:dyDescent="0.3">
      <c r="A28" s="6"/>
      <c r="B28" s="7"/>
      <c r="C28" s="6"/>
      <c r="D28" s="6"/>
      <c r="E28" s="6"/>
      <c r="F28" s="6"/>
      <c r="G28" s="6"/>
      <c r="H28" s="6"/>
      <c r="I28" s="7"/>
      <c r="J28" s="7"/>
      <c r="K28" s="8"/>
      <c r="L28" s="6"/>
      <c r="M28" s="6"/>
      <c r="N28" s="8"/>
      <c r="O28" s="8"/>
      <c r="P28" s="6"/>
    </row>
    <row r="29" spans="1:16" x14ac:dyDescent="0.3">
      <c r="A29" s="6"/>
      <c r="B29" s="7"/>
      <c r="C29" s="6"/>
      <c r="D29" s="6"/>
      <c r="E29" s="6"/>
      <c r="F29" s="6"/>
      <c r="G29" s="6"/>
      <c r="H29" s="6"/>
      <c r="I29" s="7"/>
      <c r="J29" s="7"/>
      <c r="K29" s="8"/>
      <c r="L29" s="6"/>
      <c r="M29" s="6"/>
      <c r="N29" s="8"/>
      <c r="O29" s="8"/>
      <c r="P29" s="6"/>
    </row>
    <row r="30" spans="1:16" x14ac:dyDescent="0.3">
      <c r="A30" s="6"/>
      <c r="B30" s="7"/>
      <c r="C30" s="6"/>
      <c r="D30" s="6"/>
      <c r="E30" s="6"/>
      <c r="F30" s="6"/>
      <c r="G30" s="6"/>
      <c r="H30" s="6"/>
      <c r="I30" s="7"/>
      <c r="J30" s="7"/>
      <c r="K30" s="8"/>
      <c r="L30" s="6"/>
      <c r="M30" s="6"/>
      <c r="N30" s="8"/>
      <c r="O30" s="8"/>
      <c r="P30" s="6"/>
    </row>
    <row r="31" spans="1:16" x14ac:dyDescent="0.3">
      <c r="A31" s="6"/>
      <c r="B31" s="7"/>
      <c r="C31" s="6"/>
      <c r="D31" s="6"/>
      <c r="E31" s="6"/>
      <c r="F31" s="6"/>
      <c r="G31" s="6"/>
      <c r="H31" s="6"/>
      <c r="I31" s="7"/>
      <c r="J31" s="7"/>
      <c r="K31" s="8"/>
      <c r="L31" s="6"/>
      <c r="M31" s="6"/>
      <c r="N31" s="8"/>
      <c r="O31" s="8"/>
      <c r="P31" s="6"/>
    </row>
    <row r="32" spans="1:16" x14ac:dyDescent="0.3">
      <c r="A32" s="6"/>
      <c r="B32" s="7"/>
      <c r="C32" s="6"/>
      <c r="D32" s="6"/>
      <c r="E32" s="6"/>
      <c r="F32" s="6"/>
      <c r="G32" s="6"/>
      <c r="H32" s="6"/>
      <c r="I32" s="7"/>
      <c r="J32" s="7"/>
      <c r="K32" s="8"/>
      <c r="L32" s="6"/>
      <c r="M32" s="6"/>
      <c r="N32" s="8"/>
      <c r="O32" s="8"/>
      <c r="P32" s="6"/>
    </row>
    <row r="33" spans="1:16" x14ac:dyDescent="0.3">
      <c r="A33" s="6"/>
      <c r="B33" s="7"/>
      <c r="C33" s="6"/>
      <c r="D33" s="6"/>
      <c r="E33" s="6"/>
      <c r="F33" s="6"/>
      <c r="G33" s="6"/>
      <c r="H33" s="6"/>
      <c r="I33" s="7"/>
      <c r="J33" s="7"/>
      <c r="K33" s="8"/>
      <c r="L33" s="6"/>
      <c r="M33" s="6"/>
      <c r="N33" s="8"/>
      <c r="O33" s="8"/>
      <c r="P33" s="6"/>
    </row>
    <row r="34" spans="1:16" x14ac:dyDescent="0.3">
      <c r="A34" s="6"/>
      <c r="B34" s="7"/>
      <c r="C34" s="6"/>
      <c r="D34" s="6"/>
      <c r="E34" s="6"/>
      <c r="F34" s="6"/>
      <c r="G34" s="6"/>
      <c r="H34" s="6"/>
      <c r="I34" s="7"/>
      <c r="J34" s="7"/>
      <c r="K34" s="8"/>
      <c r="L34" s="6"/>
      <c r="M34" s="6"/>
      <c r="N34" s="8"/>
      <c r="O34" s="8"/>
      <c r="P34" s="6"/>
    </row>
    <row r="35" spans="1:16" x14ac:dyDescent="0.3">
      <c r="A35" s="6"/>
      <c r="B35" s="7"/>
      <c r="C35" s="6"/>
      <c r="D35" s="6"/>
      <c r="E35" s="6"/>
      <c r="F35" s="6"/>
      <c r="G35" s="6"/>
      <c r="H35" s="6"/>
      <c r="I35" s="7"/>
      <c r="J35" s="7"/>
      <c r="K35" s="8"/>
      <c r="L35" s="6"/>
      <c r="M35" s="6"/>
      <c r="N35" s="8"/>
      <c r="O35" s="8"/>
      <c r="P35" s="6"/>
    </row>
    <row r="36" spans="1:16" x14ac:dyDescent="0.3">
      <c r="A36" s="6"/>
      <c r="B36" s="7"/>
      <c r="C36" s="6"/>
      <c r="D36" s="6"/>
      <c r="E36" s="6"/>
      <c r="F36" s="6"/>
      <c r="G36" s="6"/>
      <c r="H36" s="6"/>
      <c r="I36" s="7"/>
      <c r="J36" s="7"/>
      <c r="K36" s="8"/>
      <c r="L36" s="6"/>
      <c r="M36" s="6"/>
      <c r="N36" s="8"/>
      <c r="O36" s="8"/>
      <c r="P36" s="6"/>
    </row>
    <row r="37" spans="1:16" x14ac:dyDescent="0.3">
      <c r="A37" s="6"/>
      <c r="B37" s="7"/>
      <c r="C37" s="6"/>
      <c r="D37" s="6"/>
      <c r="E37" s="6"/>
      <c r="F37" s="6"/>
      <c r="G37" s="6"/>
      <c r="H37" s="6"/>
      <c r="I37" s="7"/>
      <c r="J37" s="7"/>
      <c r="K37" s="8"/>
      <c r="L37" s="6"/>
      <c r="M37" s="6"/>
      <c r="N37" s="8"/>
      <c r="O37" s="8"/>
      <c r="P37" s="6"/>
    </row>
    <row r="38" spans="1:16" x14ac:dyDescent="0.3">
      <c r="A38" s="6"/>
      <c r="B38" s="7"/>
      <c r="C38" s="6"/>
      <c r="D38" s="6"/>
      <c r="E38" s="6"/>
      <c r="F38" s="6"/>
      <c r="G38" s="6"/>
      <c r="H38" s="6"/>
      <c r="I38" s="7"/>
      <c r="J38" s="7"/>
      <c r="K38" s="8"/>
      <c r="L38" s="6"/>
      <c r="M38" s="6"/>
      <c r="N38" s="8"/>
      <c r="O38" s="8"/>
      <c r="P38" s="6"/>
    </row>
    <row r="39" spans="1:16" x14ac:dyDescent="0.3">
      <c r="A39" s="6"/>
      <c r="B39" s="7"/>
      <c r="C39" s="6"/>
      <c r="D39" s="6"/>
      <c r="E39" s="6"/>
      <c r="F39" s="6"/>
      <c r="G39" s="6"/>
      <c r="H39" s="6"/>
      <c r="I39" s="7"/>
      <c r="J39" s="7"/>
      <c r="K39" s="8"/>
      <c r="L39" s="6"/>
      <c r="M39" s="6"/>
      <c r="N39" s="8"/>
      <c r="O39" s="8"/>
      <c r="P39" s="6"/>
    </row>
    <row r="40" spans="1:16" x14ac:dyDescent="0.3">
      <c r="A40" s="6"/>
      <c r="B40" s="7"/>
      <c r="C40" s="6"/>
      <c r="D40" s="6"/>
      <c r="E40" s="6"/>
      <c r="F40" s="6"/>
      <c r="G40" s="6"/>
      <c r="H40" s="6"/>
      <c r="I40" s="7"/>
      <c r="J40" s="7"/>
      <c r="K40" s="8"/>
      <c r="L40" s="6"/>
      <c r="M40" s="6"/>
      <c r="N40" s="8"/>
      <c r="O40" s="8"/>
      <c r="P40" s="6"/>
    </row>
    <row r="41" spans="1:16" x14ac:dyDescent="0.3">
      <c r="A41" s="6"/>
      <c r="B41" s="7"/>
      <c r="C41" s="6"/>
      <c r="D41" s="6"/>
      <c r="E41" s="6"/>
      <c r="F41" s="6"/>
      <c r="G41" s="6"/>
      <c r="H41" s="6"/>
      <c r="I41" s="7"/>
      <c r="J41" s="7"/>
      <c r="K41" s="8"/>
      <c r="L41" s="6"/>
      <c r="M41" s="6"/>
      <c r="N41" s="8"/>
      <c r="O41" s="8"/>
      <c r="P41" s="6"/>
    </row>
    <row r="42" spans="1:16" x14ac:dyDescent="0.3">
      <c r="A42" s="6"/>
      <c r="B42" s="7"/>
      <c r="C42" s="6"/>
      <c r="D42" s="6"/>
      <c r="E42" s="6"/>
      <c r="F42" s="6"/>
      <c r="G42" s="6"/>
      <c r="H42" s="6"/>
      <c r="I42" s="7"/>
      <c r="J42" s="7"/>
      <c r="K42" s="8"/>
      <c r="L42" s="6"/>
      <c r="M42" s="6"/>
      <c r="N42" s="8"/>
      <c r="O42" s="8"/>
      <c r="P42" s="6"/>
    </row>
    <row r="43" spans="1:16" x14ac:dyDescent="0.3">
      <c r="A43" s="6"/>
      <c r="B43" s="7"/>
      <c r="C43" s="6"/>
      <c r="D43" s="6"/>
      <c r="E43" s="6"/>
      <c r="F43" s="6"/>
      <c r="G43" s="6"/>
      <c r="H43" s="6"/>
      <c r="I43" s="7"/>
      <c r="J43" s="7"/>
      <c r="K43" s="8"/>
      <c r="L43" s="6"/>
      <c r="M43" s="6"/>
      <c r="N43" s="8"/>
      <c r="O43" s="8"/>
      <c r="P43" s="6"/>
    </row>
    <row r="44" spans="1:16" x14ac:dyDescent="0.3">
      <c r="A44" s="6"/>
      <c r="B44" s="7"/>
      <c r="C44" s="6"/>
      <c r="D44" s="6"/>
      <c r="E44" s="6"/>
      <c r="F44" s="6"/>
      <c r="G44" s="6"/>
      <c r="H44" s="6"/>
      <c r="I44" s="7"/>
      <c r="J44" s="7"/>
      <c r="K44" s="8"/>
      <c r="L44" s="6"/>
      <c r="M44" s="6"/>
      <c r="N44" s="8"/>
      <c r="O44" s="8"/>
      <c r="P44" s="6"/>
    </row>
    <row r="45" spans="1:16" x14ac:dyDescent="0.3">
      <c r="A45" s="6"/>
      <c r="B45" s="7"/>
      <c r="C45" s="6"/>
      <c r="D45" s="6"/>
      <c r="E45" s="6"/>
      <c r="F45" s="6"/>
      <c r="G45" s="6"/>
      <c r="H45" s="6"/>
      <c r="I45" s="7"/>
      <c r="J45" s="7"/>
      <c r="K45" s="8"/>
      <c r="L45" s="6"/>
      <c r="M45" s="6"/>
      <c r="N45" s="8"/>
      <c r="O45" s="8"/>
      <c r="P45" s="6"/>
    </row>
    <row r="46" spans="1:16" x14ac:dyDescent="0.3">
      <c r="A46" s="6"/>
      <c r="B46" s="7"/>
      <c r="C46" s="6"/>
      <c r="D46" s="6"/>
      <c r="E46" s="6"/>
      <c r="F46" s="6"/>
      <c r="G46" s="6"/>
      <c r="H46" s="6"/>
      <c r="I46" s="7"/>
      <c r="J46" s="7"/>
      <c r="K46" s="8"/>
      <c r="L46" s="6"/>
      <c r="M46" s="6"/>
      <c r="N46" s="8"/>
      <c r="O46" s="8"/>
      <c r="P46" s="6"/>
    </row>
    <row r="47" spans="1:16" x14ac:dyDescent="0.3">
      <c r="A47" s="6"/>
      <c r="B47" s="7"/>
      <c r="C47" s="6"/>
      <c r="D47" s="6"/>
      <c r="E47" s="6"/>
      <c r="F47" s="6"/>
      <c r="G47" s="6"/>
      <c r="H47" s="6"/>
      <c r="I47" s="7"/>
      <c r="J47" s="7"/>
      <c r="K47" s="8"/>
      <c r="L47" s="6"/>
      <c r="M47" s="6"/>
      <c r="N47" s="8"/>
      <c r="O47" s="8"/>
      <c r="P47" s="6"/>
    </row>
    <row r="48" spans="1:16" x14ac:dyDescent="0.3">
      <c r="A48" s="6"/>
      <c r="B48" s="7"/>
      <c r="C48" s="6"/>
      <c r="D48" s="6"/>
      <c r="E48" s="6"/>
      <c r="F48" s="6"/>
      <c r="G48" s="6"/>
      <c r="H48" s="6"/>
      <c r="I48" s="7"/>
      <c r="J48" s="7"/>
      <c r="K48" s="8"/>
      <c r="L48" s="6"/>
      <c r="M48" s="6"/>
      <c r="N48" s="8"/>
      <c r="O48" s="8"/>
      <c r="P48" s="6"/>
    </row>
    <row r="49" spans="1:16" x14ac:dyDescent="0.3">
      <c r="A49" s="6"/>
      <c r="B49" s="7"/>
      <c r="C49" s="6"/>
      <c r="D49" s="6"/>
      <c r="E49" s="6"/>
      <c r="F49" s="6"/>
      <c r="G49" s="6"/>
      <c r="H49" s="6"/>
      <c r="I49" s="7"/>
      <c r="J49" s="7"/>
      <c r="K49" s="8"/>
      <c r="L49" s="6"/>
      <c r="M49" s="6"/>
      <c r="N49" s="8"/>
      <c r="O49" s="8"/>
      <c r="P49" s="6"/>
    </row>
    <row r="50" spans="1:16" x14ac:dyDescent="0.3">
      <c r="A50" s="6"/>
      <c r="B50" s="7"/>
      <c r="C50" s="6"/>
      <c r="D50" s="6"/>
      <c r="E50" s="6"/>
      <c r="F50" s="6"/>
      <c r="G50" s="6"/>
      <c r="H50" s="6"/>
      <c r="I50" s="7"/>
      <c r="J50" s="7"/>
      <c r="K50" s="8"/>
      <c r="L50" s="6"/>
      <c r="M50" s="6"/>
      <c r="N50" s="8"/>
      <c r="O50" s="8"/>
      <c r="P50" s="6"/>
    </row>
    <row r="51" spans="1:16" x14ac:dyDescent="0.3">
      <c r="A51" s="6"/>
      <c r="B51" s="7"/>
      <c r="C51" s="6"/>
      <c r="D51" s="6"/>
      <c r="E51" s="6"/>
      <c r="F51" s="6"/>
      <c r="G51" s="6"/>
      <c r="H51" s="6"/>
      <c r="I51" s="7"/>
      <c r="J51" s="7"/>
      <c r="K51" s="8"/>
      <c r="L51" s="6"/>
      <c r="M51" s="6"/>
      <c r="N51" s="8"/>
      <c r="O51" s="8"/>
      <c r="P51" s="6"/>
    </row>
    <row r="52" spans="1:16" x14ac:dyDescent="0.3">
      <c r="A52" s="6"/>
      <c r="B52" s="7"/>
      <c r="C52" s="6"/>
      <c r="D52" s="6"/>
      <c r="E52" s="6"/>
      <c r="F52" s="6"/>
      <c r="G52" s="6"/>
      <c r="H52" s="6"/>
      <c r="I52" s="7"/>
      <c r="J52" s="7"/>
      <c r="K52" s="8"/>
      <c r="L52" s="6"/>
      <c r="M52" s="6"/>
      <c r="N52" s="8"/>
      <c r="O52" s="8"/>
      <c r="P52" s="6"/>
    </row>
    <row r="53" spans="1:16" x14ac:dyDescent="0.3">
      <c r="A53" s="6"/>
      <c r="B53" s="7"/>
      <c r="C53" s="6"/>
      <c r="D53" s="6"/>
      <c r="E53" s="6"/>
      <c r="F53" s="6"/>
      <c r="G53" s="6"/>
      <c r="H53" s="6"/>
      <c r="I53" s="7"/>
      <c r="J53" s="7"/>
      <c r="K53" s="8"/>
      <c r="L53" s="6"/>
      <c r="M53" s="6"/>
      <c r="N53" s="8"/>
      <c r="O53" s="8"/>
      <c r="P53" s="6"/>
    </row>
    <row r="54" spans="1:16" x14ac:dyDescent="0.3">
      <c r="A54" s="6"/>
      <c r="B54" s="7"/>
      <c r="C54" s="6"/>
      <c r="D54" s="6"/>
      <c r="E54" s="6"/>
      <c r="F54" s="6"/>
      <c r="G54" s="6"/>
      <c r="H54" s="6"/>
      <c r="I54" s="7"/>
      <c r="J54" s="7"/>
      <c r="K54" s="8"/>
      <c r="L54" s="6"/>
      <c r="M54" s="6"/>
      <c r="N54" s="8"/>
      <c r="O54" s="8"/>
      <c r="P54" s="6"/>
    </row>
    <row r="55" spans="1:16" x14ac:dyDescent="0.3">
      <c r="A55" s="6"/>
      <c r="B55" s="7"/>
      <c r="C55" s="6"/>
      <c r="D55" s="6"/>
      <c r="E55" s="6"/>
      <c r="F55" s="6"/>
      <c r="G55" s="6"/>
      <c r="H55" s="6"/>
      <c r="I55" s="7"/>
      <c r="J55" s="7"/>
      <c r="K55" s="8"/>
      <c r="L55" s="6"/>
      <c r="M55" s="6"/>
      <c r="N55" s="8"/>
      <c r="O55" s="8"/>
      <c r="P55" s="6"/>
    </row>
    <row r="56" spans="1:16" x14ac:dyDescent="0.3">
      <c r="A56" s="6"/>
      <c r="B56" s="7"/>
      <c r="C56" s="6"/>
      <c r="D56" s="6"/>
      <c r="E56" s="6"/>
      <c r="F56" s="6"/>
      <c r="G56" s="6"/>
      <c r="H56" s="6"/>
      <c r="I56" s="7"/>
      <c r="J56" s="7"/>
      <c r="K56" s="8"/>
      <c r="L56" s="6"/>
      <c r="M56" s="6"/>
      <c r="N56" s="8"/>
      <c r="O56" s="8"/>
      <c r="P56" s="6"/>
    </row>
    <row r="57" spans="1:16" x14ac:dyDescent="0.3">
      <c r="A57" s="6"/>
      <c r="B57" s="7"/>
      <c r="C57" s="6"/>
      <c r="D57" s="6"/>
      <c r="E57" s="6"/>
      <c r="F57" s="6"/>
      <c r="G57" s="6"/>
      <c r="H57" s="6"/>
      <c r="I57" s="7"/>
      <c r="J57" s="7"/>
      <c r="K57" s="8"/>
      <c r="L57" s="6"/>
      <c r="M57" s="6"/>
      <c r="N57" s="8"/>
      <c r="O57" s="8"/>
      <c r="P57" s="6"/>
    </row>
    <row r="58" spans="1:16" x14ac:dyDescent="0.3">
      <c r="A58" s="6"/>
      <c r="B58" s="7"/>
      <c r="C58" s="6"/>
      <c r="D58" s="6"/>
      <c r="E58" s="6"/>
      <c r="F58" s="6"/>
      <c r="G58" s="6"/>
      <c r="H58" s="6"/>
      <c r="I58" s="7"/>
      <c r="J58" s="7"/>
      <c r="K58" s="8"/>
      <c r="L58" s="6"/>
      <c r="M58" s="6"/>
      <c r="N58" s="8"/>
      <c r="O58" s="8"/>
      <c r="P58" s="6"/>
    </row>
    <row r="59" spans="1:16" x14ac:dyDescent="0.3">
      <c r="A59" s="6"/>
      <c r="B59" s="7"/>
      <c r="C59" s="6"/>
      <c r="D59" s="6"/>
      <c r="E59" s="6"/>
      <c r="F59" s="6"/>
      <c r="G59" s="6"/>
      <c r="H59" s="6"/>
      <c r="I59" s="7"/>
      <c r="J59" s="7"/>
      <c r="K59" s="8"/>
      <c r="L59" s="6"/>
      <c r="M59" s="6"/>
      <c r="N59" s="8"/>
      <c r="O59" s="8"/>
      <c r="P59" s="6"/>
    </row>
    <row r="60" spans="1:16" x14ac:dyDescent="0.3">
      <c r="A60" s="6"/>
      <c r="B60" s="7"/>
      <c r="C60" s="6"/>
      <c r="D60" s="6"/>
      <c r="E60" s="6"/>
      <c r="F60" s="6"/>
      <c r="G60" s="6"/>
      <c r="H60" s="6"/>
      <c r="I60" s="7"/>
      <c r="J60" s="7"/>
      <c r="K60" s="8"/>
      <c r="L60" s="6"/>
      <c r="M60" s="6"/>
      <c r="N60" s="8"/>
      <c r="O60" s="8"/>
      <c r="P60" s="6"/>
    </row>
    <row r="61" spans="1:16" x14ac:dyDescent="0.3">
      <c r="A61" s="6"/>
      <c r="B61" s="7"/>
      <c r="C61" s="6"/>
      <c r="D61" s="6"/>
      <c r="E61" s="6"/>
      <c r="F61" s="6"/>
      <c r="G61" s="6"/>
      <c r="H61" s="6"/>
      <c r="I61" s="7"/>
      <c r="J61" s="7"/>
      <c r="K61" s="8"/>
      <c r="L61" s="6"/>
      <c r="M61" s="6"/>
      <c r="N61" s="8"/>
      <c r="O61" s="8"/>
      <c r="P61" s="6"/>
    </row>
    <row r="62" spans="1:16" x14ac:dyDescent="0.3">
      <c r="A62" s="6"/>
      <c r="B62" s="7"/>
      <c r="C62" s="6"/>
      <c r="D62" s="6"/>
      <c r="E62" s="6"/>
      <c r="F62" s="6"/>
      <c r="G62" s="6"/>
      <c r="H62" s="6"/>
      <c r="I62" s="7"/>
      <c r="J62" s="7"/>
      <c r="K62" s="8"/>
      <c r="L62" s="6"/>
      <c r="M62" s="6"/>
      <c r="N62" s="8"/>
      <c r="O62" s="8"/>
      <c r="P62" s="6"/>
    </row>
    <row r="63" spans="1:16" x14ac:dyDescent="0.3">
      <c r="A63" s="6"/>
      <c r="B63" s="7"/>
      <c r="C63" s="6"/>
      <c r="D63" s="6"/>
      <c r="E63" s="6"/>
      <c r="F63" s="6"/>
      <c r="G63" s="6"/>
      <c r="H63" s="6"/>
      <c r="I63" s="7"/>
      <c r="J63" s="7"/>
      <c r="K63" s="8"/>
      <c r="L63" s="6"/>
      <c r="M63" s="6"/>
      <c r="N63" s="8"/>
      <c r="O63" s="8"/>
      <c r="P63" s="6"/>
    </row>
    <row r="64" spans="1:16" x14ac:dyDescent="0.3">
      <c r="A64" s="6"/>
      <c r="B64" s="7"/>
      <c r="C64" s="6"/>
      <c r="D64" s="6"/>
      <c r="E64" s="6"/>
      <c r="F64" s="6"/>
      <c r="G64" s="6"/>
      <c r="H64" s="6"/>
      <c r="I64" s="7"/>
      <c r="J64" s="7"/>
      <c r="K64" s="8"/>
      <c r="L64" s="6"/>
      <c r="M64" s="6"/>
      <c r="N64" s="8"/>
      <c r="O64" s="8"/>
      <c r="P64" s="6"/>
    </row>
    <row r="65" spans="1:16" x14ac:dyDescent="0.3">
      <c r="A65" s="6"/>
      <c r="B65" s="7"/>
      <c r="C65" s="6"/>
      <c r="D65" s="6"/>
      <c r="E65" s="6"/>
      <c r="F65" s="6"/>
      <c r="G65" s="6"/>
      <c r="H65" s="6"/>
      <c r="I65" s="7"/>
      <c r="J65" s="7"/>
      <c r="K65" s="8"/>
      <c r="L65" s="6"/>
      <c r="M65" s="6"/>
      <c r="N65" s="8"/>
      <c r="O65" s="8"/>
      <c r="P65" s="6"/>
    </row>
    <row r="66" spans="1:16" x14ac:dyDescent="0.3">
      <c r="A66" s="6"/>
      <c r="B66" s="7"/>
      <c r="C66" s="6"/>
      <c r="D66" s="6"/>
      <c r="E66" s="6"/>
      <c r="F66" s="6"/>
      <c r="G66" s="6"/>
      <c r="H66" s="6"/>
      <c r="I66" s="7"/>
      <c r="J66" s="7"/>
      <c r="K66" s="8"/>
      <c r="L66" s="6"/>
      <c r="M66" s="6"/>
      <c r="N66" s="8"/>
      <c r="O66" s="8"/>
      <c r="P66" s="6"/>
    </row>
    <row r="67" spans="1:16" x14ac:dyDescent="0.3">
      <c r="A67" s="6"/>
      <c r="B67" s="7"/>
      <c r="C67" s="6"/>
      <c r="D67" s="6"/>
      <c r="E67" s="6"/>
      <c r="F67" s="6"/>
      <c r="G67" s="6"/>
      <c r="H67" s="6"/>
      <c r="I67" s="7"/>
      <c r="J67" s="7"/>
      <c r="K67" s="8"/>
      <c r="L67" s="6"/>
      <c r="M67" s="6"/>
      <c r="N67" s="8"/>
      <c r="O67" s="8"/>
      <c r="P67" s="6"/>
    </row>
    <row r="68" spans="1:16" x14ac:dyDescent="0.3">
      <c r="A68" s="6"/>
      <c r="B68" s="7"/>
      <c r="C68" s="6"/>
      <c r="D68" s="6"/>
      <c r="E68" s="6"/>
      <c r="F68" s="6"/>
      <c r="G68" s="6"/>
      <c r="H68" s="6"/>
      <c r="I68" s="7"/>
      <c r="J68" s="7"/>
      <c r="K68" s="8"/>
      <c r="L68" s="6"/>
      <c r="M68" s="6"/>
      <c r="N68" s="8"/>
      <c r="O68" s="8"/>
      <c r="P68" s="6"/>
    </row>
    <row r="69" spans="1:16" x14ac:dyDescent="0.3">
      <c r="A69" s="6"/>
      <c r="B69" s="7"/>
      <c r="C69" s="6"/>
      <c r="D69" s="6"/>
      <c r="E69" s="6"/>
      <c r="F69" s="6"/>
      <c r="G69" s="6"/>
      <c r="H69" s="6"/>
      <c r="I69" s="7"/>
      <c r="J69" s="7"/>
      <c r="K69" s="8"/>
      <c r="L69" s="6"/>
      <c r="M69" s="6"/>
      <c r="N69" s="8"/>
      <c r="O69" s="8"/>
      <c r="P69" s="6"/>
    </row>
    <row r="70" spans="1:16" x14ac:dyDescent="0.3">
      <c r="A70" s="6"/>
      <c r="B70" s="7"/>
      <c r="C70" s="6"/>
      <c r="D70" s="6"/>
      <c r="E70" s="6"/>
      <c r="F70" s="6"/>
      <c r="G70" s="6"/>
      <c r="H70" s="6"/>
      <c r="I70" s="7"/>
      <c r="J70" s="7"/>
      <c r="K70" s="8"/>
      <c r="L70" s="6"/>
      <c r="M70" s="6"/>
      <c r="N70" s="8"/>
      <c r="O70" s="8"/>
      <c r="P70" s="6"/>
    </row>
    <row r="71" spans="1:16" x14ac:dyDescent="0.3">
      <c r="A71" s="6"/>
      <c r="B71" s="7"/>
      <c r="C71" s="6"/>
      <c r="D71" s="6"/>
      <c r="E71" s="6"/>
      <c r="F71" s="6"/>
      <c r="G71" s="6"/>
      <c r="H71" s="6"/>
      <c r="I71" s="7"/>
      <c r="J71" s="7"/>
      <c r="K71" s="8"/>
      <c r="L71" s="6"/>
      <c r="M71" s="6"/>
      <c r="N71" s="8"/>
      <c r="O71" s="8"/>
      <c r="P71" s="6"/>
    </row>
    <row r="72" spans="1:16" x14ac:dyDescent="0.3">
      <c r="A72" s="6"/>
      <c r="B72" s="7"/>
      <c r="C72" s="6"/>
      <c r="D72" s="6"/>
      <c r="E72" s="6"/>
      <c r="F72" s="6"/>
      <c r="G72" s="6"/>
      <c r="H72" s="6"/>
      <c r="I72" s="7"/>
      <c r="J72" s="7"/>
      <c r="K72" s="8"/>
      <c r="L72" s="6"/>
      <c r="M72" s="6"/>
      <c r="N72" s="8"/>
      <c r="O72" s="8"/>
      <c r="P72" s="6"/>
    </row>
    <row r="73" spans="1:16" x14ac:dyDescent="0.3">
      <c r="A73" s="6"/>
      <c r="B73" s="7"/>
      <c r="C73" s="6"/>
      <c r="D73" s="6"/>
      <c r="E73" s="6"/>
      <c r="F73" s="6"/>
      <c r="G73" s="6"/>
      <c r="H73" s="6"/>
      <c r="I73" s="7"/>
      <c r="J73" s="7"/>
      <c r="K73" s="8"/>
      <c r="L73" s="6"/>
      <c r="M73" s="6"/>
      <c r="N73" s="8"/>
      <c r="O73" s="8"/>
      <c r="P73" s="6"/>
    </row>
    <row r="74" spans="1:16" x14ac:dyDescent="0.3">
      <c r="A74" s="6"/>
      <c r="B74" s="7"/>
      <c r="C74" s="6"/>
      <c r="D74" s="6"/>
      <c r="E74" s="6"/>
      <c r="F74" s="6"/>
      <c r="G74" s="6"/>
      <c r="H74" s="6"/>
      <c r="I74" s="7"/>
      <c r="J74" s="7"/>
      <c r="K74" s="8"/>
      <c r="L74" s="6"/>
      <c r="M74" s="6"/>
      <c r="N74" s="8"/>
      <c r="O74" s="8"/>
      <c r="P74" s="6"/>
    </row>
    <row r="75" spans="1:16" x14ac:dyDescent="0.3">
      <c r="A75" s="6"/>
      <c r="B75" s="7"/>
      <c r="C75" s="6"/>
      <c r="D75" s="6"/>
      <c r="E75" s="6"/>
      <c r="F75" s="6"/>
      <c r="G75" s="6"/>
      <c r="H75" s="6"/>
      <c r="I75" s="7"/>
      <c r="J75" s="7"/>
      <c r="K75" s="8"/>
      <c r="L75" s="6"/>
      <c r="M75" s="6"/>
      <c r="N75" s="8"/>
      <c r="O75" s="8"/>
      <c r="P75" s="6"/>
    </row>
    <row r="76" spans="1:16" x14ac:dyDescent="0.3">
      <c r="A76" s="6"/>
      <c r="B76" s="7"/>
      <c r="C76" s="6"/>
      <c r="D76" s="6"/>
      <c r="E76" s="6"/>
      <c r="F76" s="6"/>
      <c r="G76" s="6"/>
      <c r="H76" s="6"/>
      <c r="I76" s="7"/>
      <c r="J76" s="7"/>
      <c r="K76" s="8"/>
      <c r="L76" s="6"/>
      <c r="M76" s="6"/>
      <c r="N76" s="8"/>
      <c r="O76" s="8"/>
      <c r="P76" s="6"/>
    </row>
    <row r="77" spans="1:16" x14ac:dyDescent="0.3">
      <c r="A77" s="6"/>
      <c r="B77" s="7"/>
      <c r="C77" s="6"/>
      <c r="D77" s="6"/>
      <c r="E77" s="6"/>
      <c r="F77" s="6"/>
      <c r="G77" s="6"/>
      <c r="H77" s="6"/>
      <c r="I77" s="7"/>
      <c r="J77" s="7"/>
      <c r="K77" s="8"/>
      <c r="L77" s="6"/>
      <c r="M77" s="6"/>
      <c r="N77" s="8"/>
      <c r="O77" s="8"/>
      <c r="P77" s="6"/>
    </row>
    <row r="78" spans="1:16" x14ac:dyDescent="0.3">
      <c r="A78" s="6"/>
      <c r="B78" s="7"/>
      <c r="C78" s="6"/>
      <c r="D78" s="6"/>
      <c r="E78" s="6"/>
      <c r="F78" s="6"/>
      <c r="G78" s="6"/>
      <c r="H78" s="6"/>
      <c r="I78" s="7"/>
      <c r="J78" s="7"/>
      <c r="K78" s="8"/>
      <c r="L78" s="6"/>
      <c r="M78" s="6"/>
      <c r="N78" s="8"/>
      <c r="O78" s="8"/>
      <c r="P78" s="6"/>
    </row>
    <row r="79" spans="1:16" x14ac:dyDescent="0.3">
      <c r="A79" s="6"/>
      <c r="B79" s="7"/>
      <c r="C79" s="6"/>
      <c r="D79" s="6"/>
      <c r="E79" s="6"/>
      <c r="F79" s="6"/>
      <c r="G79" s="6"/>
      <c r="H79" s="6"/>
      <c r="I79" s="7"/>
      <c r="J79" s="7"/>
      <c r="K79" s="8"/>
      <c r="L79" s="6"/>
      <c r="M79" s="6"/>
      <c r="N79" s="8"/>
      <c r="O79" s="8"/>
      <c r="P79" s="6"/>
    </row>
    <row r="80" spans="1:16" x14ac:dyDescent="0.3">
      <c r="A80" s="6"/>
      <c r="B80" s="7"/>
      <c r="C80" s="6"/>
      <c r="D80" s="6"/>
      <c r="E80" s="6"/>
      <c r="F80" s="6"/>
      <c r="G80" s="6"/>
      <c r="H80" s="6"/>
      <c r="I80" s="7"/>
      <c r="J80" s="7"/>
      <c r="K80" s="8"/>
      <c r="L80" s="6"/>
      <c r="M80" s="6"/>
      <c r="N80" s="8"/>
      <c r="O80" s="8"/>
      <c r="P80" s="6"/>
    </row>
    <row r="81" spans="1:16" x14ac:dyDescent="0.3">
      <c r="A81" s="6"/>
      <c r="B81" s="7"/>
      <c r="C81" s="6"/>
      <c r="D81" s="6"/>
      <c r="E81" s="6"/>
      <c r="F81" s="6"/>
      <c r="G81" s="6"/>
      <c r="H81" s="6"/>
      <c r="I81" s="7"/>
      <c r="J81" s="7"/>
      <c r="K81" s="8"/>
      <c r="L81" s="6"/>
      <c r="M81" s="6"/>
      <c r="N81" s="8"/>
      <c r="O81" s="8"/>
      <c r="P81" s="6"/>
    </row>
    <row r="82" spans="1:16" x14ac:dyDescent="0.3">
      <c r="A82" s="6"/>
      <c r="B82" s="7"/>
      <c r="C82" s="6"/>
      <c r="D82" s="6"/>
      <c r="E82" s="6"/>
      <c r="F82" s="6"/>
      <c r="G82" s="6"/>
      <c r="H82" s="6"/>
      <c r="I82" s="7"/>
      <c r="J82" s="7"/>
      <c r="K82" s="8"/>
      <c r="L82" s="6"/>
      <c r="M82" s="6"/>
      <c r="N82" s="8"/>
      <c r="O82" s="8"/>
      <c r="P82" s="6"/>
    </row>
    <row r="83" spans="1:16" x14ac:dyDescent="0.3">
      <c r="A83" s="6"/>
      <c r="B83" s="7"/>
      <c r="C83" s="6"/>
      <c r="D83" s="6"/>
      <c r="E83" s="6"/>
      <c r="F83" s="6"/>
      <c r="G83" s="6"/>
      <c r="H83" s="6"/>
      <c r="I83" s="7"/>
      <c r="J83" s="7"/>
      <c r="K83" s="8"/>
      <c r="L83" s="6"/>
      <c r="M83" s="6"/>
      <c r="N83" s="8"/>
      <c r="O83" s="8"/>
      <c r="P83" s="6"/>
    </row>
    <row r="84" spans="1:16" x14ac:dyDescent="0.3">
      <c r="A84" s="6"/>
      <c r="B84" s="7"/>
      <c r="C84" s="6"/>
      <c r="D84" s="6"/>
      <c r="E84" s="6"/>
      <c r="F84" s="6"/>
      <c r="G84" s="6"/>
      <c r="H84" s="6"/>
      <c r="I84" s="7"/>
      <c r="J84" s="7"/>
      <c r="K84" s="8"/>
      <c r="L84" s="6"/>
      <c r="M84" s="6"/>
      <c r="N84" s="8"/>
      <c r="O84" s="8"/>
      <c r="P84" s="6"/>
    </row>
    <row r="85" spans="1:16" x14ac:dyDescent="0.3">
      <c r="A85" s="6"/>
      <c r="B85" s="7"/>
      <c r="C85" s="6"/>
      <c r="D85" s="6"/>
      <c r="E85" s="6"/>
      <c r="F85" s="6"/>
      <c r="G85" s="6"/>
      <c r="H85" s="6"/>
      <c r="I85" s="7"/>
      <c r="J85" s="7"/>
      <c r="K85" s="8"/>
      <c r="L85" s="6"/>
      <c r="M85" s="6"/>
      <c r="N85" s="8"/>
      <c r="O85" s="8"/>
      <c r="P85" s="6"/>
    </row>
    <row r="86" spans="1:16" x14ac:dyDescent="0.3">
      <c r="A86" s="6"/>
      <c r="B86" s="7"/>
      <c r="C86" s="6"/>
      <c r="D86" s="6"/>
      <c r="E86" s="6"/>
      <c r="F86" s="6"/>
      <c r="G86" s="6"/>
      <c r="H86" s="6"/>
      <c r="I86" s="7"/>
      <c r="J86" s="7"/>
      <c r="K86" s="8"/>
      <c r="L86" s="6"/>
      <c r="M86" s="6"/>
      <c r="N86" s="8"/>
      <c r="O86" s="8"/>
      <c r="P86" s="6"/>
    </row>
    <row r="87" spans="1:16" x14ac:dyDescent="0.3">
      <c r="A87" s="6"/>
      <c r="B87" s="7"/>
      <c r="C87" s="6"/>
      <c r="D87" s="6"/>
      <c r="E87" s="6"/>
      <c r="F87" s="6"/>
      <c r="G87" s="6"/>
      <c r="H87" s="6"/>
      <c r="I87" s="7"/>
      <c r="J87" s="7"/>
      <c r="K87" s="8"/>
      <c r="L87" s="6"/>
      <c r="M87" s="6"/>
      <c r="N87" s="8"/>
      <c r="O87" s="8"/>
      <c r="P87" s="6"/>
    </row>
    <row r="88" spans="1:16" x14ac:dyDescent="0.3">
      <c r="A88" s="6"/>
      <c r="B88" s="7"/>
      <c r="C88" s="6"/>
      <c r="D88" s="6"/>
      <c r="E88" s="6"/>
      <c r="F88" s="6"/>
      <c r="G88" s="6"/>
      <c r="H88" s="6"/>
      <c r="I88" s="7"/>
      <c r="J88" s="7"/>
      <c r="K88" s="8"/>
      <c r="L88" s="6"/>
      <c r="M88" s="6"/>
      <c r="N88" s="8"/>
      <c r="O88" s="8"/>
      <c r="P88" s="6"/>
    </row>
    <row r="89" spans="1:16" x14ac:dyDescent="0.3">
      <c r="A89" s="6"/>
      <c r="B89" s="7"/>
      <c r="C89" s="6"/>
      <c r="D89" s="6"/>
      <c r="E89" s="6"/>
      <c r="F89" s="6"/>
      <c r="G89" s="6"/>
      <c r="H89" s="6"/>
      <c r="I89" s="7"/>
      <c r="J89" s="7"/>
      <c r="K89" s="8"/>
      <c r="L89" s="6"/>
      <c r="M89" s="6"/>
      <c r="N89" s="8"/>
      <c r="O89" s="8"/>
      <c r="P89" s="6"/>
    </row>
    <row r="90" spans="1:16" x14ac:dyDescent="0.3">
      <c r="A90" s="6"/>
      <c r="B90" s="7"/>
      <c r="C90" s="6"/>
      <c r="D90" s="6"/>
      <c r="E90" s="6"/>
      <c r="F90" s="6"/>
      <c r="G90" s="6"/>
      <c r="H90" s="6"/>
      <c r="I90" s="7"/>
      <c r="J90" s="7"/>
      <c r="K90" s="8"/>
      <c r="L90" s="6"/>
      <c r="M90" s="6"/>
      <c r="N90" s="8"/>
      <c r="O90" s="8"/>
      <c r="P90" s="6"/>
    </row>
    <row r="91" spans="1:16" x14ac:dyDescent="0.3">
      <c r="A91" s="6"/>
      <c r="B91" s="7"/>
      <c r="C91" s="6"/>
      <c r="D91" s="6"/>
      <c r="E91" s="6"/>
      <c r="F91" s="6"/>
      <c r="G91" s="6"/>
      <c r="H91" s="6"/>
      <c r="I91" s="7"/>
      <c r="J91" s="7"/>
      <c r="K91" s="8"/>
      <c r="L91" s="6"/>
      <c r="M91" s="6"/>
      <c r="N91" s="8"/>
      <c r="O91" s="8"/>
      <c r="P91" s="6"/>
    </row>
    <row r="92" spans="1:16" x14ac:dyDescent="0.3">
      <c r="A92" s="6"/>
      <c r="B92" s="7"/>
      <c r="C92" s="6"/>
      <c r="D92" s="6"/>
      <c r="E92" s="6"/>
      <c r="F92" s="6"/>
      <c r="G92" s="6"/>
      <c r="H92" s="6"/>
      <c r="I92" s="7"/>
      <c r="J92" s="7"/>
      <c r="K92" s="8"/>
      <c r="L92" s="6"/>
      <c r="M92" s="6"/>
      <c r="N92" s="8"/>
      <c r="O92" s="8"/>
      <c r="P92" s="6"/>
    </row>
    <row r="93" spans="1:16" x14ac:dyDescent="0.3">
      <c r="A93" s="6"/>
      <c r="B93" s="7"/>
      <c r="C93" s="6"/>
      <c r="D93" s="6"/>
      <c r="E93" s="6"/>
      <c r="F93" s="6"/>
      <c r="G93" s="6"/>
      <c r="H93" s="6"/>
      <c r="I93" s="7"/>
      <c r="J93" s="7"/>
      <c r="K93" s="8"/>
      <c r="L93" s="6"/>
      <c r="M93" s="6"/>
      <c r="N93" s="8"/>
      <c r="O93" s="8"/>
      <c r="P93" s="6"/>
    </row>
    <row r="94" spans="1:16" x14ac:dyDescent="0.3">
      <c r="A94" s="6"/>
      <c r="B94" s="7"/>
      <c r="C94" s="6"/>
      <c r="D94" s="6"/>
      <c r="E94" s="6"/>
      <c r="F94" s="6"/>
      <c r="G94" s="6"/>
      <c r="H94" s="6"/>
      <c r="I94" s="7"/>
      <c r="J94" s="7"/>
      <c r="K94" s="8"/>
      <c r="L94" s="6"/>
      <c r="M94" s="6"/>
      <c r="N94" s="8"/>
      <c r="O94" s="8"/>
      <c r="P94" s="6"/>
    </row>
    <row r="95" spans="1:16" x14ac:dyDescent="0.3">
      <c r="A95" s="6"/>
      <c r="B95" s="7"/>
      <c r="C95" s="6"/>
      <c r="D95" s="6"/>
      <c r="E95" s="6"/>
      <c r="F95" s="6"/>
      <c r="G95" s="6"/>
      <c r="H95" s="6"/>
      <c r="I95" s="7"/>
      <c r="J95" s="7"/>
      <c r="K95" s="8"/>
      <c r="L95" s="6"/>
      <c r="M95" s="6"/>
      <c r="N95" s="8"/>
      <c r="O95" s="8"/>
      <c r="P95" s="6"/>
    </row>
    <row r="96" spans="1:16" x14ac:dyDescent="0.3">
      <c r="A96" s="6"/>
      <c r="B96" s="7"/>
      <c r="C96" s="6"/>
      <c r="D96" s="6"/>
      <c r="E96" s="6"/>
      <c r="F96" s="6"/>
      <c r="G96" s="6"/>
      <c r="H96" s="6"/>
      <c r="I96" s="7"/>
      <c r="J96" s="7"/>
      <c r="K96" s="8"/>
      <c r="L96" s="6"/>
      <c r="M96" s="6"/>
      <c r="N96" s="8"/>
      <c r="O96" s="8"/>
      <c r="P96" s="6"/>
    </row>
    <row r="97" spans="1:16" x14ac:dyDescent="0.3">
      <c r="A97" s="6"/>
      <c r="B97" s="7"/>
      <c r="C97" s="6"/>
      <c r="D97" s="6"/>
      <c r="E97" s="6"/>
      <c r="F97" s="6"/>
      <c r="G97" s="6"/>
      <c r="H97" s="6"/>
      <c r="I97" s="7"/>
      <c r="J97" s="7"/>
      <c r="K97" s="8"/>
      <c r="L97" s="6"/>
      <c r="M97" s="6"/>
      <c r="N97" s="8"/>
      <c r="O97" s="8"/>
      <c r="P97" s="6"/>
    </row>
    <row r="98" spans="1:16" x14ac:dyDescent="0.3">
      <c r="A98" s="6"/>
      <c r="B98" s="7"/>
      <c r="C98" s="6"/>
      <c r="D98" s="6"/>
      <c r="E98" s="6"/>
      <c r="F98" s="6"/>
      <c r="G98" s="6"/>
      <c r="H98" s="6"/>
      <c r="I98" s="7"/>
      <c r="J98" s="7"/>
      <c r="K98" s="8"/>
      <c r="L98" s="6"/>
      <c r="M98" s="6"/>
      <c r="N98" s="8"/>
      <c r="O98" s="8"/>
      <c r="P98" s="6"/>
    </row>
    <row r="99" spans="1:16" x14ac:dyDescent="0.3">
      <c r="A99" s="6"/>
      <c r="B99" s="7"/>
      <c r="C99" s="6"/>
      <c r="D99" s="6"/>
      <c r="E99" s="6"/>
      <c r="F99" s="6"/>
      <c r="G99" s="6"/>
      <c r="H99" s="6"/>
      <c r="I99" s="7"/>
      <c r="J99" s="7"/>
      <c r="K99" s="8"/>
      <c r="L99" s="6"/>
      <c r="M99" s="6"/>
      <c r="N99" s="8"/>
      <c r="O99" s="8"/>
      <c r="P99" s="6"/>
    </row>
    <row r="100" spans="1:16" x14ac:dyDescent="0.3">
      <c r="A100" s="6"/>
      <c r="B100" s="7"/>
      <c r="C100" s="6"/>
      <c r="D100" s="6"/>
      <c r="E100" s="6"/>
      <c r="F100" s="6"/>
      <c r="G100" s="6"/>
      <c r="H100" s="6"/>
      <c r="I100" s="7"/>
      <c r="J100" s="7"/>
      <c r="K100" s="8"/>
      <c r="L100" s="6"/>
      <c r="M100" s="6"/>
      <c r="N100" s="8"/>
      <c r="O100" s="8"/>
      <c r="P100" s="6"/>
    </row>
    <row r="101" spans="1:16" x14ac:dyDescent="0.3">
      <c r="A101" s="6"/>
      <c r="B101" s="7"/>
      <c r="C101" s="6"/>
      <c r="D101" s="6"/>
      <c r="E101" s="6"/>
      <c r="F101" s="6"/>
      <c r="G101" s="6"/>
      <c r="H101" s="6"/>
      <c r="I101" s="7"/>
      <c r="J101" s="7"/>
      <c r="K101" s="8"/>
      <c r="L101" s="6"/>
      <c r="M101" s="6"/>
      <c r="N101" s="8"/>
      <c r="O101" s="8"/>
      <c r="P101" s="6"/>
    </row>
    <row r="102" spans="1:16" x14ac:dyDescent="0.3">
      <c r="A102" s="6"/>
      <c r="B102" s="7"/>
      <c r="C102" s="6"/>
      <c r="D102" s="6"/>
      <c r="E102" s="6"/>
      <c r="F102" s="6"/>
      <c r="G102" s="6"/>
      <c r="H102" s="6"/>
      <c r="I102" s="7"/>
      <c r="J102" s="7"/>
      <c r="K102" s="8"/>
      <c r="L102" s="6"/>
      <c r="M102" s="6"/>
      <c r="N102" s="8"/>
      <c r="O102" s="8"/>
      <c r="P102" s="6"/>
    </row>
    <row r="103" spans="1:16" x14ac:dyDescent="0.3">
      <c r="A103" s="6"/>
      <c r="B103" s="7"/>
      <c r="C103" s="6"/>
      <c r="D103" s="6"/>
      <c r="E103" s="6"/>
      <c r="F103" s="6"/>
      <c r="G103" s="6"/>
      <c r="H103" s="6"/>
      <c r="I103" s="7"/>
      <c r="J103" s="7"/>
      <c r="K103" s="8"/>
      <c r="L103" s="6"/>
      <c r="M103" s="6"/>
      <c r="N103" s="8"/>
      <c r="O103" s="8"/>
      <c r="P103" s="6"/>
    </row>
    <row r="104" spans="1:16" x14ac:dyDescent="0.3">
      <c r="A104" s="6"/>
      <c r="B104" s="7"/>
      <c r="C104" s="6"/>
      <c r="D104" s="6"/>
      <c r="E104" s="6"/>
      <c r="F104" s="6"/>
      <c r="G104" s="6"/>
      <c r="H104" s="6"/>
      <c r="I104" s="7"/>
      <c r="J104" s="7"/>
      <c r="K104" s="8"/>
      <c r="L104" s="6"/>
      <c r="M104" s="6"/>
      <c r="N104" s="8"/>
      <c r="O104" s="8"/>
      <c r="P104" s="6"/>
    </row>
    <row r="105" spans="1:16" x14ac:dyDescent="0.3">
      <c r="A105" s="6"/>
      <c r="B105" s="7"/>
      <c r="C105" s="6"/>
      <c r="D105" s="6"/>
      <c r="E105" s="6"/>
      <c r="F105" s="6"/>
      <c r="G105" s="6"/>
      <c r="H105" s="6"/>
      <c r="I105" s="7"/>
      <c r="J105" s="7"/>
      <c r="K105" s="8"/>
      <c r="L105" s="6"/>
      <c r="M105" s="6"/>
      <c r="N105" s="8"/>
      <c r="O105" s="8"/>
      <c r="P105" s="6"/>
    </row>
    <row r="106" spans="1:16" x14ac:dyDescent="0.3">
      <c r="A106" s="6"/>
      <c r="B106" s="7"/>
      <c r="C106" s="6"/>
      <c r="D106" s="6"/>
      <c r="E106" s="6"/>
      <c r="F106" s="6"/>
      <c r="G106" s="6"/>
      <c r="H106" s="6"/>
      <c r="I106" s="7"/>
      <c r="J106" s="7"/>
      <c r="K106" s="8"/>
      <c r="L106" s="6"/>
      <c r="M106" s="6"/>
      <c r="N106" s="8"/>
      <c r="O106" s="8"/>
      <c r="P106" s="6"/>
    </row>
    <row r="107" spans="1:16" x14ac:dyDescent="0.3">
      <c r="A107" s="6"/>
      <c r="B107" s="7"/>
      <c r="C107" s="6"/>
      <c r="D107" s="6"/>
      <c r="E107" s="6"/>
      <c r="F107" s="6"/>
      <c r="G107" s="6"/>
      <c r="H107" s="6"/>
      <c r="I107" s="7"/>
      <c r="J107" s="7"/>
      <c r="K107" s="8"/>
      <c r="L107" s="6"/>
      <c r="M107" s="6"/>
      <c r="N107" s="8"/>
      <c r="O107" s="8"/>
      <c r="P107" s="6"/>
    </row>
    <row r="108" spans="1:16" x14ac:dyDescent="0.3">
      <c r="A108" s="6"/>
      <c r="B108" s="7"/>
      <c r="C108" s="6"/>
      <c r="D108" s="6"/>
      <c r="E108" s="6"/>
      <c r="F108" s="6"/>
      <c r="G108" s="6"/>
      <c r="H108" s="6"/>
      <c r="I108" s="7"/>
      <c r="J108" s="7"/>
      <c r="K108" s="8"/>
      <c r="L108" s="6"/>
      <c r="M108" s="6"/>
      <c r="N108" s="8"/>
      <c r="O108" s="8"/>
      <c r="P108" s="6"/>
    </row>
    <row r="109" spans="1:16" x14ac:dyDescent="0.3">
      <c r="A109" s="6"/>
      <c r="B109" s="7"/>
      <c r="C109" s="6"/>
      <c r="D109" s="6"/>
      <c r="E109" s="6"/>
      <c r="F109" s="6"/>
      <c r="G109" s="6"/>
      <c r="H109" s="6"/>
      <c r="I109" s="7"/>
      <c r="J109" s="7"/>
      <c r="K109" s="8"/>
      <c r="L109" s="6"/>
      <c r="M109" s="6"/>
      <c r="N109" s="8"/>
      <c r="O109" s="8"/>
      <c r="P109" s="6"/>
    </row>
    <row r="110" spans="1:16" x14ac:dyDescent="0.3">
      <c r="A110" s="6"/>
      <c r="B110" s="7"/>
      <c r="C110" s="6"/>
      <c r="D110" s="6"/>
      <c r="E110" s="6"/>
      <c r="F110" s="6"/>
      <c r="G110" s="6"/>
      <c r="H110" s="6"/>
      <c r="I110" s="7"/>
      <c r="J110" s="7"/>
      <c r="K110" s="8"/>
      <c r="L110" s="6"/>
      <c r="M110" s="6"/>
      <c r="N110" s="8"/>
      <c r="O110" s="8"/>
      <c r="P110" s="6"/>
    </row>
    <row r="111" spans="1:16" x14ac:dyDescent="0.3">
      <c r="A111" s="6"/>
      <c r="B111" s="7"/>
      <c r="C111" s="6"/>
      <c r="D111" s="6"/>
      <c r="E111" s="6"/>
      <c r="F111" s="6"/>
      <c r="G111" s="6"/>
      <c r="H111" s="6"/>
      <c r="I111" s="7"/>
      <c r="J111" s="7"/>
      <c r="K111" s="8"/>
      <c r="L111" s="6"/>
      <c r="M111" s="6"/>
      <c r="N111" s="8"/>
      <c r="O111" s="8"/>
      <c r="P111" s="6"/>
    </row>
    <row r="112" spans="1:16" x14ac:dyDescent="0.3">
      <c r="A112" s="6"/>
      <c r="B112" s="7"/>
      <c r="C112" s="6"/>
      <c r="D112" s="6"/>
      <c r="E112" s="6"/>
      <c r="F112" s="6"/>
      <c r="G112" s="6"/>
      <c r="H112" s="6"/>
      <c r="I112" s="7"/>
      <c r="J112" s="7"/>
      <c r="K112" s="8"/>
      <c r="L112" s="6"/>
      <c r="M112" s="6"/>
      <c r="N112" s="8"/>
      <c r="O112" s="8"/>
      <c r="P112" s="6"/>
    </row>
    <row r="113" spans="1:16" x14ac:dyDescent="0.3">
      <c r="A113" s="6"/>
      <c r="B113" s="7"/>
      <c r="C113" s="6"/>
      <c r="D113" s="6"/>
      <c r="E113" s="6"/>
      <c r="F113" s="6"/>
      <c r="G113" s="6"/>
      <c r="H113" s="6"/>
      <c r="I113" s="7"/>
      <c r="J113" s="7"/>
      <c r="K113" s="8"/>
      <c r="L113" s="6"/>
      <c r="M113" s="6"/>
      <c r="N113" s="8"/>
      <c r="O113" s="8"/>
      <c r="P113" s="6"/>
    </row>
    <row r="114" spans="1:16" x14ac:dyDescent="0.3">
      <c r="A114" s="6"/>
      <c r="B114" s="7"/>
      <c r="C114" s="6"/>
      <c r="D114" s="6"/>
      <c r="E114" s="6"/>
      <c r="F114" s="6"/>
      <c r="G114" s="6"/>
      <c r="H114" s="6"/>
      <c r="I114" s="7"/>
      <c r="J114" s="7"/>
      <c r="K114" s="8"/>
      <c r="L114" s="6"/>
      <c r="M114" s="6"/>
      <c r="N114" s="8"/>
      <c r="O114" s="8"/>
      <c r="P114" s="6"/>
    </row>
    <row r="115" spans="1:16" x14ac:dyDescent="0.3">
      <c r="A115" s="6"/>
      <c r="B115" s="7"/>
      <c r="C115" s="6"/>
      <c r="D115" s="6"/>
      <c r="E115" s="6"/>
      <c r="F115" s="6"/>
      <c r="G115" s="6"/>
      <c r="H115" s="6"/>
      <c r="I115" s="7"/>
      <c r="J115" s="7"/>
      <c r="K115" s="8"/>
      <c r="L115" s="6"/>
      <c r="M115" s="6"/>
      <c r="N115" s="8"/>
      <c r="O115" s="8"/>
      <c r="P115" s="6"/>
    </row>
    <row r="116" spans="1:16" x14ac:dyDescent="0.3">
      <c r="A116" s="6"/>
      <c r="B116" s="7"/>
      <c r="C116" s="6"/>
      <c r="D116" s="6"/>
      <c r="E116" s="6"/>
      <c r="F116" s="6"/>
      <c r="G116" s="6"/>
      <c r="H116" s="6"/>
      <c r="I116" s="7"/>
      <c r="J116" s="7"/>
      <c r="K116" s="8"/>
      <c r="L116" s="6"/>
      <c r="M116" s="6"/>
      <c r="N116" s="8"/>
      <c r="O116" s="8"/>
      <c r="P116" s="6"/>
    </row>
    <row r="117" spans="1:16" x14ac:dyDescent="0.3">
      <c r="A117" s="6"/>
      <c r="B117" s="7"/>
      <c r="C117" s="6"/>
      <c r="D117" s="6"/>
      <c r="E117" s="6"/>
      <c r="F117" s="6"/>
      <c r="G117" s="6"/>
      <c r="H117" s="6"/>
      <c r="I117" s="7"/>
      <c r="J117" s="7"/>
      <c r="K117" s="8"/>
      <c r="L117" s="6"/>
      <c r="M117" s="6"/>
      <c r="N117" s="8"/>
      <c r="O117" s="8"/>
      <c r="P117" s="6"/>
    </row>
    <row r="118" spans="1:16" x14ac:dyDescent="0.3">
      <c r="A118" s="6"/>
      <c r="B118" s="7"/>
      <c r="C118" s="6"/>
      <c r="D118" s="6"/>
      <c r="E118" s="6"/>
      <c r="F118" s="6"/>
      <c r="G118" s="6"/>
      <c r="H118" s="6"/>
      <c r="I118" s="7"/>
      <c r="J118" s="7"/>
      <c r="K118" s="8"/>
      <c r="L118" s="6"/>
      <c r="M118" s="6"/>
      <c r="N118" s="8"/>
      <c r="O118" s="8"/>
      <c r="P118" s="6"/>
    </row>
    <row r="119" spans="1:16" x14ac:dyDescent="0.3">
      <c r="A119" s="6"/>
      <c r="B119" s="7"/>
      <c r="C119" s="6"/>
      <c r="D119" s="6"/>
      <c r="E119" s="6"/>
      <c r="F119" s="6"/>
      <c r="G119" s="6"/>
      <c r="H119" s="6"/>
      <c r="I119" s="7"/>
      <c r="J119" s="7"/>
      <c r="K119" s="8"/>
      <c r="L119" s="6"/>
      <c r="M119" s="6"/>
      <c r="N119" s="8"/>
      <c r="O119" s="8"/>
      <c r="P119" s="6"/>
    </row>
    <row r="120" spans="1:16" x14ac:dyDescent="0.3">
      <c r="A120" s="6"/>
      <c r="B120" s="7"/>
      <c r="C120" s="6"/>
      <c r="D120" s="6"/>
      <c r="E120" s="6"/>
      <c r="F120" s="6"/>
      <c r="G120" s="6"/>
      <c r="H120" s="6"/>
      <c r="I120" s="7"/>
      <c r="J120" s="7"/>
      <c r="K120" s="8"/>
      <c r="L120" s="6"/>
      <c r="M120" s="6"/>
      <c r="N120" s="8"/>
      <c r="O120" s="8"/>
      <c r="P120" s="6"/>
    </row>
    <row r="121" spans="1:16" x14ac:dyDescent="0.3">
      <c r="A121" s="6"/>
      <c r="B121" s="7"/>
      <c r="C121" s="6"/>
      <c r="D121" s="6"/>
      <c r="E121" s="6"/>
      <c r="F121" s="6"/>
      <c r="G121" s="6"/>
      <c r="H121" s="6"/>
      <c r="I121" s="7"/>
      <c r="J121" s="7"/>
      <c r="K121" s="8"/>
      <c r="L121" s="6"/>
      <c r="M121" s="6"/>
      <c r="N121" s="8"/>
      <c r="O121" s="8"/>
      <c r="P121" s="6"/>
    </row>
    <row r="122" spans="1:16" x14ac:dyDescent="0.3">
      <c r="A122" s="6"/>
      <c r="B122" s="7"/>
      <c r="C122" s="6"/>
      <c r="D122" s="6"/>
      <c r="E122" s="6"/>
      <c r="F122" s="6"/>
      <c r="G122" s="6"/>
      <c r="H122" s="6"/>
      <c r="I122" s="7"/>
      <c r="J122" s="7"/>
      <c r="K122" s="8"/>
      <c r="L122" s="6"/>
      <c r="M122" s="6"/>
      <c r="N122" s="8"/>
      <c r="O122" s="8"/>
      <c r="P122" s="6"/>
    </row>
    <row r="123" spans="1:16" x14ac:dyDescent="0.3">
      <c r="A123" s="6"/>
      <c r="B123" s="7"/>
      <c r="C123" s="6"/>
      <c r="D123" s="6"/>
      <c r="E123" s="6"/>
      <c r="F123" s="6"/>
      <c r="G123" s="6"/>
      <c r="H123" s="6"/>
      <c r="I123" s="7"/>
      <c r="J123" s="7"/>
      <c r="K123" s="8"/>
      <c r="L123" s="6"/>
      <c r="M123" s="6"/>
      <c r="N123" s="8"/>
      <c r="O123" s="8"/>
      <c r="P123" s="6"/>
    </row>
    <row r="124" spans="1:16" x14ac:dyDescent="0.3">
      <c r="A124" s="6"/>
      <c r="B124" s="7"/>
      <c r="C124" s="6"/>
      <c r="D124" s="6"/>
      <c r="E124" s="6"/>
      <c r="F124" s="6"/>
      <c r="G124" s="6"/>
      <c r="H124" s="6"/>
      <c r="I124" s="7"/>
      <c r="J124" s="7"/>
      <c r="K124" s="8"/>
      <c r="L124" s="6"/>
      <c r="M124" s="6"/>
      <c r="N124" s="8"/>
      <c r="O124" s="8"/>
      <c r="P124" s="6"/>
    </row>
    <row r="125" spans="1:16" x14ac:dyDescent="0.3">
      <c r="A125" s="6"/>
      <c r="B125" s="7"/>
      <c r="C125" s="6"/>
      <c r="D125" s="6"/>
      <c r="E125" s="6"/>
      <c r="F125" s="6"/>
      <c r="G125" s="6"/>
      <c r="H125" s="6"/>
      <c r="I125" s="7"/>
      <c r="J125" s="7"/>
      <c r="K125" s="8"/>
      <c r="L125" s="6"/>
      <c r="M125" s="6"/>
      <c r="N125" s="8"/>
      <c r="O125" s="8"/>
      <c r="P125" s="6"/>
    </row>
    <row r="126" spans="1:16" x14ac:dyDescent="0.3">
      <c r="A126" s="6"/>
      <c r="B126" s="7"/>
      <c r="C126" s="6"/>
      <c r="D126" s="6"/>
      <c r="E126" s="6"/>
      <c r="F126" s="6"/>
      <c r="G126" s="6"/>
      <c r="H126" s="6"/>
      <c r="I126" s="7"/>
      <c r="J126" s="7"/>
      <c r="K126" s="8"/>
      <c r="L126" s="6"/>
      <c r="M126" s="6"/>
      <c r="N126" s="8"/>
      <c r="O126" s="8"/>
      <c r="P126" s="6"/>
    </row>
    <row r="127" spans="1:16" x14ac:dyDescent="0.3">
      <c r="A127" s="6"/>
      <c r="B127" s="7"/>
      <c r="C127" s="6"/>
      <c r="D127" s="6"/>
      <c r="E127" s="6"/>
      <c r="F127" s="6"/>
      <c r="G127" s="6"/>
      <c r="H127" s="6"/>
      <c r="I127" s="7"/>
      <c r="J127" s="7"/>
      <c r="K127" s="8"/>
      <c r="L127" s="6"/>
      <c r="M127" s="6"/>
      <c r="N127" s="8"/>
      <c r="O127" s="8"/>
      <c r="P127" s="6"/>
    </row>
    <row r="128" spans="1:16" x14ac:dyDescent="0.3">
      <c r="A128" s="6"/>
      <c r="B128" s="7"/>
      <c r="C128" s="6"/>
      <c r="D128" s="6"/>
      <c r="E128" s="6"/>
      <c r="F128" s="6"/>
      <c r="G128" s="6"/>
      <c r="H128" s="6"/>
      <c r="I128" s="7"/>
      <c r="J128" s="7"/>
      <c r="K128" s="8"/>
      <c r="L128" s="6"/>
      <c r="M128" s="6"/>
      <c r="N128" s="8"/>
      <c r="O128" s="8"/>
      <c r="P128" s="6"/>
    </row>
    <row r="129" spans="1:16" x14ac:dyDescent="0.3">
      <c r="A129" s="6"/>
      <c r="B129" s="7"/>
      <c r="C129" s="6"/>
      <c r="D129" s="6"/>
      <c r="E129" s="6"/>
      <c r="F129" s="6"/>
      <c r="G129" s="6"/>
      <c r="H129" s="6"/>
      <c r="I129" s="7"/>
      <c r="J129" s="7"/>
      <c r="K129" s="8"/>
      <c r="L129" s="6"/>
      <c r="M129" s="6"/>
      <c r="N129" s="8"/>
      <c r="O129" s="8"/>
      <c r="P129" s="6"/>
    </row>
    <row r="130" spans="1:16" x14ac:dyDescent="0.3">
      <c r="A130" s="6"/>
      <c r="B130" s="7"/>
      <c r="C130" s="6"/>
      <c r="D130" s="6"/>
      <c r="E130" s="6"/>
      <c r="F130" s="6"/>
      <c r="G130" s="6"/>
      <c r="H130" s="6"/>
      <c r="I130" s="7"/>
      <c r="J130" s="7"/>
      <c r="K130" s="8"/>
      <c r="L130" s="6"/>
      <c r="M130" s="6"/>
      <c r="N130" s="8"/>
      <c r="O130" s="8"/>
      <c r="P130" s="6"/>
    </row>
    <row r="131" spans="1:16" x14ac:dyDescent="0.3">
      <c r="A131" s="6"/>
      <c r="B131" s="7"/>
      <c r="C131" s="6"/>
      <c r="D131" s="6"/>
      <c r="E131" s="6"/>
      <c r="F131" s="6"/>
      <c r="G131" s="6"/>
      <c r="H131" s="6"/>
      <c r="I131" s="7"/>
      <c r="J131" s="7"/>
      <c r="K131" s="8"/>
      <c r="L131" s="6"/>
      <c r="M131" s="6"/>
      <c r="N131" s="8"/>
      <c r="O131" s="8"/>
      <c r="P131" s="6"/>
    </row>
    <row r="132" spans="1:16" x14ac:dyDescent="0.3">
      <c r="A132" s="6"/>
      <c r="B132" s="7"/>
      <c r="C132" s="6"/>
      <c r="D132" s="6"/>
      <c r="E132" s="6"/>
      <c r="F132" s="6"/>
      <c r="G132" s="6"/>
      <c r="H132" s="6"/>
      <c r="I132" s="7"/>
      <c r="J132" s="7"/>
      <c r="K132" s="8"/>
      <c r="L132" s="6"/>
      <c r="M132" s="6"/>
      <c r="N132" s="8"/>
      <c r="O132" s="8"/>
      <c r="P132" s="6"/>
    </row>
    <row r="133" spans="1:16" x14ac:dyDescent="0.3">
      <c r="A133" s="6"/>
      <c r="B133" s="7"/>
      <c r="C133" s="6"/>
      <c r="D133" s="6"/>
      <c r="E133" s="6"/>
      <c r="F133" s="6"/>
      <c r="G133" s="6"/>
      <c r="H133" s="6"/>
      <c r="I133" s="7"/>
      <c r="J133" s="7"/>
      <c r="K133" s="8"/>
      <c r="L133" s="6"/>
      <c r="M133" s="6"/>
      <c r="N133" s="8"/>
      <c r="O133" s="8"/>
      <c r="P133" s="6"/>
    </row>
    <row r="134" spans="1:16" x14ac:dyDescent="0.3">
      <c r="A134" s="6"/>
      <c r="B134" s="7"/>
      <c r="C134" s="6"/>
      <c r="D134" s="6"/>
      <c r="E134" s="6"/>
      <c r="F134" s="6"/>
      <c r="G134" s="6"/>
      <c r="H134" s="6"/>
      <c r="I134" s="7"/>
      <c r="J134" s="7"/>
      <c r="K134" s="8"/>
      <c r="L134" s="6"/>
      <c r="M134" s="6"/>
      <c r="N134" s="8"/>
      <c r="O134" s="8"/>
      <c r="P134" s="6"/>
    </row>
    <row r="135" spans="1:16" x14ac:dyDescent="0.3">
      <c r="A135" s="6"/>
      <c r="B135" s="7"/>
      <c r="C135" s="6"/>
      <c r="D135" s="6"/>
      <c r="E135" s="6"/>
      <c r="F135" s="6"/>
      <c r="G135" s="6"/>
      <c r="H135" s="6"/>
      <c r="I135" s="7"/>
      <c r="J135" s="7"/>
      <c r="K135" s="8"/>
      <c r="L135" s="6"/>
      <c r="M135" s="6"/>
      <c r="N135" s="8"/>
      <c r="O135" s="8"/>
      <c r="P135" s="6"/>
    </row>
    <row r="136" spans="1:16" x14ac:dyDescent="0.3">
      <c r="A136" s="6"/>
      <c r="B136" s="7"/>
      <c r="C136" s="6"/>
      <c r="D136" s="6"/>
      <c r="E136" s="6"/>
      <c r="F136" s="6"/>
      <c r="G136" s="6"/>
      <c r="H136" s="6"/>
      <c r="I136" s="7"/>
      <c r="J136" s="7"/>
      <c r="K136" s="8"/>
      <c r="L136" s="6"/>
      <c r="M136" s="6"/>
      <c r="N136" s="8"/>
      <c r="O136" s="8"/>
      <c r="P136" s="6"/>
    </row>
    <row r="137" spans="1:16" x14ac:dyDescent="0.3">
      <c r="A137" s="6"/>
      <c r="B137" s="7"/>
      <c r="C137" s="6"/>
      <c r="D137" s="6"/>
      <c r="E137" s="6"/>
      <c r="F137" s="6"/>
      <c r="G137" s="6"/>
      <c r="H137" s="6"/>
      <c r="I137" s="7"/>
      <c r="J137" s="7"/>
      <c r="K137" s="8"/>
      <c r="L137" s="6"/>
      <c r="M137" s="6"/>
      <c r="N137" s="8"/>
      <c r="O137" s="8"/>
      <c r="P137" s="6"/>
    </row>
    <row r="138" spans="1:16" x14ac:dyDescent="0.3">
      <c r="A138" s="6"/>
      <c r="B138" s="7"/>
      <c r="C138" s="6"/>
      <c r="D138" s="6"/>
      <c r="E138" s="6"/>
      <c r="F138" s="6"/>
      <c r="G138" s="6"/>
      <c r="H138" s="6"/>
      <c r="I138" s="7"/>
      <c r="J138" s="7"/>
      <c r="K138" s="8"/>
      <c r="L138" s="6"/>
      <c r="M138" s="6"/>
      <c r="N138" s="8"/>
      <c r="O138" s="8"/>
      <c r="P138" s="6"/>
    </row>
    <row r="139" spans="1:16" x14ac:dyDescent="0.3">
      <c r="A139" s="6"/>
      <c r="B139" s="7"/>
      <c r="C139" s="6"/>
      <c r="D139" s="6"/>
      <c r="E139" s="6"/>
      <c r="F139" s="6"/>
      <c r="G139" s="6"/>
      <c r="H139" s="6"/>
      <c r="I139" s="7"/>
      <c r="J139" s="7"/>
      <c r="K139" s="8"/>
      <c r="L139" s="6"/>
      <c r="M139" s="6"/>
      <c r="N139" s="8"/>
      <c r="O139" s="8"/>
      <c r="P139" s="6"/>
    </row>
    <row r="140" spans="1:16" x14ac:dyDescent="0.3">
      <c r="A140" s="6"/>
      <c r="B140" s="7"/>
      <c r="C140" s="6"/>
      <c r="D140" s="6"/>
      <c r="E140" s="6"/>
      <c r="F140" s="6"/>
      <c r="G140" s="6"/>
      <c r="H140" s="6"/>
      <c r="I140" s="7"/>
      <c r="J140" s="7"/>
      <c r="K140" s="8"/>
      <c r="L140" s="6"/>
      <c r="M140" s="6"/>
      <c r="N140" s="8"/>
      <c r="O140" s="8"/>
      <c r="P140" s="6"/>
    </row>
    <row r="141" spans="1:16" x14ac:dyDescent="0.3">
      <c r="A141" s="6"/>
      <c r="B141" s="7"/>
      <c r="C141" s="6"/>
      <c r="D141" s="6"/>
      <c r="E141" s="6"/>
      <c r="F141" s="6"/>
      <c r="G141" s="6"/>
      <c r="H141" s="6"/>
      <c r="I141" s="7"/>
      <c r="J141" s="7"/>
      <c r="K141" s="8"/>
      <c r="L141" s="6"/>
      <c r="M141" s="6"/>
      <c r="N141" s="8"/>
      <c r="O141" s="8"/>
      <c r="P141" s="6"/>
    </row>
    <row r="142" spans="1:16" x14ac:dyDescent="0.3">
      <c r="A142" s="6"/>
      <c r="B142" s="7"/>
      <c r="C142" s="6"/>
      <c r="D142" s="6"/>
      <c r="E142" s="6"/>
      <c r="F142" s="6"/>
      <c r="G142" s="6"/>
      <c r="H142" s="6"/>
      <c r="I142" s="7"/>
      <c r="J142" s="7"/>
      <c r="K142" s="8"/>
      <c r="L142" s="6"/>
      <c r="M142" s="6"/>
      <c r="N142" s="8"/>
      <c r="O142" s="8"/>
      <c r="P142" s="6"/>
    </row>
    <row r="143" spans="1:16" x14ac:dyDescent="0.3">
      <c r="A143" s="6"/>
      <c r="B143" s="7"/>
      <c r="C143" s="6"/>
      <c r="D143" s="6"/>
      <c r="E143" s="6"/>
      <c r="F143" s="6"/>
      <c r="G143" s="6"/>
      <c r="H143" s="6"/>
      <c r="I143" s="7"/>
      <c r="J143" s="7"/>
      <c r="K143" s="8"/>
      <c r="L143" s="6"/>
      <c r="M143" s="6"/>
      <c r="N143" s="8"/>
      <c r="O143" s="8"/>
      <c r="P143" s="6"/>
    </row>
    <row r="144" spans="1:16" x14ac:dyDescent="0.3">
      <c r="A144" s="6"/>
      <c r="B144" s="7"/>
      <c r="C144" s="6"/>
      <c r="D144" s="6"/>
      <c r="E144" s="6"/>
      <c r="F144" s="6"/>
      <c r="G144" s="6"/>
      <c r="H144" s="6"/>
      <c r="I144" s="7"/>
      <c r="J144" s="7"/>
      <c r="K144" s="8"/>
      <c r="L144" s="6"/>
      <c r="M144" s="6"/>
      <c r="N144" s="8"/>
      <c r="O144" s="8"/>
      <c r="P144" s="6"/>
    </row>
    <row r="145" spans="1:16" x14ac:dyDescent="0.3">
      <c r="A145" s="6"/>
      <c r="B145" s="7"/>
      <c r="C145" s="6"/>
      <c r="D145" s="6"/>
      <c r="E145" s="6"/>
      <c r="F145" s="6"/>
      <c r="G145" s="6"/>
      <c r="H145" s="6"/>
      <c r="I145" s="7"/>
      <c r="J145" s="7"/>
      <c r="K145" s="8"/>
      <c r="L145" s="6"/>
      <c r="M145" s="6"/>
      <c r="N145" s="8"/>
      <c r="O145" s="8"/>
      <c r="P145" s="6"/>
    </row>
    <row r="146" spans="1:16" x14ac:dyDescent="0.3">
      <c r="A146" s="6"/>
      <c r="B146" s="7"/>
      <c r="C146" s="6"/>
      <c r="D146" s="6"/>
      <c r="E146" s="6"/>
      <c r="F146" s="6"/>
      <c r="G146" s="6"/>
      <c r="H146" s="6"/>
      <c r="I146" s="7"/>
      <c r="J146" s="7"/>
      <c r="K146" s="8"/>
      <c r="L146" s="6"/>
      <c r="M146" s="6"/>
      <c r="N146" s="8"/>
      <c r="O146" s="8"/>
      <c r="P146" s="6"/>
    </row>
    <row r="147" spans="1:16" x14ac:dyDescent="0.3">
      <c r="A147" s="6"/>
      <c r="B147" s="7"/>
      <c r="C147" s="6"/>
      <c r="D147" s="6"/>
      <c r="E147" s="6"/>
      <c r="F147" s="6"/>
      <c r="G147" s="6"/>
      <c r="H147" s="6"/>
      <c r="I147" s="7"/>
      <c r="J147" s="7"/>
      <c r="K147" s="8"/>
      <c r="L147" s="6"/>
      <c r="M147" s="6"/>
      <c r="N147" s="8"/>
      <c r="O147" s="8"/>
      <c r="P147" s="6"/>
    </row>
    <row r="148" spans="1:16" x14ac:dyDescent="0.3">
      <c r="A148" s="6"/>
      <c r="B148" s="7"/>
      <c r="C148" s="6"/>
      <c r="D148" s="6"/>
      <c r="E148" s="6"/>
      <c r="F148" s="6"/>
      <c r="G148" s="6"/>
      <c r="H148" s="6"/>
      <c r="I148" s="7"/>
      <c r="J148" s="7"/>
      <c r="K148" s="8"/>
      <c r="L148" s="6"/>
      <c r="M148" s="6"/>
      <c r="N148" s="8"/>
      <c r="O148" s="8"/>
      <c r="P148" s="6"/>
    </row>
    <row r="149" spans="1:16" x14ac:dyDescent="0.3">
      <c r="A149" s="6"/>
      <c r="B149" s="7"/>
      <c r="C149" s="6"/>
      <c r="D149" s="6"/>
      <c r="E149" s="6"/>
      <c r="F149" s="6"/>
      <c r="G149" s="6"/>
      <c r="H149" s="6"/>
      <c r="I149" s="7"/>
      <c r="J149" s="7"/>
      <c r="K149" s="8"/>
      <c r="L149" s="6"/>
      <c r="M149" s="6"/>
      <c r="N149" s="8"/>
      <c r="O149" s="8"/>
      <c r="P149" s="6"/>
    </row>
    <row r="150" spans="1:16" x14ac:dyDescent="0.3">
      <c r="A150" s="6"/>
      <c r="B150" s="7"/>
      <c r="C150" s="6"/>
      <c r="D150" s="6"/>
      <c r="E150" s="6"/>
      <c r="F150" s="6"/>
      <c r="G150" s="6"/>
      <c r="H150" s="6"/>
      <c r="I150" s="7"/>
      <c r="J150" s="7"/>
      <c r="K150" s="8"/>
      <c r="L150" s="6"/>
      <c r="M150" s="6"/>
      <c r="N150" s="8"/>
      <c r="O150" s="8"/>
      <c r="P150" s="6"/>
    </row>
    <row r="151" spans="1:16" x14ac:dyDescent="0.3">
      <c r="A151" s="6"/>
      <c r="B151" s="7"/>
      <c r="C151" s="6"/>
      <c r="D151" s="6"/>
      <c r="E151" s="6"/>
      <c r="F151" s="6"/>
      <c r="G151" s="6"/>
      <c r="H151" s="6"/>
      <c r="I151" s="7"/>
      <c r="J151" s="7"/>
      <c r="K151" s="8"/>
      <c r="L151" s="6"/>
      <c r="M151" s="6"/>
      <c r="N151" s="8"/>
      <c r="O151" s="8"/>
      <c r="P151" s="6"/>
    </row>
    <row r="152" spans="1:16" x14ac:dyDescent="0.3">
      <c r="A152" s="6"/>
      <c r="B152" s="7"/>
      <c r="C152" s="6"/>
      <c r="D152" s="6"/>
      <c r="E152" s="6"/>
      <c r="F152" s="6"/>
      <c r="G152" s="6"/>
      <c r="H152" s="6"/>
      <c r="I152" s="7"/>
      <c r="J152" s="7"/>
      <c r="K152" s="8"/>
      <c r="L152" s="6"/>
      <c r="M152" s="6"/>
      <c r="N152" s="8"/>
      <c r="O152" s="8"/>
      <c r="P152" s="6"/>
    </row>
    <row r="153" spans="1:16" x14ac:dyDescent="0.3">
      <c r="A153" s="6"/>
      <c r="B153" s="7"/>
      <c r="C153" s="6"/>
      <c r="D153" s="6"/>
      <c r="E153" s="6"/>
      <c r="F153" s="6"/>
      <c r="G153" s="6"/>
      <c r="H153" s="6"/>
      <c r="I153" s="7"/>
      <c r="J153" s="7"/>
      <c r="K153" s="8"/>
      <c r="L153" s="6"/>
      <c r="M153" s="6"/>
      <c r="N153" s="8"/>
      <c r="O153" s="8"/>
      <c r="P153" s="6"/>
    </row>
    <row r="154" spans="1:16" x14ac:dyDescent="0.3">
      <c r="A154" s="6"/>
      <c r="B154" s="7"/>
      <c r="C154" s="6"/>
      <c r="D154" s="6"/>
      <c r="E154" s="6"/>
      <c r="F154" s="6"/>
      <c r="G154" s="6"/>
      <c r="H154" s="6"/>
      <c r="I154" s="7"/>
      <c r="J154" s="7"/>
      <c r="K154" s="8"/>
      <c r="L154" s="6"/>
      <c r="M154" s="6"/>
      <c r="N154" s="8"/>
      <c r="O154" s="8"/>
      <c r="P154" s="6"/>
    </row>
    <row r="155" spans="1:16" x14ac:dyDescent="0.3">
      <c r="A155" s="6"/>
      <c r="B155" s="7"/>
      <c r="C155" s="6"/>
      <c r="D155" s="6"/>
      <c r="E155" s="6"/>
      <c r="F155" s="6"/>
      <c r="G155" s="6"/>
      <c r="H155" s="6"/>
      <c r="I155" s="7"/>
      <c r="J155" s="7"/>
      <c r="K155" s="8"/>
      <c r="L155" s="6"/>
      <c r="M155" s="6"/>
      <c r="N155" s="8"/>
      <c r="O155" s="8"/>
      <c r="P155" s="6"/>
    </row>
    <row r="156" spans="1:16" x14ac:dyDescent="0.3">
      <c r="A156" s="6"/>
      <c r="B156" s="7"/>
      <c r="C156" s="6"/>
      <c r="D156" s="6"/>
      <c r="E156" s="6"/>
      <c r="F156" s="6"/>
      <c r="G156" s="6"/>
      <c r="H156" s="6"/>
      <c r="I156" s="7"/>
      <c r="J156" s="7"/>
      <c r="K156" s="8"/>
      <c r="L156" s="6"/>
      <c r="M156" s="6"/>
      <c r="N156" s="8"/>
      <c r="O156" s="8"/>
      <c r="P156" s="6"/>
    </row>
    <row r="157" spans="1:16" x14ac:dyDescent="0.3">
      <c r="A157" s="6"/>
      <c r="B157" s="7"/>
      <c r="C157" s="6"/>
      <c r="D157" s="6"/>
      <c r="E157" s="6"/>
      <c r="F157" s="6"/>
      <c r="G157" s="6"/>
      <c r="H157" s="6"/>
      <c r="I157" s="7"/>
      <c r="J157" s="7"/>
      <c r="K157" s="8"/>
      <c r="L157" s="6"/>
      <c r="M157" s="6"/>
      <c r="N157" s="8"/>
      <c r="O157" s="8"/>
      <c r="P157" s="6"/>
    </row>
    <row r="158" spans="1:16" x14ac:dyDescent="0.3">
      <c r="A158" s="6"/>
      <c r="B158" s="7"/>
      <c r="C158" s="6"/>
      <c r="D158" s="6"/>
      <c r="E158" s="6"/>
      <c r="F158" s="6"/>
      <c r="G158" s="6"/>
      <c r="H158" s="6"/>
      <c r="I158" s="7"/>
      <c r="J158" s="7"/>
      <c r="K158" s="8"/>
      <c r="L158" s="6"/>
      <c r="M158" s="6"/>
      <c r="N158" s="8"/>
      <c r="O158" s="8"/>
      <c r="P158" s="6"/>
    </row>
    <row r="159" spans="1:16" x14ac:dyDescent="0.3">
      <c r="A159" s="6"/>
      <c r="B159" s="7"/>
      <c r="C159" s="6"/>
      <c r="D159" s="6"/>
      <c r="E159" s="6"/>
      <c r="F159" s="6"/>
      <c r="G159" s="6"/>
      <c r="H159" s="6"/>
      <c r="I159" s="7"/>
      <c r="J159" s="7"/>
      <c r="K159" s="8"/>
      <c r="L159" s="6"/>
      <c r="M159" s="6"/>
      <c r="N159" s="8"/>
      <c r="O159" s="8"/>
      <c r="P159" s="6"/>
    </row>
    <row r="160" spans="1:16" x14ac:dyDescent="0.3">
      <c r="A160" s="6"/>
      <c r="B160" s="7"/>
      <c r="C160" s="6"/>
      <c r="D160" s="6"/>
      <c r="E160" s="6"/>
      <c r="F160" s="6"/>
      <c r="G160" s="6"/>
      <c r="H160" s="6"/>
      <c r="I160" s="7"/>
      <c r="J160" s="7"/>
      <c r="K160" s="8"/>
      <c r="L160" s="6"/>
      <c r="M160" s="6"/>
      <c r="N160" s="8"/>
      <c r="O160" s="8"/>
      <c r="P160" s="6"/>
    </row>
    <row r="161" spans="1:16" x14ac:dyDescent="0.3">
      <c r="A161" s="6"/>
      <c r="B161" s="7"/>
      <c r="C161" s="6"/>
      <c r="D161" s="6"/>
      <c r="E161" s="6"/>
      <c r="F161" s="6"/>
      <c r="G161" s="6"/>
      <c r="H161" s="6"/>
      <c r="I161" s="7"/>
      <c r="J161" s="7"/>
      <c r="K161" s="8"/>
      <c r="L161" s="6"/>
      <c r="M161" s="6"/>
      <c r="N161" s="8"/>
      <c r="O161" s="8"/>
      <c r="P161" s="6"/>
    </row>
    <row r="162" spans="1:16" x14ac:dyDescent="0.3">
      <c r="A162" s="6"/>
      <c r="B162" s="7"/>
      <c r="C162" s="6"/>
      <c r="D162" s="6"/>
      <c r="E162" s="6"/>
      <c r="F162" s="6"/>
      <c r="G162" s="6"/>
      <c r="H162" s="6"/>
      <c r="I162" s="7"/>
      <c r="J162" s="7"/>
      <c r="K162" s="8"/>
      <c r="L162" s="6"/>
      <c r="M162" s="6"/>
      <c r="N162" s="8"/>
      <c r="O162" s="8"/>
      <c r="P162" s="6"/>
    </row>
    <row r="163" spans="1:16" x14ac:dyDescent="0.3">
      <c r="A163" s="6"/>
      <c r="B163" s="7"/>
      <c r="C163" s="6"/>
      <c r="D163" s="6"/>
      <c r="E163" s="6"/>
      <c r="F163" s="6"/>
      <c r="G163" s="6"/>
      <c r="H163" s="6"/>
      <c r="I163" s="7"/>
      <c r="J163" s="7"/>
      <c r="K163" s="8"/>
      <c r="L163" s="6"/>
      <c r="M163" s="6"/>
      <c r="N163" s="8"/>
      <c r="O163" s="8"/>
      <c r="P163" s="6"/>
    </row>
    <row r="164" spans="1:16" x14ac:dyDescent="0.3">
      <c r="A164" s="6"/>
      <c r="B164" s="7"/>
      <c r="C164" s="6"/>
      <c r="D164" s="6"/>
      <c r="E164" s="6"/>
      <c r="F164" s="6"/>
      <c r="G164" s="6"/>
      <c r="H164" s="6"/>
      <c r="I164" s="7"/>
      <c r="J164" s="7"/>
      <c r="K164" s="8"/>
      <c r="L164" s="6"/>
      <c r="M164" s="6"/>
      <c r="N164" s="8"/>
      <c r="O164" s="8"/>
      <c r="P164" s="6"/>
    </row>
    <row r="165" spans="1:16" x14ac:dyDescent="0.3">
      <c r="A165" s="6"/>
      <c r="B165" s="7"/>
      <c r="C165" s="6"/>
      <c r="D165" s="6"/>
      <c r="E165" s="6"/>
      <c r="F165" s="6"/>
      <c r="G165" s="6"/>
      <c r="H165" s="6"/>
      <c r="I165" s="7"/>
      <c r="J165" s="7"/>
      <c r="K165" s="8"/>
      <c r="L165" s="6"/>
      <c r="M165" s="6"/>
      <c r="N165" s="8"/>
      <c r="O165" s="8"/>
      <c r="P165" s="6"/>
    </row>
    <row r="166" spans="1:16" x14ac:dyDescent="0.3">
      <c r="A166" s="6"/>
      <c r="B166" s="7"/>
      <c r="C166" s="6"/>
      <c r="D166" s="6"/>
      <c r="E166" s="6"/>
      <c r="F166" s="6"/>
      <c r="G166" s="6"/>
      <c r="H166" s="6"/>
      <c r="I166" s="7"/>
      <c r="J166" s="7"/>
      <c r="K166" s="8"/>
      <c r="L166" s="6"/>
      <c r="M166" s="6"/>
      <c r="N166" s="8"/>
      <c r="O166" s="8"/>
      <c r="P166" s="6"/>
    </row>
    <row r="167" spans="1:16" x14ac:dyDescent="0.3">
      <c r="A167" s="6"/>
      <c r="B167" s="7"/>
      <c r="C167" s="6"/>
      <c r="D167" s="6"/>
      <c r="E167" s="6"/>
      <c r="F167" s="6"/>
      <c r="G167" s="6"/>
      <c r="H167" s="6"/>
      <c r="I167" s="7"/>
      <c r="J167" s="7"/>
      <c r="K167" s="8"/>
      <c r="L167" s="6"/>
      <c r="M167" s="6"/>
      <c r="N167" s="8"/>
      <c r="O167" s="8"/>
      <c r="P167" s="6"/>
    </row>
    <row r="168" spans="1:16" x14ac:dyDescent="0.3">
      <c r="A168" s="6"/>
      <c r="B168" s="7"/>
      <c r="C168" s="6"/>
      <c r="D168" s="6"/>
      <c r="E168" s="6"/>
      <c r="F168" s="6"/>
      <c r="G168" s="6"/>
      <c r="H168" s="6"/>
      <c r="I168" s="7"/>
      <c r="J168" s="7"/>
      <c r="K168" s="8"/>
      <c r="L168" s="6"/>
      <c r="M168" s="6"/>
      <c r="N168" s="8"/>
      <c r="O168" s="8"/>
      <c r="P168" s="6"/>
    </row>
    <row r="169" spans="1:16" x14ac:dyDescent="0.3">
      <c r="A169" s="6"/>
      <c r="B169" s="7"/>
      <c r="C169" s="6"/>
      <c r="D169" s="6"/>
      <c r="E169" s="6"/>
      <c r="F169" s="6"/>
      <c r="G169" s="6"/>
      <c r="H169" s="6"/>
      <c r="I169" s="7"/>
      <c r="J169" s="7"/>
      <c r="K169" s="8"/>
      <c r="L169" s="6"/>
      <c r="M169" s="6"/>
      <c r="N169" s="8"/>
      <c r="O169" s="8"/>
      <c r="P169" s="6"/>
    </row>
    <row r="170" spans="1:16" x14ac:dyDescent="0.3">
      <c r="A170" s="6"/>
      <c r="B170" s="7"/>
      <c r="C170" s="6"/>
      <c r="D170" s="6"/>
      <c r="E170" s="6"/>
      <c r="F170" s="6"/>
      <c r="G170" s="6"/>
      <c r="H170" s="6"/>
      <c r="I170" s="7"/>
      <c r="J170" s="7"/>
      <c r="K170" s="8"/>
      <c r="L170" s="6"/>
      <c r="M170" s="6"/>
      <c r="N170" s="8"/>
      <c r="O170" s="8"/>
      <c r="P170" s="6"/>
    </row>
    <row r="171" spans="1:16" x14ac:dyDescent="0.3">
      <c r="A171" s="6"/>
      <c r="B171" s="7"/>
      <c r="C171" s="6"/>
      <c r="D171" s="6"/>
      <c r="E171" s="6"/>
      <c r="F171" s="6"/>
      <c r="G171" s="6"/>
      <c r="H171" s="6"/>
      <c r="I171" s="7"/>
      <c r="J171" s="7"/>
      <c r="K171" s="8"/>
      <c r="L171" s="6"/>
      <c r="M171" s="6"/>
      <c r="N171" s="8"/>
      <c r="O171" s="8"/>
      <c r="P171" s="6"/>
    </row>
    <row r="172" spans="1:16" x14ac:dyDescent="0.3">
      <c r="A172" s="6"/>
      <c r="B172" s="7"/>
      <c r="C172" s="6"/>
      <c r="D172" s="6"/>
      <c r="E172" s="6"/>
      <c r="F172" s="6"/>
      <c r="G172" s="6"/>
      <c r="H172" s="6"/>
      <c r="I172" s="7"/>
      <c r="J172" s="7"/>
      <c r="K172" s="8"/>
      <c r="L172" s="6"/>
      <c r="M172" s="6"/>
      <c r="N172" s="8"/>
      <c r="O172" s="8"/>
      <c r="P172" s="6"/>
    </row>
    <row r="173" spans="1:16" x14ac:dyDescent="0.3">
      <c r="A173" s="6"/>
      <c r="B173" s="7"/>
      <c r="C173" s="6"/>
      <c r="D173" s="6"/>
      <c r="E173" s="6"/>
      <c r="F173" s="6"/>
      <c r="G173" s="6"/>
      <c r="H173" s="6"/>
      <c r="I173" s="7"/>
      <c r="J173" s="7"/>
      <c r="K173" s="8"/>
      <c r="L173" s="6"/>
      <c r="M173" s="6"/>
      <c r="N173" s="8"/>
      <c r="O173" s="8"/>
      <c r="P173" s="6"/>
    </row>
    <row r="174" spans="1:16" x14ac:dyDescent="0.3">
      <c r="A174" s="6"/>
      <c r="B174" s="7"/>
      <c r="C174" s="6"/>
      <c r="D174" s="6"/>
      <c r="E174" s="6"/>
      <c r="F174" s="6"/>
      <c r="G174" s="6"/>
      <c r="H174" s="6"/>
      <c r="I174" s="7"/>
      <c r="J174" s="7"/>
      <c r="K174" s="8"/>
      <c r="L174" s="6"/>
      <c r="M174" s="6"/>
      <c r="N174" s="8"/>
      <c r="O174" s="8"/>
      <c r="P174" s="6"/>
    </row>
    <row r="175" spans="1:16" x14ac:dyDescent="0.3">
      <c r="A175" s="6"/>
      <c r="B175" s="7"/>
      <c r="C175" s="6"/>
      <c r="D175" s="6"/>
      <c r="E175" s="6"/>
      <c r="F175" s="6"/>
      <c r="G175" s="6"/>
      <c r="H175" s="6"/>
      <c r="I175" s="7"/>
      <c r="J175" s="7"/>
      <c r="K175" s="8"/>
      <c r="L175" s="6"/>
      <c r="M175" s="6"/>
      <c r="N175" s="8"/>
      <c r="O175" s="8"/>
      <c r="P175" s="6"/>
    </row>
    <row r="176" spans="1:16" x14ac:dyDescent="0.3">
      <c r="A176" s="6"/>
      <c r="B176" s="7"/>
      <c r="C176" s="6"/>
      <c r="D176" s="6"/>
      <c r="E176" s="6"/>
      <c r="F176" s="6"/>
      <c r="G176" s="6"/>
      <c r="H176" s="6"/>
      <c r="I176" s="7"/>
      <c r="J176" s="7"/>
      <c r="K176" s="8"/>
      <c r="L176" s="6"/>
      <c r="M176" s="6"/>
      <c r="N176" s="8"/>
      <c r="O176" s="8"/>
      <c r="P176" s="6"/>
    </row>
    <row r="177" spans="1:16" x14ac:dyDescent="0.3">
      <c r="A177" s="6"/>
      <c r="B177" s="7"/>
      <c r="C177" s="6"/>
      <c r="D177" s="6"/>
      <c r="E177" s="6"/>
      <c r="F177" s="6"/>
      <c r="G177" s="6"/>
      <c r="H177" s="6"/>
      <c r="I177" s="7"/>
      <c r="J177" s="7"/>
      <c r="K177" s="8"/>
      <c r="L177" s="6"/>
      <c r="M177" s="6"/>
      <c r="N177" s="8"/>
      <c r="O177" s="8"/>
      <c r="P177" s="6"/>
    </row>
    <row r="178" spans="1:16" x14ac:dyDescent="0.3">
      <c r="A178" s="6"/>
      <c r="B178" s="7"/>
      <c r="C178" s="6"/>
      <c r="D178" s="6"/>
      <c r="E178" s="6"/>
      <c r="F178" s="6"/>
      <c r="G178" s="6"/>
      <c r="H178" s="6"/>
      <c r="I178" s="7"/>
      <c r="J178" s="7"/>
      <c r="K178" s="8"/>
      <c r="L178" s="6"/>
      <c r="M178" s="6"/>
      <c r="N178" s="8"/>
      <c r="O178" s="8"/>
      <c r="P178" s="6"/>
    </row>
    <row r="179" spans="1:16" x14ac:dyDescent="0.3">
      <c r="A179" s="6"/>
      <c r="B179" s="7"/>
      <c r="C179" s="6"/>
      <c r="D179" s="6"/>
      <c r="E179" s="6"/>
      <c r="F179" s="6"/>
      <c r="G179" s="6"/>
      <c r="H179" s="6"/>
      <c r="I179" s="7"/>
      <c r="J179" s="7"/>
      <c r="K179" s="8"/>
      <c r="L179" s="6"/>
      <c r="M179" s="6"/>
      <c r="N179" s="8"/>
      <c r="O179" s="8"/>
      <c r="P179" s="6"/>
    </row>
    <row r="180" spans="1:16" x14ac:dyDescent="0.3">
      <c r="A180" s="6"/>
      <c r="B180" s="7"/>
      <c r="C180" s="6"/>
      <c r="D180" s="6"/>
      <c r="E180" s="6"/>
      <c r="F180" s="6"/>
      <c r="G180" s="6"/>
      <c r="H180" s="6"/>
      <c r="I180" s="7"/>
      <c r="J180" s="7"/>
      <c r="K180" s="8"/>
      <c r="L180" s="6"/>
      <c r="M180" s="6"/>
      <c r="N180" s="8"/>
      <c r="O180" s="8"/>
      <c r="P180" s="6"/>
    </row>
    <row r="181" spans="1:16" x14ac:dyDescent="0.3">
      <c r="A181" s="6"/>
      <c r="B181" s="7"/>
      <c r="C181" s="6"/>
      <c r="D181" s="6"/>
      <c r="E181" s="6"/>
      <c r="F181" s="6"/>
      <c r="G181" s="6"/>
      <c r="H181" s="6"/>
      <c r="I181" s="7"/>
      <c r="J181" s="7"/>
      <c r="K181" s="8"/>
      <c r="L181" s="6"/>
      <c r="M181" s="6"/>
      <c r="N181" s="8"/>
      <c r="O181" s="8"/>
      <c r="P181" s="6"/>
    </row>
    <row r="182" spans="1:16" x14ac:dyDescent="0.3">
      <c r="A182" s="6"/>
      <c r="B182" s="7"/>
      <c r="C182" s="6"/>
      <c r="D182" s="6"/>
      <c r="E182" s="6"/>
      <c r="F182" s="6"/>
      <c r="G182" s="6"/>
      <c r="H182" s="6"/>
      <c r="I182" s="7"/>
      <c r="J182" s="7"/>
      <c r="K182" s="8"/>
      <c r="L182" s="6"/>
      <c r="M182" s="6"/>
      <c r="N182" s="8"/>
      <c r="O182" s="8"/>
      <c r="P182" s="6"/>
    </row>
    <row r="183" spans="1:16" x14ac:dyDescent="0.3">
      <c r="A183" s="6"/>
      <c r="B183" s="7"/>
      <c r="C183" s="6"/>
      <c r="D183" s="6"/>
      <c r="E183" s="6"/>
      <c r="F183" s="6"/>
      <c r="G183" s="6"/>
      <c r="H183" s="6"/>
      <c r="I183" s="7"/>
      <c r="J183" s="7"/>
      <c r="K183" s="8"/>
      <c r="L183" s="6"/>
      <c r="M183" s="6"/>
      <c r="N183" s="8"/>
      <c r="O183" s="8"/>
      <c r="P183" s="6"/>
    </row>
    <row r="184" spans="1:16" x14ac:dyDescent="0.3">
      <c r="A184" s="6"/>
      <c r="B184" s="7"/>
      <c r="C184" s="6"/>
      <c r="D184" s="6"/>
      <c r="E184" s="6"/>
      <c r="F184" s="6"/>
      <c r="G184" s="6"/>
      <c r="H184" s="6"/>
      <c r="I184" s="7"/>
      <c r="J184" s="7"/>
      <c r="K184" s="8"/>
      <c r="L184" s="6"/>
      <c r="M184" s="6"/>
      <c r="N184" s="8"/>
      <c r="O184" s="8"/>
      <c r="P184" s="6"/>
    </row>
    <row r="185" spans="1:16" x14ac:dyDescent="0.3">
      <c r="A185" s="6"/>
      <c r="B185" s="7"/>
      <c r="C185" s="6"/>
      <c r="D185" s="6"/>
      <c r="E185" s="6"/>
      <c r="F185" s="6"/>
      <c r="G185" s="6"/>
      <c r="H185" s="6"/>
      <c r="I185" s="7"/>
      <c r="J185" s="7"/>
      <c r="K185" s="8"/>
      <c r="L185" s="6"/>
      <c r="M185" s="6"/>
      <c r="N185" s="8"/>
      <c r="O185" s="8"/>
      <c r="P185" s="6"/>
    </row>
    <row r="186" spans="1:16" x14ac:dyDescent="0.3">
      <c r="A186" s="6"/>
      <c r="B186" s="7"/>
      <c r="C186" s="6"/>
      <c r="D186" s="6"/>
      <c r="E186" s="6"/>
      <c r="F186" s="6"/>
      <c r="G186" s="6"/>
      <c r="H186" s="6"/>
      <c r="I186" s="7"/>
      <c r="J186" s="7"/>
      <c r="K186" s="8"/>
      <c r="L186" s="6"/>
      <c r="M186" s="6"/>
      <c r="N186" s="8"/>
      <c r="O186" s="8"/>
      <c r="P186" s="6"/>
    </row>
    <row r="187" spans="1:16" x14ac:dyDescent="0.3">
      <c r="A187" s="6"/>
      <c r="B187" s="7"/>
      <c r="C187" s="6"/>
      <c r="D187" s="6"/>
      <c r="E187" s="6"/>
      <c r="F187" s="6"/>
      <c r="G187" s="6"/>
      <c r="H187" s="6"/>
      <c r="I187" s="7"/>
      <c r="J187" s="7"/>
      <c r="K187" s="8"/>
      <c r="L187" s="6"/>
      <c r="M187" s="6"/>
      <c r="N187" s="8"/>
      <c r="O187" s="8"/>
      <c r="P187" s="6"/>
    </row>
    <row r="188" spans="1:16" x14ac:dyDescent="0.3">
      <c r="A188" s="6"/>
      <c r="B188" s="7"/>
      <c r="C188" s="6"/>
      <c r="D188" s="6"/>
      <c r="E188" s="6"/>
      <c r="F188" s="6"/>
      <c r="G188" s="6"/>
      <c r="H188" s="6"/>
      <c r="I188" s="7"/>
      <c r="J188" s="7"/>
      <c r="K188" s="8"/>
      <c r="L188" s="6"/>
      <c r="M188" s="6"/>
      <c r="N188" s="8"/>
      <c r="O188" s="8"/>
      <c r="P188" s="6"/>
    </row>
    <row r="189" spans="1:16" x14ac:dyDescent="0.3">
      <c r="A189" s="6"/>
      <c r="B189" s="7"/>
      <c r="C189" s="6"/>
      <c r="D189" s="6"/>
      <c r="E189" s="6"/>
      <c r="F189" s="6"/>
      <c r="G189" s="6"/>
      <c r="H189" s="6"/>
      <c r="I189" s="7"/>
      <c r="J189" s="7"/>
      <c r="K189" s="8"/>
      <c r="L189" s="6"/>
      <c r="M189" s="6"/>
      <c r="N189" s="8"/>
      <c r="O189" s="8"/>
      <c r="P189" s="6"/>
    </row>
    <row r="190" spans="1:16" x14ac:dyDescent="0.3">
      <c r="A190" s="6"/>
      <c r="B190" s="7"/>
      <c r="C190" s="6"/>
      <c r="D190" s="6"/>
      <c r="E190" s="6"/>
      <c r="F190" s="6"/>
      <c r="G190" s="6"/>
      <c r="H190" s="6"/>
      <c r="I190" s="7"/>
      <c r="J190" s="7"/>
      <c r="K190" s="8"/>
      <c r="L190" s="6"/>
      <c r="M190" s="6"/>
      <c r="N190" s="8"/>
      <c r="O190" s="8"/>
      <c r="P190" s="6"/>
    </row>
    <row r="191" spans="1:16" x14ac:dyDescent="0.3">
      <c r="A191" s="6"/>
      <c r="B191" s="7"/>
      <c r="C191" s="6"/>
      <c r="D191" s="6"/>
      <c r="E191" s="6"/>
      <c r="F191" s="6"/>
      <c r="G191" s="6"/>
      <c r="H191" s="6"/>
      <c r="I191" s="7"/>
      <c r="J191" s="7"/>
      <c r="K191" s="8"/>
      <c r="L191" s="6"/>
      <c r="M191" s="6"/>
      <c r="N191" s="8"/>
      <c r="O191" s="8"/>
      <c r="P191" s="6"/>
    </row>
    <row r="192" spans="1:16" x14ac:dyDescent="0.3">
      <c r="A192" s="6"/>
      <c r="B192" s="7"/>
      <c r="C192" s="6"/>
      <c r="D192" s="6"/>
      <c r="E192" s="6"/>
      <c r="F192" s="6"/>
      <c r="G192" s="6"/>
      <c r="H192" s="6"/>
      <c r="I192" s="7"/>
      <c r="J192" s="7"/>
      <c r="K192" s="8"/>
      <c r="L192" s="6"/>
      <c r="M192" s="6"/>
      <c r="N192" s="8"/>
      <c r="O192" s="8"/>
      <c r="P192" s="6"/>
    </row>
    <row r="193" spans="1:16" x14ac:dyDescent="0.3">
      <c r="A193" s="6"/>
      <c r="B193" s="7"/>
      <c r="C193" s="6"/>
      <c r="D193" s="6"/>
      <c r="E193" s="6"/>
      <c r="F193" s="6"/>
      <c r="G193" s="6"/>
      <c r="H193" s="6"/>
      <c r="I193" s="7"/>
      <c r="J193" s="7"/>
      <c r="K193" s="8"/>
      <c r="L193" s="6"/>
      <c r="M193" s="6"/>
      <c r="N193" s="8"/>
      <c r="O193" s="8"/>
      <c r="P193" s="6"/>
    </row>
    <row r="194" spans="1:16" x14ac:dyDescent="0.3">
      <c r="A194" s="6"/>
      <c r="B194" s="7"/>
      <c r="C194" s="6"/>
      <c r="D194" s="6"/>
      <c r="E194" s="6"/>
      <c r="F194" s="6"/>
      <c r="G194" s="6"/>
      <c r="H194" s="6"/>
      <c r="I194" s="7"/>
      <c r="J194" s="7"/>
      <c r="K194" s="8"/>
      <c r="L194" s="6"/>
      <c r="M194" s="6"/>
      <c r="N194" s="8"/>
      <c r="O194" s="8"/>
      <c r="P194" s="6"/>
    </row>
    <row r="195" spans="1:16" x14ac:dyDescent="0.3">
      <c r="A195" s="6"/>
      <c r="B195" s="7"/>
      <c r="C195" s="6"/>
      <c r="D195" s="6"/>
      <c r="E195" s="6"/>
      <c r="F195" s="6"/>
      <c r="G195" s="6"/>
      <c r="H195" s="6"/>
      <c r="I195" s="7"/>
      <c r="J195" s="7"/>
      <c r="K195" s="8"/>
      <c r="L195" s="6"/>
      <c r="M195" s="6"/>
      <c r="N195" s="8"/>
      <c r="O195" s="8"/>
      <c r="P195" s="6"/>
    </row>
    <row r="196" spans="1:16" x14ac:dyDescent="0.3">
      <c r="A196" s="6"/>
      <c r="B196" s="7"/>
      <c r="C196" s="6"/>
      <c r="D196" s="6"/>
      <c r="E196" s="6"/>
      <c r="F196" s="6"/>
      <c r="G196" s="6"/>
      <c r="H196" s="6"/>
      <c r="I196" s="7"/>
      <c r="J196" s="7"/>
      <c r="K196" s="8"/>
      <c r="L196" s="6"/>
      <c r="M196" s="6"/>
      <c r="N196" s="8"/>
      <c r="O196" s="8"/>
      <c r="P196" s="6"/>
    </row>
    <row r="197" spans="1:16" x14ac:dyDescent="0.3">
      <c r="A197" s="6"/>
      <c r="B197" s="7"/>
      <c r="C197" s="6"/>
      <c r="D197" s="6"/>
      <c r="E197" s="6"/>
      <c r="F197" s="6"/>
      <c r="G197" s="6"/>
      <c r="H197" s="6"/>
      <c r="I197" s="7"/>
      <c r="J197" s="7"/>
      <c r="K197" s="8"/>
      <c r="L197" s="6"/>
      <c r="M197" s="6"/>
      <c r="N197" s="8"/>
      <c r="O197" s="8"/>
      <c r="P197" s="6"/>
    </row>
    <row r="198" spans="1:16" x14ac:dyDescent="0.3">
      <c r="A198" s="6"/>
      <c r="B198" s="7"/>
      <c r="C198" s="6"/>
      <c r="D198" s="6"/>
      <c r="E198" s="6"/>
      <c r="F198" s="6"/>
      <c r="G198" s="6"/>
      <c r="H198" s="6"/>
      <c r="I198" s="7"/>
      <c r="J198" s="7"/>
      <c r="K198" s="8"/>
      <c r="L198" s="6"/>
      <c r="M198" s="6"/>
      <c r="N198" s="8"/>
      <c r="O198" s="8"/>
      <c r="P198" s="6"/>
    </row>
  </sheetData>
  <phoneticPr fontId="9" type="noConversion"/>
  <dataValidations count="3">
    <dataValidation type="list" allowBlank="1" sqref="E2:E198" xr:uid="{00000000-0002-0000-0200-000000000000}">
      <formula1>Terminais</formula1>
    </dataValidation>
    <dataValidation type="list" allowBlank="1" sqref="F2:F198" xr:uid="{00000000-0002-0000-0200-000001000000}">
      <formula1>Bercos</formula1>
    </dataValidation>
    <dataValidation type="list" allowBlank="1" sqref="M2:M198" xr:uid="{00000000-0002-0000-0200-000002000000}">
      <formula1>Tipos_Operacao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01"/>
  <sheetViews>
    <sheetView workbookViewId="0">
      <pane ySplit="1" topLeftCell="A35" activePane="bottomLeft" state="frozen"/>
      <selection pane="bottomLeft" activeCell="E56" sqref="E56"/>
    </sheetView>
  </sheetViews>
  <sheetFormatPr defaultRowHeight="14.4" x14ac:dyDescent="0.3"/>
  <cols>
    <col min="1" max="1" width="16" customWidth="1"/>
    <col min="2" max="2" width="12" customWidth="1"/>
    <col min="3" max="3" width="10" customWidth="1"/>
    <col min="4" max="4" width="12" customWidth="1"/>
    <col min="5" max="5" width="8" customWidth="1"/>
    <col min="6" max="6" width="16" customWidth="1"/>
    <col min="7" max="7" width="14" customWidth="1"/>
    <col min="8" max="8" width="16" customWidth="1"/>
    <col min="9" max="9" width="18" customWidth="1"/>
    <col min="10" max="11" width="16" customWidth="1"/>
    <col min="12" max="12" width="20" customWidth="1"/>
    <col min="13" max="13" width="22" customWidth="1"/>
    <col min="14" max="14" width="20" customWidth="1"/>
    <col min="15" max="15" width="24" customWidth="1"/>
    <col min="16" max="16" width="28" customWidth="1"/>
  </cols>
  <sheetData>
    <row r="1" spans="1:16" ht="24" customHeight="1" x14ac:dyDescent="0.3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6" t="s">
        <v>16</v>
      </c>
      <c r="B2" s="7">
        <v>46198</v>
      </c>
      <c r="C2" s="6" t="s">
        <v>17</v>
      </c>
      <c r="D2" s="6" t="s">
        <v>18</v>
      </c>
      <c r="E2" s="6">
        <v>3</v>
      </c>
      <c r="F2" s="25">
        <v>6</v>
      </c>
      <c r="G2" s="25">
        <f>IF(A2="","",SUMIFS(Paradas_Detalhadas!$I:$I,Paradas_Detalhadas!$A:$A,A2,Paradas_Detalhadas!$B:$B,B2,Paradas_Detalhadas!$C:$C,C2,Paradas_Detalhadas!$D:$D,E2))</f>
        <v>1.9166666666666665</v>
      </c>
      <c r="H2" s="26">
        <f t="shared" ref="H2:H39" si="0">IF(OR(F2="",G2=""),"",MAX(F2-G2,0))</f>
        <v>4.0833333333333339</v>
      </c>
      <c r="I2" s="10">
        <v>2115.42</v>
      </c>
      <c r="J2" s="10"/>
      <c r="K2" s="10">
        <f t="shared" ref="K2:K39" si="1">IF(AND(I2="",J2=""),"",SUM(I2:J2))</f>
        <v>2115.42</v>
      </c>
      <c r="L2" s="10">
        <f t="shared" ref="L2:L39" si="2">IFERROR(K2/H2,"")</f>
        <v>518.06204081632643</v>
      </c>
      <c r="M2" s="10">
        <f t="shared" ref="M2:M39" si="3">IFERROR(I2/H2,"")</f>
        <v>518.06204081632643</v>
      </c>
      <c r="N2" s="10">
        <f t="shared" ref="N2:N39" si="4">IFERROR(J2/H2,"")</f>
        <v>0</v>
      </c>
      <c r="O2" s="6" t="s">
        <v>19</v>
      </c>
      <c r="P2" s="6" t="s">
        <v>20</v>
      </c>
    </row>
    <row r="3" spans="1:16" x14ac:dyDescent="0.3">
      <c r="A3" s="6" t="s">
        <v>16</v>
      </c>
      <c r="B3" s="7">
        <v>46198</v>
      </c>
      <c r="C3" s="6" t="s">
        <v>21</v>
      </c>
      <c r="D3" s="6" t="s">
        <v>22</v>
      </c>
      <c r="E3" s="6">
        <v>3</v>
      </c>
      <c r="F3" s="25">
        <v>6</v>
      </c>
      <c r="G3" s="25">
        <f>IF(A3="","",SUMIFS(Paradas_Detalhadas!$I:$I,Paradas_Detalhadas!$A:$A,A3,Paradas_Detalhadas!$B:$B,B3,Paradas_Detalhadas!$C:$C,C3,Paradas_Detalhadas!$D:$D,E3))</f>
        <v>0.41666666666666785</v>
      </c>
      <c r="H3" s="26">
        <f t="shared" si="0"/>
        <v>5.5833333333333321</v>
      </c>
      <c r="I3" s="10">
        <v>2825.02</v>
      </c>
      <c r="J3" s="10">
        <v>0</v>
      </c>
      <c r="K3" s="10">
        <f t="shared" si="1"/>
        <v>2825.02</v>
      </c>
      <c r="L3" s="10">
        <f t="shared" si="2"/>
        <v>505.9737313432837</v>
      </c>
      <c r="M3" s="10">
        <f t="shared" si="3"/>
        <v>505.9737313432837</v>
      </c>
      <c r="N3" s="10">
        <f t="shared" si="4"/>
        <v>0</v>
      </c>
      <c r="O3" s="6" t="s">
        <v>19</v>
      </c>
      <c r="P3" s="6" t="s">
        <v>20</v>
      </c>
    </row>
    <row r="4" spans="1:16" x14ac:dyDescent="0.3">
      <c r="A4" s="6" t="s">
        <v>16</v>
      </c>
      <c r="B4" s="7">
        <v>46198</v>
      </c>
      <c r="C4" s="6" t="s">
        <v>23</v>
      </c>
      <c r="D4" s="6" t="s">
        <v>24</v>
      </c>
      <c r="E4" s="6">
        <v>3</v>
      </c>
      <c r="F4" s="25">
        <v>6</v>
      </c>
      <c r="G4" s="25">
        <f>IF(A4="","",SUMIFS(Paradas_Detalhadas!$I:$I,Paradas_Detalhadas!$A:$A,A4,Paradas_Detalhadas!$B:$B,B4,Paradas_Detalhadas!$C:$C,C4,Paradas_Detalhadas!$D:$D,E4))</f>
        <v>1.416666666666667</v>
      </c>
      <c r="H4" s="26">
        <f t="shared" si="0"/>
        <v>4.583333333333333</v>
      </c>
      <c r="I4" s="10">
        <v>2383.87</v>
      </c>
      <c r="J4" s="10">
        <v>0</v>
      </c>
      <c r="K4" s="10">
        <f t="shared" si="1"/>
        <v>2383.87</v>
      </c>
      <c r="L4" s="10">
        <f t="shared" si="2"/>
        <v>520.11709090909096</v>
      </c>
      <c r="M4" s="10">
        <f t="shared" si="3"/>
        <v>520.11709090909096</v>
      </c>
      <c r="N4" s="10">
        <f t="shared" si="4"/>
        <v>0</v>
      </c>
      <c r="O4" s="6" t="s">
        <v>19</v>
      </c>
      <c r="P4" s="6" t="s">
        <v>20</v>
      </c>
    </row>
    <row r="5" spans="1:16" x14ac:dyDescent="0.3">
      <c r="A5" s="6" t="s">
        <v>16</v>
      </c>
      <c r="B5" s="7">
        <v>46198</v>
      </c>
      <c r="C5" s="6" t="s">
        <v>23</v>
      </c>
      <c r="D5" s="6" t="s">
        <v>24</v>
      </c>
      <c r="E5" s="6">
        <v>5</v>
      </c>
      <c r="F5" s="25">
        <v>6</v>
      </c>
      <c r="G5" s="25">
        <f>IF(A5="","",SUMIFS(Paradas_Detalhadas!$I:$I,Paradas_Detalhadas!$A:$A,A5,Paradas_Detalhadas!$B:$B,B5,Paradas_Detalhadas!$C:$C,C5,Paradas_Detalhadas!$D:$D,E5))</f>
        <v>0.58333333333333393</v>
      </c>
      <c r="H5" s="26">
        <f t="shared" si="0"/>
        <v>5.4166666666666661</v>
      </c>
      <c r="I5" s="10">
        <v>2698.55</v>
      </c>
      <c r="J5" s="10"/>
      <c r="K5" s="10">
        <f t="shared" si="1"/>
        <v>2698.55</v>
      </c>
      <c r="L5" s="10">
        <f t="shared" si="2"/>
        <v>498.19384615384627</v>
      </c>
      <c r="M5" s="10">
        <f t="shared" si="3"/>
        <v>498.19384615384627</v>
      </c>
      <c r="N5" s="10">
        <f t="shared" si="4"/>
        <v>0</v>
      </c>
      <c r="O5" s="6"/>
      <c r="P5" s="6"/>
    </row>
    <row r="6" spans="1:16" x14ac:dyDescent="0.3">
      <c r="A6" s="6" t="s">
        <v>16</v>
      </c>
      <c r="B6" s="7">
        <v>46199</v>
      </c>
      <c r="C6" s="6" t="s">
        <v>25</v>
      </c>
      <c r="D6" s="6" t="s">
        <v>26</v>
      </c>
      <c r="E6" s="6">
        <v>2</v>
      </c>
      <c r="F6" s="25">
        <v>6</v>
      </c>
      <c r="G6" s="25">
        <f>IF(A6="","",SUMIFS(Paradas_Detalhadas!$I:$I,Paradas_Detalhadas!$A:$A,A6,Paradas_Detalhadas!$B:$B,B6,Paradas_Detalhadas!$C:$C,C6,Paradas_Detalhadas!$D:$D,E6))</f>
        <v>1.2500000000000013</v>
      </c>
      <c r="H6" s="26">
        <f t="shared" si="0"/>
        <v>4.7499999999999982</v>
      </c>
      <c r="I6" s="10">
        <v>2550.9</v>
      </c>
      <c r="J6" s="10"/>
      <c r="K6" s="10">
        <f t="shared" si="1"/>
        <v>2550.9</v>
      </c>
      <c r="L6" s="10">
        <f t="shared" si="2"/>
        <v>537.03157894736864</v>
      </c>
      <c r="M6" s="10">
        <f t="shared" si="3"/>
        <v>537.03157894736864</v>
      </c>
      <c r="N6" s="10">
        <f t="shared" si="4"/>
        <v>0</v>
      </c>
      <c r="O6" s="6"/>
      <c r="P6" s="6"/>
    </row>
    <row r="7" spans="1:16" x14ac:dyDescent="0.3">
      <c r="A7" s="6" t="s">
        <v>16</v>
      </c>
      <c r="B7" s="7">
        <v>46199</v>
      </c>
      <c r="C7" s="6" t="s">
        <v>25</v>
      </c>
      <c r="D7" s="6" t="s">
        <v>26</v>
      </c>
      <c r="E7" s="6">
        <v>5</v>
      </c>
      <c r="F7" s="25">
        <v>6</v>
      </c>
      <c r="G7" s="25">
        <f>IF(A7="","",SUMIFS(Paradas_Detalhadas!$I:$I,Paradas_Detalhadas!$A:$A,A7,Paradas_Detalhadas!$B:$B,B7,Paradas_Detalhadas!$C:$C,C7,Paradas_Detalhadas!$D:$D,E7))</f>
        <v>0.66666666666666696</v>
      </c>
      <c r="H7" s="26">
        <f t="shared" si="0"/>
        <v>5.333333333333333</v>
      </c>
      <c r="I7" s="10">
        <v>1996.26</v>
      </c>
      <c r="J7" s="10"/>
      <c r="K7" s="10">
        <f t="shared" si="1"/>
        <v>1996.26</v>
      </c>
      <c r="L7" s="10">
        <f t="shared" si="2"/>
        <v>374.29875000000004</v>
      </c>
      <c r="M7" s="10">
        <f t="shared" si="3"/>
        <v>374.29875000000004</v>
      </c>
      <c r="N7" s="10">
        <f t="shared" si="4"/>
        <v>0</v>
      </c>
      <c r="O7" s="6"/>
      <c r="P7" s="6"/>
    </row>
    <row r="8" spans="1:16" x14ac:dyDescent="0.3">
      <c r="A8" s="6" t="s">
        <v>16</v>
      </c>
      <c r="B8" s="7">
        <v>46199</v>
      </c>
      <c r="C8" s="6" t="s">
        <v>17</v>
      </c>
      <c r="D8" s="6" t="s">
        <v>18</v>
      </c>
      <c r="E8" s="6">
        <v>2</v>
      </c>
      <c r="F8" s="25">
        <v>6</v>
      </c>
      <c r="G8" s="25">
        <f>IF(A8="","",SUMIFS(Paradas_Detalhadas!$I:$I,Paradas_Detalhadas!$A:$A,A8,Paradas_Detalhadas!$B:$B,B8,Paradas_Detalhadas!$C:$C,C8,Paradas_Detalhadas!$D:$D,E8))</f>
        <v>1.4166666666666656</v>
      </c>
      <c r="H8" s="26">
        <f t="shared" si="0"/>
        <v>4.5833333333333339</v>
      </c>
      <c r="I8" s="10">
        <v>2295.1799999999998</v>
      </c>
      <c r="J8" s="10"/>
      <c r="K8" s="10">
        <f t="shared" si="1"/>
        <v>2295.1799999999998</v>
      </c>
      <c r="L8" s="10">
        <f t="shared" si="2"/>
        <v>500.76654545454534</v>
      </c>
      <c r="M8" s="10">
        <f t="shared" si="3"/>
        <v>500.76654545454534</v>
      </c>
      <c r="N8" s="10">
        <f t="shared" si="4"/>
        <v>0</v>
      </c>
      <c r="O8" s="6"/>
      <c r="P8" s="6"/>
    </row>
    <row r="9" spans="1:16" x14ac:dyDescent="0.3">
      <c r="A9" s="6" t="s">
        <v>16</v>
      </c>
      <c r="B9" s="7">
        <v>46199</v>
      </c>
      <c r="C9" s="6" t="s">
        <v>17</v>
      </c>
      <c r="D9" s="6" t="s">
        <v>18</v>
      </c>
      <c r="E9" s="6">
        <v>5</v>
      </c>
      <c r="F9" s="25">
        <v>6</v>
      </c>
      <c r="G9" s="25">
        <f>IF(A9="","",SUMIFS(Paradas_Detalhadas!$I:$I,Paradas_Detalhadas!$A:$A,A9,Paradas_Detalhadas!$B:$B,B9,Paradas_Detalhadas!$C:$C,C9,Paradas_Detalhadas!$D:$D,E9))</f>
        <v>0.58333333333333259</v>
      </c>
      <c r="H9" s="26">
        <f t="shared" si="0"/>
        <v>5.4166666666666679</v>
      </c>
      <c r="I9" s="10">
        <v>2178</v>
      </c>
      <c r="J9" s="10"/>
      <c r="K9" s="10">
        <f t="shared" si="1"/>
        <v>2178</v>
      </c>
      <c r="L9" s="10">
        <f t="shared" si="2"/>
        <v>402.0923076923076</v>
      </c>
      <c r="M9" s="10">
        <f t="shared" si="3"/>
        <v>402.0923076923076</v>
      </c>
      <c r="N9" s="10">
        <f t="shared" si="4"/>
        <v>0</v>
      </c>
      <c r="O9" s="6"/>
      <c r="P9" s="6"/>
    </row>
    <row r="10" spans="1:16" x14ac:dyDescent="0.3">
      <c r="A10" s="6" t="s">
        <v>16</v>
      </c>
      <c r="B10" s="7">
        <v>46199</v>
      </c>
      <c r="C10" s="6" t="s">
        <v>21</v>
      </c>
      <c r="D10" s="6" t="s">
        <v>22</v>
      </c>
      <c r="E10" s="6">
        <v>2</v>
      </c>
      <c r="F10" s="25">
        <v>6</v>
      </c>
      <c r="G10" s="25">
        <f>IF(A10="","",SUMIFS(Paradas_Detalhadas!$I:$I,Paradas_Detalhadas!$A:$A,A10,Paradas_Detalhadas!$B:$B,B10,Paradas_Detalhadas!$C:$C,C10,Paradas_Detalhadas!$D:$D,E10))</f>
        <v>0.50000000000000089</v>
      </c>
      <c r="H10" s="26">
        <f t="shared" si="0"/>
        <v>5.4999999999999991</v>
      </c>
      <c r="I10" s="10">
        <v>2356.89</v>
      </c>
      <c r="J10" s="10"/>
      <c r="K10" s="10">
        <f t="shared" si="1"/>
        <v>2356.89</v>
      </c>
      <c r="L10" s="10">
        <f t="shared" si="2"/>
        <v>428.52545454545458</v>
      </c>
      <c r="M10" s="10">
        <f t="shared" si="3"/>
        <v>428.52545454545458</v>
      </c>
      <c r="N10" s="10">
        <f t="shared" si="4"/>
        <v>0</v>
      </c>
      <c r="O10" s="6"/>
      <c r="P10" s="6"/>
    </row>
    <row r="11" spans="1:16" x14ac:dyDescent="0.3">
      <c r="A11" s="6" t="s">
        <v>16</v>
      </c>
      <c r="B11" s="7">
        <v>46199</v>
      </c>
      <c r="C11" s="6" t="s">
        <v>21</v>
      </c>
      <c r="D11" s="6" t="s">
        <v>22</v>
      </c>
      <c r="E11" s="6">
        <v>5</v>
      </c>
      <c r="F11" s="25">
        <v>6</v>
      </c>
      <c r="G11" s="25">
        <f>IF(A11="","",SUMIFS(Paradas_Detalhadas!$I:$I,Paradas_Detalhadas!$A:$A,A11,Paradas_Detalhadas!$B:$B,B11,Paradas_Detalhadas!$C:$C,C11,Paradas_Detalhadas!$D:$D,E11))</f>
        <v>1.3333333333333339</v>
      </c>
      <c r="H11" s="26">
        <f t="shared" si="0"/>
        <v>4.6666666666666661</v>
      </c>
      <c r="I11" s="10">
        <v>1932.39</v>
      </c>
      <c r="J11" s="10"/>
      <c r="K11" s="10">
        <f t="shared" si="1"/>
        <v>1932.39</v>
      </c>
      <c r="L11" s="10">
        <f t="shared" si="2"/>
        <v>414.08357142857147</v>
      </c>
      <c r="M11" s="10">
        <f t="shared" si="3"/>
        <v>414.08357142857147</v>
      </c>
      <c r="N11" s="10">
        <f t="shared" si="4"/>
        <v>0</v>
      </c>
      <c r="O11" s="6"/>
      <c r="P11" s="6"/>
    </row>
    <row r="12" spans="1:16" x14ac:dyDescent="0.3">
      <c r="A12" s="6" t="s">
        <v>16</v>
      </c>
      <c r="B12" s="7">
        <v>46199</v>
      </c>
      <c r="C12" s="6" t="s">
        <v>23</v>
      </c>
      <c r="D12" s="6" t="s">
        <v>24</v>
      </c>
      <c r="E12" s="6">
        <v>1</v>
      </c>
      <c r="F12" s="25">
        <v>6</v>
      </c>
      <c r="G12" s="25">
        <f>IF(A12="","",SUMIFS(Paradas_Detalhadas!$I:$I,Paradas_Detalhadas!$A:$A,A12,Paradas_Detalhadas!$B:$B,B12,Paradas_Detalhadas!$C:$C,C12,Paradas_Detalhadas!$D:$D,E12))</f>
        <v>0.50000000000000089</v>
      </c>
      <c r="H12" s="26">
        <f t="shared" si="0"/>
        <v>5.4999999999999991</v>
      </c>
      <c r="I12" s="10">
        <v>1476.13</v>
      </c>
      <c r="J12" s="10"/>
      <c r="K12" s="10">
        <f t="shared" si="1"/>
        <v>1476.13</v>
      </c>
      <c r="L12" s="10">
        <f t="shared" si="2"/>
        <v>268.38727272727277</v>
      </c>
      <c r="M12" s="10">
        <f t="shared" si="3"/>
        <v>268.38727272727277</v>
      </c>
      <c r="N12" s="10">
        <f t="shared" si="4"/>
        <v>0</v>
      </c>
      <c r="O12" s="6"/>
      <c r="P12" s="6"/>
    </row>
    <row r="13" spans="1:16" x14ac:dyDescent="0.3">
      <c r="A13" s="6" t="s">
        <v>16</v>
      </c>
      <c r="B13" s="7">
        <v>46199</v>
      </c>
      <c r="C13" s="6" t="s">
        <v>23</v>
      </c>
      <c r="D13" s="6" t="s">
        <v>24</v>
      </c>
      <c r="E13" s="6">
        <v>2</v>
      </c>
      <c r="F13" s="25">
        <v>6</v>
      </c>
      <c r="G13" s="25">
        <f>IF(A13="","",SUMIFS(Paradas_Detalhadas!$I:$I,Paradas_Detalhadas!$A:$A,A13,Paradas_Detalhadas!$B:$B,B13,Paradas_Detalhadas!$C:$C,C13,Paradas_Detalhadas!$D:$D,E13))</f>
        <v>0.49999999999999822</v>
      </c>
      <c r="H13" s="26">
        <f t="shared" si="0"/>
        <v>5.5000000000000018</v>
      </c>
      <c r="I13" s="10">
        <v>821.18</v>
      </c>
      <c r="J13" s="10"/>
      <c r="K13" s="10">
        <f t="shared" si="1"/>
        <v>821.18</v>
      </c>
      <c r="L13" s="10">
        <f t="shared" si="2"/>
        <v>149.3054545454545</v>
      </c>
      <c r="M13" s="10">
        <f t="shared" si="3"/>
        <v>149.3054545454545</v>
      </c>
      <c r="N13" s="10">
        <f t="shared" si="4"/>
        <v>0</v>
      </c>
      <c r="O13" s="6"/>
      <c r="P13" s="6"/>
    </row>
    <row r="14" spans="1:16" x14ac:dyDescent="0.3">
      <c r="A14" s="6" t="s">
        <v>16</v>
      </c>
      <c r="B14" s="7">
        <v>46199</v>
      </c>
      <c r="C14" s="6" t="s">
        <v>23</v>
      </c>
      <c r="D14" s="6" t="s">
        <v>22</v>
      </c>
      <c r="E14" s="6">
        <v>4</v>
      </c>
      <c r="F14" s="25">
        <v>6</v>
      </c>
      <c r="G14" s="25">
        <f>IF(A14="","",SUMIFS(Paradas_Detalhadas!$I:$I,Paradas_Detalhadas!$A:$A,A14,Paradas_Detalhadas!$B:$B,B14,Paradas_Detalhadas!$C:$C,C14,Paradas_Detalhadas!$D:$D,E14))</f>
        <v>0.16666666666666607</v>
      </c>
      <c r="H14" s="26">
        <f t="shared" si="0"/>
        <v>5.8333333333333339</v>
      </c>
      <c r="I14" s="10">
        <v>2937.87</v>
      </c>
      <c r="J14" s="10"/>
      <c r="K14" s="10">
        <f t="shared" si="1"/>
        <v>2937.87</v>
      </c>
      <c r="L14" s="10">
        <f t="shared" si="2"/>
        <v>503.63485714285707</v>
      </c>
      <c r="M14" s="10">
        <f t="shared" si="3"/>
        <v>503.63485714285707</v>
      </c>
      <c r="N14" s="10">
        <f t="shared" si="4"/>
        <v>0</v>
      </c>
      <c r="O14" s="6"/>
      <c r="P14" s="6"/>
    </row>
    <row r="15" spans="1:16" x14ac:dyDescent="0.3">
      <c r="A15" s="6" t="s">
        <v>16</v>
      </c>
      <c r="B15" s="7">
        <v>46200</v>
      </c>
      <c r="C15" s="6" t="s">
        <v>25</v>
      </c>
      <c r="D15" s="6" t="s">
        <v>26</v>
      </c>
      <c r="E15" s="6">
        <v>1</v>
      </c>
      <c r="F15" s="25">
        <v>6</v>
      </c>
      <c r="G15" s="25">
        <f>IF(A15="","",SUMIFS(Paradas_Detalhadas!$I:$I,Paradas_Detalhadas!$A:$A,A15,Paradas_Detalhadas!$B:$B,B15,Paradas_Detalhadas!$C:$C,C15,Paradas_Detalhadas!$D:$D,E15))</f>
        <v>0.91666666666666674</v>
      </c>
      <c r="H15" s="26">
        <f t="shared" si="0"/>
        <v>5.083333333333333</v>
      </c>
      <c r="I15" s="10">
        <v>2404.29</v>
      </c>
      <c r="J15" s="10"/>
      <c r="K15" s="10">
        <f t="shared" si="1"/>
        <v>2404.29</v>
      </c>
      <c r="L15" s="10">
        <f t="shared" si="2"/>
        <v>472.97508196721316</v>
      </c>
      <c r="M15" s="10">
        <f t="shared" si="3"/>
        <v>472.97508196721316</v>
      </c>
      <c r="N15" s="10">
        <f t="shared" si="4"/>
        <v>0</v>
      </c>
      <c r="O15" s="6"/>
      <c r="P15" s="6"/>
    </row>
    <row r="16" spans="1:16" x14ac:dyDescent="0.3">
      <c r="A16" s="6" t="s">
        <v>16</v>
      </c>
      <c r="B16" s="7">
        <v>46200</v>
      </c>
      <c r="C16" s="6" t="s">
        <v>25</v>
      </c>
      <c r="D16" s="6" t="s">
        <v>26</v>
      </c>
      <c r="E16" s="6">
        <v>4</v>
      </c>
      <c r="F16" s="25">
        <v>6</v>
      </c>
      <c r="G16" s="25">
        <f>IF(A16="","",SUMIFS(Paradas_Detalhadas!$I:$I,Paradas_Detalhadas!$A:$A,A16,Paradas_Detalhadas!$B:$B,B16,Paradas_Detalhadas!$C:$C,C16,Paradas_Detalhadas!$D:$D,E16))</f>
        <v>0.75</v>
      </c>
      <c r="H16" s="26">
        <f t="shared" si="0"/>
        <v>5.25</v>
      </c>
      <c r="I16" s="10">
        <v>2550.17</v>
      </c>
      <c r="J16" s="10"/>
      <c r="K16" s="10">
        <f t="shared" si="1"/>
        <v>2550.17</v>
      </c>
      <c r="L16" s="10">
        <f t="shared" si="2"/>
        <v>485.74666666666667</v>
      </c>
      <c r="M16" s="10">
        <f t="shared" si="3"/>
        <v>485.74666666666667</v>
      </c>
      <c r="N16" s="10">
        <f t="shared" si="4"/>
        <v>0</v>
      </c>
      <c r="O16" s="6"/>
      <c r="P16" s="6"/>
    </row>
    <row r="17" spans="1:16" x14ac:dyDescent="0.3">
      <c r="A17" s="6" t="s">
        <v>16</v>
      </c>
      <c r="B17" s="7">
        <v>46200</v>
      </c>
      <c r="C17" s="6" t="s">
        <v>17</v>
      </c>
      <c r="D17" s="6" t="s">
        <v>18</v>
      </c>
      <c r="E17" s="6">
        <v>1</v>
      </c>
      <c r="F17" s="25">
        <v>6</v>
      </c>
      <c r="G17" s="25">
        <f>IF(A17="","",SUMIFS(Paradas_Detalhadas!$I:$I,Paradas_Detalhadas!$A:$A,A17,Paradas_Detalhadas!$B:$B,B17,Paradas_Detalhadas!$C:$C,C17,Paradas_Detalhadas!$D:$D,E17))</f>
        <v>0.75</v>
      </c>
      <c r="H17" s="26">
        <f t="shared" si="0"/>
        <v>5.25</v>
      </c>
      <c r="I17" s="10">
        <v>1943.43</v>
      </c>
      <c r="J17" s="10"/>
      <c r="K17" s="10">
        <f t="shared" si="1"/>
        <v>1943.43</v>
      </c>
      <c r="L17" s="10">
        <f t="shared" si="2"/>
        <v>370.17714285714288</v>
      </c>
      <c r="M17" s="10">
        <f t="shared" si="3"/>
        <v>370.17714285714288</v>
      </c>
      <c r="N17" s="10">
        <f t="shared" si="4"/>
        <v>0</v>
      </c>
      <c r="O17" s="6"/>
      <c r="P17" s="6"/>
    </row>
    <row r="18" spans="1:16" x14ac:dyDescent="0.3">
      <c r="A18" s="6" t="s">
        <v>16</v>
      </c>
      <c r="B18" s="7">
        <v>46200</v>
      </c>
      <c r="C18" s="6" t="s">
        <v>17</v>
      </c>
      <c r="D18" s="6" t="s">
        <v>18</v>
      </c>
      <c r="E18" s="6">
        <v>4</v>
      </c>
      <c r="F18" s="25">
        <v>6</v>
      </c>
      <c r="G18" s="25">
        <f>IF(A18="","",SUMIFS(Paradas_Detalhadas!$I:$I,Paradas_Detalhadas!$A:$A,A18,Paradas_Detalhadas!$B:$B,B18,Paradas_Detalhadas!$C:$C,C18,Paradas_Detalhadas!$D:$D,E18))</f>
        <v>0.75</v>
      </c>
      <c r="H18" s="26">
        <f t="shared" si="0"/>
        <v>5.25</v>
      </c>
      <c r="I18" s="10">
        <v>1987.1</v>
      </c>
      <c r="J18" s="10"/>
      <c r="K18" s="10">
        <f t="shared" si="1"/>
        <v>1987.1</v>
      </c>
      <c r="L18" s="10">
        <f t="shared" si="2"/>
        <v>378.49523809523805</v>
      </c>
      <c r="M18" s="10">
        <f t="shared" si="3"/>
        <v>378.49523809523805</v>
      </c>
      <c r="N18" s="10">
        <f t="shared" si="4"/>
        <v>0</v>
      </c>
      <c r="O18" s="6"/>
      <c r="P18" s="6"/>
    </row>
    <row r="19" spans="1:16" x14ac:dyDescent="0.3">
      <c r="A19" s="6" t="s">
        <v>16</v>
      </c>
      <c r="B19" s="7">
        <v>46200</v>
      </c>
      <c r="C19" s="6" t="s">
        <v>17</v>
      </c>
      <c r="D19" s="6" t="s">
        <v>18</v>
      </c>
      <c r="E19" s="6">
        <v>5</v>
      </c>
      <c r="F19" s="25">
        <v>6</v>
      </c>
      <c r="G19" s="25">
        <f>IF(A19="","",SUMIFS(Paradas_Detalhadas!$I:$I,Paradas_Detalhadas!$A:$A,A19,Paradas_Detalhadas!$B:$B,B19,Paradas_Detalhadas!$C:$C,C19,Paradas_Detalhadas!$D:$D,E19))</f>
        <v>0.75000000000000133</v>
      </c>
      <c r="H19" s="26">
        <f t="shared" si="0"/>
        <v>5.2499999999999982</v>
      </c>
      <c r="I19" s="10">
        <v>217.91</v>
      </c>
      <c r="J19" s="10"/>
      <c r="K19" s="10">
        <f t="shared" si="1"/>
        <v>217.91</v>
      </c>
      <c r="L19" s="10">
        <f t="shared" si="2"/>
        <v>41.506666666666682</v>
      </c>
      <c r="M19" s="10">
        <f t="shared" si="3"/>
        <v>41.506666666666682</v>
      </c>
      <c r="N19" s="10">
        <f t="shared" si="4"/>
        <v>0</v>
      </c>
      <c r="O19" s="6"/>
      <c r="P19" s="6"/>
    </row>
    <row r="20" spans="1:16" x14ac:dyDescent="0.3">
      <c r="A20" s="6" t="s">
        <v>16</v>
      </c>
      <c r="B20" s="7">
        <v>46200</v>
      </c>
      <c r="C20" s="6" t="s">
        <v>21</v>
      </c>
      <c r="D20" s="6" t="s">
        <v>22</v>
      </c>
      <c r="E20" s="6">
        <v>1</v>
      </c>
      <c r="F20" s="25">
        <v>6</v>
      </c>
      <c r="G20" s="25">
        <f>IF(A20="","",SUMIFS(Paradas_Detalhadas!$I:$I,Paradas_Detalhadas!$A:$A,A20,Paradas_Detalhadas!$B:$B,B20,Paradas_Detalhadas!$C:$C,C20,Paradas_Detalhadas!$D:$D,E20))</f>
        <v>0.50000000000000089</v>
      </c>
      <c r="H20" s="26">
        <f t="shared" si="0"/>
        <v>5.4999999999999991</v>
      </c>
      <c r="I20" s="10">
        <v>2006.63</v>
      </c>
      <c r="J20" s="10"/>
      <c r="K20" s="10">
        <f t="shared" si="1"/>
        <v>2006.63</v>
      </c>
      <c r="L20" s="10">
        <f t="shared" si="2"/>
        <v>364.84181818181827</v>
      </c>
      <c r="M20" s="10">
        <f t="shared" si="3"/>
        <v>364.84181818181827</v>
      </c>
      <c r="N20" s="10">
        <f t="shared" si="4"/>
        <v>0</v>
      </c>
      <c r="O20" s="6"/>
      <c r="P20" s="6"/>
    </row>
    <row r="21" spans="1:16" x14ac:dyDescent="0.3">
      <c r="A21" s="6" t="s">
        <v>16</v>
      </c>
      <c r="B21" s="7">
        <v>46200</v>
      </c>
      <c r="C21" s="6" t="s">
        <v>21</v>
      </c>
      <c r="D21" s="6" t="s">
        <v>22</v>
      </c>
      <c r="E21" s="6">
        <v>5</v>
      </c>
      <c r="F21" s="25">
        <v>6</v>
      </c>
      <c r="G21" s="25">
        <f>IF(A21="","",SUMIFS(Paradas_Detalhadas!$I:$I,Paradas_Detalhadas!$A:$A,A21,Paradas_Detalhadas!$B:$B,B21,Paradas_Detalhadas!$C:$C,C21,Paradas_Detalhadas!$D:$D,E21))</f>
        <v>0.50000000000000089</v>
      </c>
      <c r="H21" s="26">
        <f t="shared" si="0"/>
        <v>5.4999999999999991</v>
      </c>
      <c r="I21" s="10">
        <v>1995.61</v>
      </c>
      <c r="J21" s="10"/>
      <c r="K21" s="10">
        <f t="shared" si="1"/>
        <v>1995.61</v>
      </c>
      <c r="L21" s="10">
        <f t="shared" si="2"/>
        <v>362.83818181818185</v>
      </c>
      <c r="M21" s="10">
        <f t="shared" si="3"/>
        <v>362.83818181818185</v>
      </c>
      <c r="N21" s="10">
        <f t="shared" si="4"/>
        <v>0</v>
      </c>
      <c r="O21" s="6"/>
      <c r="P21" s="6"/>
    </row>
    <row r="22" spans="1:16" x14ac:dyDescent="0.3">
      <c r="A22" s="6" t="s">
        <v>16</v>
      </c>
      <c r="B22" s="7">
        <v>46200</v>
      </c>
      <c r="C22" s="6" t="s">
        <v>23</v>
      </c>
      <c r="D22" s="6" t="s">
        <v>24</v>
      </c>
      <c r="E22" s="6">
        <v>2</v>
      </c>
      <c r="F22" s="25">
        <v>6</v>
      </c>
      <c r="G22" s="25">
        <f>IF(A22="","",SUMIFS(Paradas_Detalhadas!$I:$I,Paradas_Detalhadas!$A:$A,A22,Paradas_Detalhadas!$B:$B,B22,Paradas_Detalhadas!$C:$C,C22,Paradas_Detalhadas!$D:$D,E22))</f>
        <v>0.75</v>
      </c>
      <c r="H22" s="26">
        <f t="shared" si="0"/>
        <v>5.25</v>
      </c>
      <c r="I22" s="10">
        <v>1376.43</v>
      </c>
      <c r="J22" s="10"/>
      <c r="K22" s="10">
        <f t="shared" si="1"/>
        <v>1376.43</v>
      </c>
      <c r="L22" s="10">
        <f t="shared" si="2"/>
        <v>262.17714285714288</v>
      </c>
      <c r="M22" s="10">
        <f t="shared" si="3"/>
        <v>262.17714285714288</v>
      </c>
      <c r="N22" s="10">
        <f t="shared" si="4"/>
        <v>0</v>
      </c>
      <c r="O22" s="6"/>
      <c r="P22" s="6"/>
    </row>
    <row r="23" spans="1:16" x14ac:dyDescent="0.3">
      <c r="A23" s="6" t="s">
        <v>16</v>
      </c>
      <c r="B23" s="7">
        <v>46200</v>
      </c>
      <c r="C23" s="6" t="s">
        <v>23</v>
      </c>
      <c r="D23" s="6" t="s">
        <v>24</v>
      </c>
      <c r="E23" s="6">
        <v>3</v>
      </c>
      <c r="F23" s="25">
        <v>6</v>
      </c>
      <c r="G23" s="25">
        <f>IF(A23="","",SUMIFS(Paradas_Detalhadas!$I:$I,Paradas_Detalhadas!$A:$A,A23,Paradas_Detalhadas!$B:$B,B23,Paradas_Detalhadas!$C:$C,C23,Paradas_Detalhadas!$D:$D,E23))</f>
        <v>0</v>
      </c>
      <c r="H23" s="26">
        <f t="shared" si="0"/>
        <v>6</v>
      </c>
      <c r="I23" s="10">
        <v>1824.28</v>
      </c>
      <c r="J23" s="10"/>
      <c r="K23" s="10">
        <f t="shared" si="1"/>
        <v>1824.28</v>
      </c>
      <c r="L23" s="10">
        <f t="shared" si="2"/>
        <v>304.04666666666668</v>
      </c>
      <c r="M23" s="10">
        <f t="shared" si="3"/>
        <v>304.04666666666668</v>
      </c>
      <c r="N23" s="10">
        <f t="shared" si="4"/>
        <v>0</v>
      </c>
      <c r="O23" s="6"/>
      <c r="P23" s="6"/>
    </row>
    <row r="24" spans="1:16" x14ac:dyDescent="0.3">
      <c r="A24" s="6" t="s">
        <v>16</v>
      </c>
      <c r="B24" s="7">
        <v>46200</v>
      </c>
      <c r="C24" s="6" t="s">
        <v>23</v>
      </c>
      <c r="D24" s="6" t="s">
        <v>24</v>
      </c>
      <c r="E24" s="6">
        <v>4</v>
      </c>
      <c r="F24" s="25">
        <v>6</v>
      </c>
      <c r="G24" s="25">
        <f>IF(A24="","",SUMIFS(Paradas_Detalhadas!$I:$I,Paradas_Detalhadas!$A:$A,A24,Paradas_Detalhadas!$B:$B,B24,Paradas_Detalhadas!$C:$C,C24,Paradas_Detalhadas!$D:$D,E24))</f>
        <v>0.66666666666666696</v>
      </c>
      <c r="H24" s="26">
        <f t="shared" si="0"/>
        <v>5.333333333333333</v>
      </c>
      <c r="I24" s="10">
        <v>31.61</v>
      </c>
      <c r="J24" s="10"/>
      <c r="K24" s="10">
        <f t="shared" si="1"/>
        <v>31.61</v>
      </c>
      <c r="L24" s="10">
        <f t="shared" si="2"/>
        <v>5.9268749999999999</v>
      </c>
      <c r="M24" s="10">
        <f t="shared" si="3"/>
        <v>5.9268749999999999</v>
      </c>
      <c r="N24" s="10">
        <f t="shared" si="4"/>
        <v>0</v>
      </c>
      <c r="O24" s="6"/>
      <c r="P24" s="6"/>
    </row>
    <row r="25" spans="1:16" x14ac:dyDescent="0.3">
      <c r="A25" s="6" t="s">
        <v>16</v>
      </c>
      <c r="B25" s="7">
        <v>46200</v>
      </c>
      <c r="C25" s="6" t="s">
        <v>23</v>
      </c>
      <c r="D25" s="6" t="s">
        <v>24</v>
      </c>
      <c r="E25" s="6">
        <v>5</v>
      </c>
      <c r="F25" s="25">
        <v>6</v>
      </c>
      <c r="G25" s="25">
        <f>IF(A25="","",SUMIFS(Paradas_Detalhadas!$I:$I,Paradas_Detalhadas!$A:$A,A25,Paradas_Detalhadas!$B:$B,B25,Paradas_Detalhadas!$C:$C,C25,Paradas_Detalhadas!$D:$D,E25))</f>
        <v>0.83333333333333304</v>
      </c>
      <c r="H25" s="26">
        <f t="shared" si="0"/>
        <v>5.166666666666667</v>
      </c>
      <c r="I25" s="10">
        <v>73.540000000000006</v>
      </c>
      <c r="J25" s="10"/>
      <c r="K25" s="10">
        <f t="shared" si="1"/>
        <v>73.540000000000006</v>
      </c>
      <c r="L25" s="10">
        <f t="shared" si="2"/>
        <v>14.233548387096775</v>
      </c>
      <c r="M25" s="10">
        <f t="shared" si="3"/>
        <v>14.233548387096775</v>
      </c>
      <c r="N25" s="10">
        <f t="shared" si="4"/>
        <v>0</v>
      </c>
      <c r="O25" s="6"/>
      <c r="P25" s="6"/>
    </row>
    <row r="26" spans="1:16" x14ac:dyDescent="0.3">
      <c r="A26" s="6" t="s">
        <v>16</v>
      </c>
      <c r="B26" s="7">
        <v>46201</v>
      </c>
      <c r="C26" s="6" t="s">
        <v>25</v>
      </c>
      <c r="D26" s="6" t="s">
        <v>26</v>
      </c>
      <c r="E26" s="6">
        <v>1</v>
      </c>
      <c r="F26" s="25">
        <v>6</v>
      </c>
      <c r="G26" s="25">
        <f>IF(A26="","",SUMIFS(Paradas_Detalhadas!$I:$I,Paradas_Detalhadas!$A:$A,A26,Paradas_Detalhadas!$B:$B,B26,Paradas_Detalhadas!$C:$C,C26,Paradas_Detalhadas!$D:$D,E26))</f>
        <v>0.91666666666666674</v>
      </c>
      <c r="H26" s="26">
        <f t="shared" si="0"/>
        <v>5.083333333333333</v>
      </c>
      <c r="I26" s="10">
        <v>144.15</v>
      </c>
      <c r="J26" s="10"/>
      <c r="K26" s="10">
        <f t="shared" si="1"/>
        <v>144.15</v>
      </c>
      <c r="L26" s="10">
        <f t="shared" si="2"/>
        <v>28.357377049180332</v>
      </c>
      <c r="M26" s="10">
        <f t="shared" si="3"/>
        <v>28.357377049180332</v>
      </c>
      <c r="N26" s="10">
        <f t="shared" si="4"/>
        <v>0</v>
      </c>
      <c r="O26" s="6"/>
      <c r="P26" s="6"/>
    </row>
    <row r="27" spans="1:16" x14ac:dyDescent="0.3">
      <c r="A27" s="6" t="s">
        <v>16</v>
      </c>
      <c r="B27" s="7">
        <v>46201</v>
      </c>
      <c r="C27" s="6" t="s">
        <v>25</v>
      </c>
      <c r="D27" s="6" t="s">
        <v>26</v>
      </c>
      <c r="E27" s="6">
        <v>2</v>
      </c>
      <c r="F27" s="25">
        <v>6</v>
      </c>
      <c r="G27" s="25">
        <f>IF(A27="","",SUMIFS(Paradas_Detalhadas!$I:$I,Paradas_Detalhadas!$A:$A,A27,Paradas_Detalhadas!$B:$B,B27,Paradas_Detalhadas!$C:$C,C27,Paradas_Detalhadas!$D:$D,E27))</f>
        <v>0.91666666666666607</v>
      </c>
      <c r="H27" s="26">
        <f t="shared" si="0"/>
        <v>5.0833333333333339</v>
      </c>
      <c r="I27" s="10">
        <v>1081.7</v>
      </c>
      <c r="J27" s="10"/>
      <c r="K27" s="10">
        <f t="shared" si="1"/>
        <v>1081.7</v>
      </c>
      <c r="L27" s="10">
        <f t="shared" si="2"/>
        <v>212.79344262295081</v>
      </c>
      <c r="M27" s="10">
        <f t="shared" si="3"/>
        <v>212.79344262295081</v>
      </c>
      <c r="N27" s="10">
        <f t="shared" si="4"/>
        <v>0</v>
      </c>
      <c r="O27" s="6"/>
      <c r="P27" s="6"/>
    </row>
    <row r="28" spans="1:16" x14ac:dyDescent="0.3">
      <c r="A28" s="6" t="s">
        <v>16</v>
      </c>
      <c r="B28" s="7">
        <v>46201</v>
      </c>
      <c r="C28" s="6" t="s">
        <v>25</v>
      </c>
      <c r="D28" s="6" t="s">
        <v>26</v>
      </c>
      <c r="E28" s="6">
        <v>3</v>
      </c>
      <c r="F28" s="25">
        <v>6</v>
      </c>
      <c r="G28" s="25">
        <f>IF(A28="","",SUMIFS(Paradas_Detalhadas!$I:$I,Paradas_Detalhadas!$A:$A,A28,Paradas_Detalhadas!$B:$B,B28,Paradas_Detalhadas!$C:$C,C28,Paradas_Detalhadas!$D:$D,E28))</f>
        <v>0</v>
      </c>
      <c r="H28" s="26">
        <f t="shared" si="0"/>
        <v>6</v>
      </c>
      <c r="I28" s="10">
        <v>193.05</v>
      </c>
      <c r="J28" s="10"/>
      <c r="K28" s="10">
        <f t="shared" si="1"/>
        <v>193.05</v>
      </c>
      <c r="L28" s="10">
        <f t="shared" si="2"/>
        <v>32.175000000000004</v>
      </c>
      <c r="M28" s="10">
        <f t="shared" si="3"/>
        <v>32.175000000000004</v>
      </c>
      <c r="N28" s="10">
        <f t="shared" si="4"/>
        <v>0</v>
      </c>
      <c r="O28" s="6"/>
      <c r="P28" s="6"/>
    </row>
    <row r="29" spans="1:16" x14ac:dyDescent="0.3">
      <c r="A29" s="6" t="s">
        <v>16</v>
      </c>
      <c r="B29" s="7">
        <v>46201</v>
      </c>
      <c r="C29" s="6" t="s">
        <v>25</v>
      </c>
      <c r="D29" s="6" t="s">
        <v>26</v>
      </c>
      <c r="E29" s="6">
        <v>4</v>
      </c>
      <c r="F29" s="25">
        <v>6</v>
      </c>
      <c r="G29" s="25">
        <f>IF(A29="","",SUMIFS(Paradas_Detalhadas!$I:$I,Paradas_Detalhadas!$A:$A,A29,Paradas_Detalhadas!$B:$B,B29,Paradas_Detalhadas!$C:$C,C29,Paradas_Detalhadas!$D:$D,E29))</f>
        <v>1.3333333333333339</v>
      </c>
      <c r="H29" s="26">
        <f t="shared" si="0"/>
        <v>4.6666666666666661</v>
      </c>
      <c r="I29" s="10">
        <v>1908.54</v>
      </c>
      <c r="J29" s="10"/>
      <c r="K29" s="10">
        <f t="shared" si="1"/>
        <v>1908.54</v>
      </c>
      <c r="L29" s="10">
        <f t="shared" si="2"/>
        <v>408.97285714285721</v>
      </c>
      <c r="M29" s="10">
        <f t="shared" si="3"/>
        <v>408.97285714285721</v>
      </c>
      <c r="N29" s="10">
        <f t="shared" si="4"/>
        <v>0</v>
      </c>
      <c r="O29" s="6"/>
      <c r="P29" s="6"/>
    </row>
    <row r="30" spans="1:16" x14ac:dyDescent="0.3">
      <c r="A30" s="6" t="s">
        <v>16</v>
      </c>
      <c r="B30" s="7">
        <v>46201</v>
      </c>
      <c r="C30" s="6" t="s">
        <v>25</v>
      </c>
      <c r="D30" s="6" t="s">
        <v>26</v>
      </c>
      <c r="E30" s="6">
        <v>5</v>
      </c>
      <c r="F30" s="25">
        <v>6</v>
      </c>
      <c r="G30" s="25">
        <f>IF(A30="","",SUMIFS(Paradas_Detalhadas!$I:$I,Paradas_Detalhadas!$A:$A,A30,Paradas_Detalhadas!$B:$B,B30,Paradas_Detalhadas!$C:$C,C30,Paradas_Detalhadas!$D:$D,E30))</f>
        <v>1</v>
      </c>
      <c r="H30" s="26">
        <f t="shared" si="0"/>
        <v>5</v>
      </c>
      <c r="I30" s="10">
        <v>287.45</v>
      </c>
      <c r="J30" s="10"/>
      <c r="K30" s="10">
        <f t="shared" si="1"/>
        <v>287.45</v>
      </c>
      <c r="L30" s="10">
        <f t="shared" si="2"/>
        <v>57.489999999999995</v>
      </c>
      <c r="M30" s="10">
        <f t="shared" si="3"/>
        <v>57.489999999999995</v>
      </c>
      <c r="N30" s="10">
        <f t="shared" si="4"/>
        <v>0</v>
      </c>
      <c r="O30" s="6"/>
      <c r="P30" s="6"/>
    </row>
    <row r="31" spans="1:16" x14ac:dyDescent="0.3">
      <c r="A31" s="6" t="s">
        <v>16</v>
      </c>
      <c r="B31" s="7">
        <v>46201</v>
      </c>
      <c r="C31" s="6" t="s">
        <v>17</v>
      </c>
      <c r="D31" s="6" t="s">
        <v>18</v>
      </c>
      <c r="E31" s="6">
        <v>2</v>
      </c>
      <c r="F31" s="25">
        <v>6</v>
      </c>
      <c r="G31" s="25">
        <f>IF(A31="","",SUMIFS(Paradas_Detalhadas!$I:$I,Paradas_Detalhadas!$A:$A,A31,Paradas_Detalhadas!$B:$B,B31,Paradas_Detalhadas!$C:$C,C31,Paradas_Detalhadas!$D:$D,E31))</f>
        <v>0</v>
      </c>
      <c r="H31" s="26">
        <f t="shared" si="0"/>
        <v>6</v>
      </c>
      <c r="I31" s="10">
        <v>29.74</v>
      </c>
      <c r="J31" s="10"/>
      <c r="K31" s="10">
        <f t="shared" si="1"/>
        <v>29.74</v>
      </c>
      <c r="L31" s="10">
        <f t="shared" si="2"/>
        <v>4.9566666666666661</v>
      </c>
      <c r="M31" s="10">
        <f t="shared" si="3"/>
        <v>4.9566666666666661</v>
      </c>
      <c r="N31" s="10">
        <f t="shared" si="4"/>
        <v>0</v>
      </c>
      <c r="O31" s="6"/>
      <c r="P31" s="6"/>
    </row>
    <row r="32" spans="1:16" x14ac:dyDescent="0.3">
      <c r="A32" s="6" t="s">
        <v>16</v>
      </c>
      <c r="B32" s="7">
        <v>46201</v>
      </c>
      <c r="C32" s="6" t="s">
        <v>17</v>
      </c>
      <c r="D32" s="6" t="s">
        <v>18</v>
      </c>
      <c r="E32" s="6">
        <v>3</v>
      </c>
      <c r="F32" s="25">
        <v>6</v>
      </c>
      <c r="G32" s="25">
        <f>IF(A32="","",SUMIFS(Paradas_Detalhadas!$I:$I,Paradas_Detalhadas!$A:$A,A32,Paradas_Detalhadas!$B:$B,B32,Paradas_Detalhadas!$C:$C,C32,Paradas_Detalhadas!$D:$D,E32))</f>
        <v>1.0833333333333335</v>
      </c>
      <c r="H32" s="26">
        <f t="shared" si="0"/>
        <v>4.9166666666666661</v>
      </c>
      <c r="I32" s="10">
        <v>1728.57</v>
      </c>
      <c r="J32" s="10"/>
      <c r="K32" s="10">
        <f t="shared" si="1"/>
        <v>1728.57</v>
      </c>
      <c r="L32" s="10">
        <f t="shared" si="2"/>
        <v>351.57355932203393</v>
      </c>
      <c r="M32" s="10">
        <f t="shared" si="3"/>
        <v>351.57355932203393</v>
      </c>
      <c r="N32" s="10">
        <f t="shared" si="4"/>
        <v>0</v>
      </c>
      <c r="O32" s="6"/>
      <c r="P32" s="6"/>
    </row>
    <row r="33" spans="1:16" x14ac:dyDescent="0.3">
      <c r="A33" s="6" t="s">
        <v>16</v>
      </c>
      <c r="B33" s="7">
        <v>46201</v>
      </c>
      <c r="C33" s="6" t="s">
        <v>17</v>
      </c>
      <c r="D33" s="6" t="s">
        <v>18</v>
      </c>
      <c r="E33" s="6">
        <v>4</v>
      </c>
      <c r="F33" s="25">
        <v>6</v>
      </c>
      <c r="G33" s="25">
        <f>IF(A33="","",SUMIFS(Paradas_Detalhadas!$I:$I,Paradas_Detalhadas!$A:$A,A33,Paradas_Detalhadas!$B:$B,B33,Paradas_Detalhadas!$C:$C,C33,Paradas_Detalhadas!$D:$D,E33))</f>
        <v>0.83333333333333304</v>
      </c>
      <c r="H33" s="26">
        <f t="shared" si="0"/>
        <v>5.166666666666667</v>
      </c>
      <c r="I33" s="10">
        <v>2134.73</v>
      </c>
      <c r="J33" s="10"/>
      <c r="K33" s="10">
        <f t="shared" si="1"/>
        <v>2134.73</v>
      </c>
      <c r="L33" s="10">
        <f t="shared" si="2"/>
        <v>413.17354838709673</v>
      </c>
      <c r="M33" s="10">
        <f t="shared" si="3"/>
        <v>413.17354838709673</v>
      </c>
      <c r="N33" s="10">
        <f t="shared" si="4"/>
        <v>0</v>
      </c>
      <c r="O33" s="6"/>
      <c r="P33" s="6"/>
    </row>
    <row r="34" spans="1:16" x14ac:dyDescent="0.3">
      <c r="A34" s="6" t="s">
        <v>16</v>
      </c>
      <c r="B34" s="7">
        <v>46201</v>
      </c>
      <c r="C34" s="6" t="s">
        <v>21</v>
      </c>
      <c r="D34" s="6" t="s">
        <v>22</v>
      </c>
      <c r="E34" s="6">
        <v>3</v>
      </c>
      <c r="F34" s="25">
        <v>6</v>
      </c>
      <c r="G34" s="25">
        <f>IF(A34="","",SUMIFS(Paradas_Detalhadas!$I:$I,Paradas_Detalhadas!$A:$A,A34,Paradas_Detalhadas!$B:$B,B34,Paradas_Detalhadas!$C:$C,C34,Paradas_Detalhadas!$D:$D,E34))</f>
        <v>1.3333333333333313</v>
      </c>
      <c r="H34" s="26">
        <f t="shared" si="0"/>
        <v>4.6666666666666687</v>
      </c>
      <c r="I34" s="10">
        <v>1633.68</v>
      </c>
      <c r="J34" s="10"/>
      <c r="K34" s="10">
        <f t="shared" si="1"/>
        <v>1633.68</v>
      </c>
      <c r="L34" s="10">
        <f t="shared" si="2"/>
        <v>350.07428571428557</v>
      </c>
      <c r="M34" s="10">
        <f t="shared" si="3"/>
        <v>350.07428571428557</v>
      </c>
      <c r="N34" s="10">
        <f t="shared" si="4"/>
        <v>0</v>
      </c>
      <c r="O34" s="6"/>
      <c r="P34" s="6"/>
    </row>
    <row r="35" spans="1:16" x14ac:dyDescent="0.3">
      <c r="A35" s="6" t="s">
        <v>16</v>
      </c>
      <c r="B35" s="7">
        <v>46201</v>
      </c>
      <c r="C35" s="6" t="s">
        <v>21</v>
      </c>
      <c r="D35" s="6" t="s">
        <v>22</v>
      </c>
      <c r="E35" s="6">
        <v>4</v>
      </c>
      <c r="F35" s="25">
        <v>6</v>
      </c>
      <c r="G35" s="25">
        <f>IF(A35="","",SUMIFS(Paradas_Detalhadas!$I:$I,Paradas_Detalhadas!$A:$A,A35,Paradas_Detalhadas!$B:$B,B35,Paradas_Detalhadas!$C:$C,C35,Paradas_Detalhadas!$D:$D,E35))</f>
        <v>1.5</v>
      </c>
      <c r="H35" s="26">
        <f t="shared" si="0"/>
        <v>4.5</v>
      </c>
      <c r="I35" s="10">
        <v>1999.23</v>
      </c>
      <c r="J35" s="10"/>
      <c r="K35" s="10">
        <f t="shared" si="1"/>
        <v>1999.23</v>
      </c>
      <c r="L35" s="10">
        <f t="shared" si="2"/>
        <v>444.27333333333331</v>
      </c>
      <c r="M35" s="10">
        <f t="shared" si="3"/>
        <v>444.27333333333331</v>
      </c>
      <c r="N35" s="10">
        <f t="shared" si="4"/>
        <v>0</v>
      </c>
      <c r="O35" s="6"/>
      <c r="P35" s="6"/>
    </row>
    <row r="36" spans="1:16" x14ac:dyDescent="0.3">
      <c r="A36" s="6" t="s">
        <v>16</v>
      </c>
      <c r="B36" s="7">
        <v>46201</v>
      </c>
      <c r="C36" s="6" t="s">
        <v>23</v>
      </c>
      <c r="D36" s="6" t="s">
        <v>24</v>
      </c>
      <c r="E36" s="6">
        <v>3</v>
      </c>
      <c r="F36" s="25">
        <v>6</v>
      </c>
      <c r="G36" s="25">
        <f>IF(A36="","",SUMIFS(Paradas_Detalhadas!$I:$I,Paradas_Detalhadas!$A:$A,A36,Paradas_Detalhadas!$B:$B,B36,Paradas_Detalhadas!$C:$C,C36,Paradas_Detalhadas!$D:$D,E36))</f>
        <v>0.83333333333333304</v>
      </c>
      <c r="H36" s="26">
        <f t="shared" si="0"/>
        <v>5.166666666666667</v>
      </c>
      <c r="I36" s="10">
        <v>1629</v>
      </c>
      <c r="J36" s="10"/>
      <c r="K36" s="10">
        <f t="shared" si="1"/>
        <v>1629</v>
      </c>
      <c r="L36" s="10">
        <f t="shared" si="2"/>
        <v>315.29032258064512</v>
      </c>
      <c r="M36" s="10">
        <f t="shared" si="3"/>
        <v>315.29032258064512</v>
      </c>
      <c r="N36" s="10">
        <f t="shared" si="4"/>
        <v>0</v>
      </c>
      <c r="O36" s="6"/>
      <c r="P36" s="6"/>
    </row>
    <row r="37" spans="1:16" x14ac:dyDescent="0.3">
      <c r="A37" s="6" t="s">
        <v>16</v>
      </c>
      <c r="B37" s="7">
        <v>46201</v>
      </c>
      <c r="C37" s="6" t="s">
        <v>23</v>
      </c>
      <c r="D37" s="6" t="s">
        <v>24</v>
      </c>
      <c r="E37" s="6">
        <v>4</v>
      </c>
      <c r="F37" s="25">
        <v>6</v>
      </c>
      <c r="G37" s="25">
        <f>IF(A37="","",SUMIFS(Paradas_Detalhadas!$I:$I,Paradas_Detalhadas!$A:$A,A37,Paradas_Detalhadas!$B:$B,B37,Paradas_Detalhadas!$C:$C,C37,Paradas_Detalhadas!$D:$D,E37))</f>
        <v>0.50000000000000089</v>
      </c>
      <c r="H37" s="26">
        <f t="shared" si="0"/>
        <v>5.4999999999999991</v>
      </c>
      <c r="I37" s="10">
        <v>1814.54</v>
      </c>
      <c r="J37" s="10"/>
      <c r="K37" s="10">
        <f t="shared" si="1"/>
        <v>1814.54</v>
      </c>
      <c r="L37" s="10">
        <f t="shared" si="2"/>
        <v>329.91636363636366</v>
      </c>
      <c r="M37" s="10">
        <f t="shared" si="3"/>
        <v>329.91636363636366</v>
      </c>
      <c r="N37" s="10">
        <f t="shared" si="4"/>
        <v>0</v>
      </c>
      <c r="O37" s="6"/>
      <c r="P37" s="6"/>
    </row>
    <row r="38" spans="1:16" x14ac:dyDescent="0.3">
      <c r="A38" s="6" t="s">
        <v>16</v>
      </c>
      <c r="B38" s="7">
        <v>46202</v>
      </c>
      <c r="C38" s="6" t="s">
        <v>25</v>
      </c>
      <c r="D38" s="6" t="s">
        <v>26</v>
      </c>
      <c r="E38" s="6">
        <v>3</v>
      </c>
      <c r="F38" s="25">
        <v>4</v>
      </c>
      <c r="G38" s="25">
        <f>IF(A38="","",SUMIFS(Paradas_Detalhadas!$I:$I,Paradas_Detalhadas!$A:$A,A38,Paradas_Detalhadas!$B:$B,B38,Paradas_Detalhadas!$C:$C,C38,Paradas_Detalhadas!$D:$D,E38))</f>
        <v>0.33333333333333348</v>
      </c>
      <c r="H38" s="26">
        <f t="shared" si="0"/>
        <v>3.6666666666666665</v>
      </c>
      <c r="I38" s="10">
        <v>626.44000000000005</v>
      </c>
      <c r="J38" s="10"/>
      <c r="K38" s="10">
        <f t="shared" si="1"/>
        <v>626.44000000000005</v>
      </c>
      <c r="L38" s="10">
        <f t="shared" si="2"/>
        <v>170.84727272727275</v>
      </c>
      <c r="M38" s="10">
        <f t="shared" si="3"/>
        <v>170.84727272727275</v>
      </c>
      <c r="N38" s="10">
        <f t="shared" si="4"/>
        <v>0</v>
      </c>
      <c r="O38" s="6"/>
      <c r="P38" s="6"/>
    </row>
    <row r="39" spans="1:16" x14ac:dyDescent="0.3">
      <c r="A39" s="6" t="s">
        <v>16</v>
      </c>
      <c r="B39" s="7">
        <v>46202</v>
      </c>
      <c r="C39" s="6" t="s">
        <v>25</v>
      </c>
      <c r="D39" s="6" t="s">
        <v>26</v>
      </c>
      <c r="E39" s="6">
        <v>4</v>
      </c>
      <c r="F39" s="25">
        <v>4</v>
      </c>
      <c r="G39" s="25">
        <f>IF(A39="","",SUMIFS(Paradas_Detalhadas!$I:$I,Paradas_Detalhadas!$A:$A,A39,Paradas_Detalhadas!$B:$B,B39,Paradas_Detalhadas!$C:$C,C39,Paradas_Detalhadas!$D:$D,E39))</f>
        <v>0</v>
      </c>
      <c r="H39" s="26">
        <f t="shared" si="0"/>
        <v>4</v>
      </c>
      <c r="I39" s="10">
        <v>50.96</v>
      </c>
      <c r="J39" s="10"/>
      <c r="K39" s="10">
        <f t="shared" si="1"/>
        <v>50.96</v>
      </c>
      <c r="L39" s="10">
        <f t="shared" si="2"/>
        <v>12.74</v>
      </c>
      <c r="M39" s="10">
        <f t="shared" si="3"/>
        <v>12.74</v>
      </c>
      <c r="N39" s="10">
        <f t="shared" si="4"/>
        <v>0</v>
      </c>
      <c r="O39" s="6"/>
      <c r="P39" s="6"/>
    </row>
    <row r="40" spans="1:16" x14ac:dyDescent="0.3">
      <c r="A40" s="6" t="s">
        <v>27</v>
      </c>
      <c r="B40" s="7">
        <v>46211</v>
      </c>
      <c r="C40" s="6" t="s">
        <v>23</v>
      </c>
      <c r="D40" s="6" t="s">
        <v>24</v>
      </c>
      <c r="E40" s="6">
        <v>2</v>
      </c>
      <c r="F40" s="25">
        <v>6</v>
      </c>
      <c r="G40" s="25">
        <v>0.71666666666666945</v>
      </c>
      <c r="H40" s="26">
        <v>5.2833333333333314</v>
      </c>
      <c r="I40" s="10"/>
      <c r="J40" s="10">
        <v>1590.87</v>
      </c>
      <c r="K40" s="10">
        <v>1590.87</v>
      </c>
      <c r="L40" s="10">
        <v>301.11104100946392</v>
      </c>
      <c r="M40" s="10">
        <v>0</v>
      </c>
      <c r="N40" s="10">
        <v>301.11104100946392</v>
      </c>
      <c r="O40" s="6" t="s">
        <v>28</v>
      </c>
      <c r="P40" s="6"/>
    </row>
    <row r="41" spans="1:16" x14ac:dyDescent="0.3">
      <c r="A41" s="6" t="s">
        <v>27</v>
      </c>
      <c r="B41" s="7">
        <v>46212</v>
      </c>
      <c r="C41" s="6" t="s">
        <v>25</v>
      </c>
      <c r="D41" s="6" t="s">
        <v>26</v>
      </c>
      <c r="E41" s="6">
        <v>2</v>
      </c>
      <c r="F41" s="25">
        <v>6</v>
      </c>
      <c r="G41" s="25">
        <v>2.166666666666667</v>
      </c>
      <c r="H41" s="26">
        <v>3.833333333333333</v>
      </c>
      <c r="I41" s="10"/>
      <c r="J41" s="10">
        <v>1743.76</v>
      </c>
      <c r="K41" s="10">
        <v>1743.76</v>
      </c>
      <c r="L41" s="10">
        <v>454.89391304347828</v>
      </c>
      <c r="M41" s="10">
        <v>0</v>
      </c>
      <c r="N41" s="10">
        <v>454.89391304347828</v>
      </c>
      <c r="O41" s="6" t="s">
        <v>29</v>
      </c>
      <c r="P41" s="6"/>
    </row>
    <row r="42" spans="1:16" x14ac:dyDescent="0.3">
      <c r="A42" s="6" t="s">
        <v>27</v>
      </c>
      <c r="B42" s="7">
        <v>46212</v>
      </c>
      <c r="C42" s="6" t="s">
        <v>17</v>
      </c>
      <c r="D42" s="6" t="s">
        <v>18</v>
      </c>
      <c r="E42" s="6">
        <v>4</v>
      </c>
      <c r="F42" s="25">
        <v>6</v>
      </c>
      <c r="G42" s="25">
        <v>0.91666666666666607</v>
      </c>
      <c r="H42" s="26">
        <v>5.0833333333333339</v>
      </c>
      <c r="I42" s="10"/>
      <c r="J42" s="10">
        <v>2042.14</v>
      </c>
      <c r="K42" s="10">
        <v>2042.14</v>
      </c>
      <c r="L42" s="10">
        <v>401.73245901639342</v>
      </c>
      <c r="M42" s="10">
        <v>0</v>
      </c>
      <c r="N42" s="10">
        <v>401.73245901639342</v>
      </c>
      <c r="O42" s="6" t="s">
        <v>30</v>
      </c>
      <c r="P42" s="6"/>
    </row>
    <row r="43" spans="1:16" x14ac:dyDescent="0.3">
      <c r="A43" s="6" t="s">
        <v>27</v>
      </c>
      <c r="B43" s="7">
        <v>46212</v>
      </c>
      <c r="C43" s="6" t="s">
        <v>21</v>
      </c>
      <c r="D43" s="6" t="s">
        <v>22</v>
      </c>
      <c r="E43" s="6">
        <v>4</v>
      </c>
      <c r="F43" s="25">
        <v>6</v>
      </c>
      <c r="G43" s="25">
        <v>1.4166666666666701</v>
      </c>
      <c r="H43" s="26">
        <v>4.5833333333333304</v>
      </c>
      <c r="I43" s="10"/>
      <c r="J43" s="10">
        <v>1733.57</v>
      </c>
      <c r="K43" s="10">
        <v>1733.57</v>
      </c>
      <c r="L43" s="10">
        <v>378.23345454545478</v>
      </c>
      <c r="M43" s="10">
        <v>0</v>
      </c>
      <c r="N43" s="10">
        <v>378.23345454545478</v>
      </c>
      <c r="O43" s="6" t="s">
        <v>29</v>
      </c>
      <c r="P43" s="6"/>
    </row>
    <row r="44" spans="1:16" x14ac:dyDescent="0.3">
      <c r="A44" s="6" t="s">
        <v>27</v>
      </c>
      <c r="B44" s="7">
        <v>46212</v>
      </c>
      <c r="C44" s="6" t="s">
        <v>23</v>
      </c>
      <c r="D44" s="6" t="s">
        <v>24</v>
      </c>
      <c r="E44" s="6">
        <v>4</v>
      </c>
      <c r="F44" s="25">
        <v>6</v>
      </c>
      <c r="G44" s="25">
        <v>1.000000000000002</v>
      </c>
      <c r="H44" s="26">
        <v>4.9999999999999982</v>
      </c>
      <c r="I44" s="10"/>
      <c r="J44" s="10">
        <v>2076.87</v>
      </c>
      <c r="K44" s="10">
        <v>2076.87</v>
      </c>
      <c r="L44" s="10">
        <v>415.37400000000008</v>
      </c>
      <c r="M44" s="10">
        <v>0</v>
      </c>
      <c r="N44" s="10">
        <v>415.37400000000008</v>
      </c>
      <c r="O44" s="6" t="s">
        <v>29</v>
      </c>
      <c r="P44" s="6"/>
    </row>
    <row r="45" spans="1:16" x14ac:dyDescent="0.3">
      <c r="A45" s="6" t="s">
        <v>27</v>
      </c>
      <c r="B45" s="7">
        <v>46213</v>
      </c>
      <c r="C45" s="6" t="s">
        <v>25</v>
      </c>
      <c r="D45" s="6" t="s">
        <v>26</v>
      </c>
      <c r="E45" s="6">
        <v>4</v>
      </c>
      <c r="F45" s="25">
        <v>6</v>
      </c>
      <c r="G45" s="25">
        <v>2.4166666666666679</v>
      </c>
      <c r="H45" s="26">
        <v>3.5833333333333321</v>
      </c>
      <c r="I45" s="10"/>
      <c r="J45" s="10">
        <v>1600.49</v>
      </c>
      <c r="K45" s="10">
        <v>1600.49</v>
      </c>
      <c r="L45" s="10">
        <v>446.6483720930234</v>
      </c>
      <c r="M45" s="10">
        <v>0</v>
      </c>
      <c r="N45" s="10">
        <v>446.6483720930234</v>
      </c>
      <c r="O45" s="6" t="s">
        <v>29</v>
      </c>
      <c r="P45" s="6"/>
    </row>
    <row r="46" spans="1:16" x14ac:dyDescent="0.3">
      <c r="A46" s="6" t="s">
        <v>27</v>
      </c>
      <c r="B46" s="7">
        <v>46213</v>
      </c>
      <c r="C46" s="6" t="s">
        <v>17</v>
      </c>
      <c r="D46" s="6" t="s">
        <v>18</v>
      </c>
      <c r="E46" s="6">
        <v>4</v>
      </c>
      <c r="F46" s="25">
        <v>4</v>
      </c>
      <c r="G46" s="25">
        <f>IF(A46="","",SUMIFS(Paradas_Detalhadas!$I:$I,Paradas_Detalhadas!$A:$A,A46,Paradas_Detalhadas!$B:$B,B46,Paradas_Detalhadas!$C:$C,C46,Paradas_Detalhadas!$D:$D,E46))</f>
        <v>1.9999999999999996</v>
      </c>
      <c r="H46" s="26">
        <f t="shared" ref="H46:H109" si="5">IF(OR(F46="",G46=""),"",MAX(F46-G46,0))</f>
        <v>2.0000000000000004</v>
      </c>
      <c r="I46" s="10"/>
      <c r="J46" s="10">
        <v>400.85</v>
      </c>
      <c r="K46" s="10">
        <f t="shared" ref="K46:K109" si="6">IF(AND(I46="",J46=""),"",SUM(I46:J46))</f>
        <v>400.85</v>
      </c>
      <c r="L46" s="10">
        <f t="shared" ref="L46:L109" si="7">IFERROR(K46/H46,"")</f>
        <v>200.42499999999995</v>
      </c>
      <c r="M46" s="10">
        <f t="shared" ref="M46:M109" si="8">IFERROR(I46/H46,"")</f>
        <v>0</v>
      </c>
      <c r="N46" s="10">
        <f t="shared" ref="N46:N109" si="9">IFERROR(J46/H46,"")</f>
        <v>200.42499999999995</v>
      </c>
      <c r="O46" s="6"/>
      <c r="P46" s="6"/>
    </row>
    <row r="47" spans="1:16" x14ac:dyDescent="0.3">
      <c r="A47" s="6" t="s">
        <v>221</v>
      </c>
      <c r="B47" s="7">
        <v>46237</v>
      </c>
      <c r="C47" s="6" t="s">
        <v>23</v>
      </c>
      <c r="D47" s="6" t="s">
        <v>24</v>
      </c>
      <c r="E47" s="6">
        <v>2</v>
      </c>
      <c r="F47" s="25">
        <v>6</v>
      </c>
      <c r="G47" s="25">
        <f>IF(A47="","",SUMIFS(Paradas_Detalhadas!$I:$I,Paradas_Detalhadas!$A:$A,A47,Paradas_Detalhadas!$B:$B,B47,Paradas_Detalhadas!$C:$C,C47,Paradas_Detalhadas!$D:$D,E47))</f>
        <v>0.16666666666666874</v>
      </c>
      <c r="H47" s="26">
        <f t="shared" si="5"/>
        <v>5.8333333333333313</v>
      </c>
      <c r="I47" s="10">
        <v>2219.11</v>
      </c>
      <c r="J47" s="10"/>
      <c r="K47" s="10">
        <f t="shared" si="6"/>
        <v>2219.11</v>
      </c>
      <c r="L47" s="10">
        <f t="shared" si="7"/>
        <v>380.41885714285729</v>
      </c>
      <c r="M47" s="10">
        <f t="shared" si="8"/>
        <v>380.41885714285729</v>
      </c>
      <c r="N47" s="10">
        <f t="shared" si="9"/>
        <v>0</v>
      </c>
      <c r="O47" s="6"/>
      <c r="P47" s="6"/>
    </row>
    <row r="48" spans="1:16" x14ac:dyDescent="0.3">
      <c r="A48" s="6" t="s">
        <v>221</v>
      </c>
      <c r="B48" s="7">
        <v>46238</v>
      </c>
      <c r="C48" s="6" t="s">
        <v>25</v>
      </c>
      <c r="D48" s="6" t="s">
        <v>26</v>
      </c>
      <c r="E48" s="6">
        <v>2</v>
      </c>
      <c r="F48" s="25">
        <v>6</v>
      </c>
      <c r="G48" s="25">
        <f>IF(A48="","",SUMIFS(Paradas_Detalhadas!$I:$I,Paradas_Detalhadas!$A:$A,A48,Paradas_Detalhadas!$B:$B,B48,Paradas_Detalhadas!$C:$C,C48,Paradas_Detalhadas!$D:$D,E48))</f>
        <v>0.16666666666666674</v>
      </c>
      <c r="H48" s="26">
        <f t="shared" si="5"/>
        <v>5.833333333333333</v>
      </c>
      <c r="I48" s="10">
        <v>2115.0700000000002</v>
      </c>
      <c r="J48" s="10"/>
      <c r="K48" s="10">
        <f t="shared" si="6"/>
        <v>2115.0700000000002</v>
      </c>
      <c r="L48" s="10">
        <f t="shared" si="7"/>
        <v>362.58342857142861</v>
      </c>
      <c r="M48" s="10">
        <f t="shared" si="8"/>
        <v>362.58342857142861</v>
      </c>
      <c r="N48" s="10">
        <f t="shared" si="9"/>
        <v>0</v>
      </c>
      <c r="O48" s="6"/>
      <c r="P48" s="6"/>
    </row>
    <row r="49" spans="1:16" x14ac:dyDescent="0.3">
      <c r="A49" s="6" t="s">
        <v>221</v>
      </c>
      <c r="B49" s="7">
        <v>46238</v>
      </c>
      <c r="C49" s="6" t="s">
        <v>17</v>
      </c>
      <c r="D49" s="6" t="s">
        <v>18</v>
      </c>
      <c r="E49" s="6">
        <v>2</v>
      </c>
      <c r="F49" s="25">
        <v>6</v>
      </c>
      <c r="G49" s="25">
        <f>IF(A49="","",SUMIFS(Paradas_Detalhadas!$I:$I,Paradas_Detalhadas!$A:$A,A49,Paradas_Detalhadas!$B:$B,B49,Paradas_Detalhadas!$C:$C,C49,Paradas_Detalhadas!$D:$D,E49))</f>
        <v>0.83333333333333304</v>
      </c>
      <c r="H49" s="26">
        <f t="shared" si="5"/>
        <v>5.166666666666667</v>
      </c>
      <c r="I49" s="10">
        <v>2013.59</v>
      </c>
      <c r="J49" s="10"/>
      <c r="K49" s="10">
        <f t="shared" si="6"/>
        <v>2013.59</v>
      </c>
      <c r="L49" s="10">
        <f t="shared" si="7"/>
        <v>389.72709677419351</v>
      </c>
      <c r="M49" s="10">
        <f t="shared" si="8"/>
        <v>389.72709677419351</v>
      </c>
      <c r="N49" s="10">
        <f t="shared" si="9"/>
        <v>0</v>
      </c>
      <c r="O49" s="6"/>
      <c r="P49" s="6"/>
    </row>
    <row r="50" spans="1:16" x14ac:dyDescent="0.3">
      <c r="A50" s="6"/>
      <c r="B50" s="7"/>
      <c r="C50" s="6"/>
      <c r="D50" s="6"/>
      <c r="E50" s="6"/>
      <c r="F50" s="25"/>
      <c r="G50" s="25" t="str">
        <f>IF(A50="","",SUMIFS(Paradas_Detalhadas!$I:$I,Paradas_Detalhadas!$A:$A,A50,Paradas_Detalhadas!$B:$B,B50,Paradas_Detalhadas!$C:$C,C50,Paradas_Detalhadas!$D:$D,E50))</f>
        <v/>
      </c>
      <c r="H50" s="26" t="str">
        <f t="shared" si="5"/>
        <v/>
      </c>
      <c r="I50" s="10"/>
      <c r="J50" s="10"/>
      <c r="K50" s="10" t="str">
        <f t="shared" si="6"/>
        <v/>
      </c>
      <c r="L50" s="10" t="str">
        <f t="shared" si="7"/>
        <v/>
      </c>
      <c r="M50" s="10" t="str">
        <f t="shared" si="8"/>
        <v/>
      </c>
      <c r="N50" s="10" t="str">
        <f t="shared" si="9"/>
        <v/>
      </c>
      <c r="O50" s="6"/>
      <c r="P50" s="6"/>
    </row>
    <row r="51" spans="1:16" x14ac:dyDescent="0.3">
      <c r="A51" s="6"/>
      <c r="B51" s="7"/>
      <c r="C51" s="6"/>
      <c r="D51" s="6"/>
      <c r="E51" s="6"/>
      <c r="F51" s="25"/>
      <c r="G51" s="25" t="str">
        <f>IF(A51="","",SUMIFS(Paradas_Detalhadas!$I:$I,Paradas_Detalhadas!$A:$A,A51,Paradas_Detalhadas!$B:$B,B51,Paradas_Detalhadas!$C:$C,C51,Paradas_Detalhadas!$D:$D,E51))</f>
        <v/>
      </c>
      <c r="H51" s="26" t="str">
        <f t="shared" si="5"/>
        <v/>
      </c>
      <c r="I51" s="10"/>
      <c r="J51" s="10"/>
      <c r="K51" s="10" t="str">
        <f t="shared" si="6"/>
        <v/>
      </c>
      <c r="L51" s="10" t="str">
        <f t="shared" si="7"/>
        <v/>
      </c>
      <c r="M51" s="10" t="str">
        <f t="shared" si="8"/>
        <v/>
      </c>
      <c r="N51" s="10" t="str">
        <f t="shared" si="9"/>
        <v/>
      </c>
      <c r="O51" s="6"/>
      <c r="P51" s="6"/>
    </row>
    <row r="52" spans="1:16" x14ac:dyDescent="0.3">
      <c r="A52" s="6"/>
      <c r="B52" s="7"/>
      <c r="C52" s="6"/>
      <c r="D52" s="6"/>
      <c r="E52" s="6"/>
      <c r="F52" s="25"/>
      <c r="G52" s="25" t="str">
        <f>IF(A52="","",SUMIFS(Paradas_Detalhadas!$I:$I,Paradas_Detalhadas!$A:$A,A52,Paradas_Detalhadas!$B:$B,B52,Paradas_Detalhadas!$C:$C,C52,Paradas_Detalhadas!$D:$D,E52))</f>
        <v/>
      </c>
      <c r="H52" s="26" t="str">
        <f t="shared" si="5"/>
        <v/>
      </c>
      <c r="I52" s="10"/>
      <c r="J52" s="10"/>
      <c r="K52" s="10" t="str">
        <f t="shared" si="6"/>
        <v/>
      </c>
      <c r="L52" s="10" t="str">
        <f t="shared" si="7"/>
        <v/>
      </c>
      <c r="M52" s="10" t="str">
        <f t="shared" si="8"/>
        <v/>
      </c>
      <c r="N52" s="10" t="str">
        <f t="shared" si="9"/>
        <v/>
      </c>
      <c r="O52" s="6"/>
      <c r="P52" s="6"/>
    </row>
    <row r="53" spans="1:16" x14ac:dyDescent="0.3">
      <c r="A53" s="6"/>
      <c r="B53" s="7"/>
      <c r="C53" s="6"/>
      <c r="D53" s="6"/>
      <c r="E53" s="6"/>
      <c r="F53" s="25"/>
      <c r="G53" s="25" t="str">
        <f>IF(A53="","",SUMIFS(Paradas_Detalhadas!$I:$I,Paradas_Detalhadas!$A:$A,A53,Paradas_Detalhadas!$B:$B,B53,Paradas_Detalhadas!$C:$C,C53,Paradas_Detalhadas!$D:$D,E53))</f>
        <v/>
      </c>
      <c r="H53" s="26" t="str">
        <f t="shared" si="5"/>
        <v/>
      </c>
      <c r="I53" s="10"/>
      <c r="J53" s="10"/>
      <c r="K53" s="10" t="str">
        <f t="shared" si="6"/>
        <v/>
      </c>
      <c r="L53" s="10" t="str">
        <f t="shared" si="7"/>
        <v/>
      </c>
      <c r="M53" s="10" t="str">
        <f t="shared" si="8"/>
        <v/>
      </c>
      <c r="N53" s="10" t="str">
        <f t="shared" si="9"/>
        <v/>
      </c>
      <c r="O53" s="6"/>
      <c r="P53" s="6"/>
    </row>
    <row r="54" spans="1:16" x14ac:dyDescent="0.3">
      <c r="A54" s="6"/>
      <c r="B54" s="7"/>
      <c r="C54" s="6"/>
      <c r="D54" s="6"/>
      <c r="E54" s="6"/>
      <c r="F54" s="25"/>
      <c r="G54" s="25" t="str">
        <f>IF(A54="","",SUMIFS(Paradas_Detalhadas!$I:$I,Paradas_Detalhadas!$A:$A,A54,Paradas_Detalhadas!$B:$B,B54,Paradas_Detalhadas!$C:$C,C54,Paradas_Detalhadas!$D:$D,E54))</f>
        <v/>
      </c>
      <c r="H54" s="26" t="str">
        <f t="shared" si="5"/>
        <v/>
      </c>
      <c r="I54" s="10"/>
      <c r="J54" s="10"/>
      <c r="K54" s="10" t="str">
        <f t="shared" si="6"/>
        <v/>
      </c>
      <c r="L54" s="10" t="str">
        <f t="shared" si="7"/>
        <v/>
      </c>
      <c r="M54" s="10" t="str">
        <f t="shared" si="8"/>
        <v/>
      </c>
      <c r="N54" s="10" t="str">
        <f t="shared" si="9"/>
        <v/>
      </c>
      <c r="O54" s="6"/>
      <c r="P54" s="6"/>
    </row>
    <row r="55" spans="1:16" x14ac:dyDescent="0.3">
      <c r="A55" s="6"/>
      <c r="B55" s="7"/>
      <c r="C55" s="6"/>
      <c r="D55" s="6"/>
      <c r="E55" s="6"/>
      <c r="F55" s="25"/>
      <c r="G55" s="25" t="str">
        <f>IF(A55="","",SUMIFS(Paradas_Detalhadas!$I:$I,Paradas_Detalhadas!$A:$A,A55,Paradas_Detalhadas!$B:$B,B55,Paradas_Detalhadas!$C:$C,C55,Paradas_Detalhadas!$D:$D,E55))</f>
        <v/>
      </c>
      <c r="H55" s="26" t="str">
        <f t="shared" si="5"/>
        <v/>
      </c>
      <c r="I55" s="10"/>
      <c r="J55" s="10"/>
      <c r="K55" s="10" t="str">
        <f t="shared" si="6"/>
        <v/>
      </c>
      <c r="L55" s="10" t="str">
        <f t="shared" si="7"/>
        <v/>
      </c>
      <c r="M55" s="10" t="str">
        <f t="shared" si="8"/>
        <v/>
      </c>
      <c r="N55" s="10" t="str">
        <f t="shared" si="9"/>
        <v/>
      </c>
      <c r="O55" s="6"/>
      <c r="P55" s="6"/>
    </row>
    <row r="56" spans="1:16" x14ac:dyDescent="0.3">
      <c r="A56" s="6"/>
      <c r="B56" s="7"/>
      <c r="C56" s="6"/>
      <c r="D56" s="6"/>
      <c r="E56" s="6"/>
      <c r="F56" s="25"/>
      <c r="G56" s="25" t="str">
        <f>IF(A56="","",SUMIFS(Paradas_Detalhadas!$I:$I,Paradas_Detalhadas!$A:$A,A56,Paradas_Detalhadas!$B:$B,B56,Paradas_Detalhadas!$C:$C,C56,Paradas_Detalhadas!$D:$D,E56))</f>
        <v/>
      </c>
      <c r="H56" s="26" t="str">
        <f t="shared" si="5"/>
        <v/>
      </c>
      <c r="I56" s="10"/>
      <c r="J56" s="10"/>
      <c r="K56" s="10" t="str">
        <f t="shared" si="6"/>
        <v/>
      </c>
      <c r="L56" s="10" t="str">
        <f t="shared" si="7"/>
        <v/>
      </c>
      <c r="M56" s="10" t="str">
        <f t="shared" si="8"/>
        <v/>
      </c>
      <c r="N56" s="10" t="str">
        <f t="shared" si="9"/>
        <v/>
      </c>
      <c r="O56" s="6"/>
      <c r="P56" s="6"/>
    </row>
    <row r="57" spans="1:16" x14ac:dyDescent="0.3">
      <c r="A57" s="6"/>
      <c r="B57" s="7"/>
      <c r="C57" s="6"/>
      <c r="D57" s="6"/>
      <c r="E57" s="6"/>
      <c r="F57" s="25"/>
      <c r="G57" s="25" t="str">
        <f>IF(A57="","",SUMIFS(Paradas_Detalhadas!$I:$I,Paradas_Detalhadas!$A:$A,A57,Paradas_Detalhadas!$B:$B,B57,Paradas_Detalhadas!$C:$C,C57,Paradas_Detalhadas!$D:$D,E57))</f>
        <v/>
      </c>
      <c r="H57" s="26" t="str">
        <f t="shared" si="5"/>
        <v/>
      </c>
      <c r="I57" s="10"/>
      <c r="J57" s="10"/>
      <c r="K57" s="10" t="str">
        <f t="shared" si="6"/>
        <v/>
      </c>
      <c r="L57" s="10" t="str">
        <f t="shared" si="7"/>
        <v/>
      </c>
      <c r="M57" s="10" t="str">
        <f t="shared" si="8"/>
        <v/>
      </c>
      <c r="N57" s="10" t="str">
        <f t="shared" si="9"/>
        <v/>
      </c>
      <c r="O57" s="6"/>
      <c r="P57" s="6"/>
    </row>
    <row r="58" spans="1:16" x14ac:dyDescent="0.3">
      <c r="A58" s="6"/>
      <c r="B58" s="7"/>
      <c r="C58" s="6"/>
      <c r="D58" s="6"/>
      <c r="E58" s="6"/>
      <c r="F58" s="25"/>
      <c r="G58" s="25" t="str">
        <f>IF(A58="","",SUMIFS(Paradas_Detalhadas!$I:$I,Paradas_Detalhadas!$A:$A,A58,Paradas_Detalhadas!$B:$B,B58,Paradas_Detalhadas!$C:$C,C58,Paradas_Detalhadas!$D:$D,E58))</f>
        <v/>
      </c>
      <c r="H58" s="26" t="str">
        <f t="shared" si="5"/>
        <v/>
      </c>
      <c r="I58" s="10"/>
      <c r="J58" s="10"/>
      <c r="K58" s="10" t="str">
        <f t="shared" si="6"/>
        <v/>
      </c>
      <c r="L58" s="10" t="str">
        <f t="shared" si="7"/>
        <v/>
      </c>
      <c r="M58" s="10" t="str">
        <f t="shared" si="8"/>
        <v/>
      </c>
      <c r="N58" s="10" t="str">
        <f t="shared" si="9"/>
        <v/>
      </c>
      <c r="O58" s="6"/>
      <c r="P58" s="6"/>
    </row>
    <row r="59" spans="1:16" x14ac:dyDescent="0.3">
      <c r="A59" s="6"/>
      <c r="B59" s="7"/>
      <c r="C59" s="6"/>
      <c r="D59" s="6"/>
      <c r="E59" s="6"/>
      <c r="F59" s="25"/>
      <c r="G59" s="25" t="str">
        <f>IF(A59="","",SUMIFS(Paradas_Detalhadas!$I:$I,Paradas_Detalhadas!$A:$A,A59,Paradas_Detalhadas!$B:$B,B59,Paradas_Detalhadas!$C:$C,C59,Paradas_Detalhadas!$D:$D,E59))</f>
        <v/>
      </c>
      <c r="H59" s="26" t="str">
        <f t="shared" si="5"/>
        <v/>
      </c>
      <c r="I59" s="10"/>
      <c r="J59" s="10"/>
      <c r="K59" s="10" t="str">
        <f t="shared" si="6"/>
        <v/>
      </c>
      <c r="L59" s="10" t="str">
        <f t="shared" si="7"/>
        <v/>
      </c>
      <c r="M59" s="10" t="str">
        <f t="shared" si="8"/>
        <v/>
      </c>
      <c r="N59" s="10" t="str">
        <f t="shared" si="9"/>
        <v/>
      </c>
      <c r="O59" s="6"/>
      <c r="P59" s="6"/>
    </row>
    <row r="60" spans="1:16" x14ac:dyDescent="0.3">
      <c r="A60" s="6"/>
      <c r="B60" s="7"/>
      <c r="C60" s="6"/>
      <c r="D60" s="6"/>
      <c r="E60" s="6"/>
      <c r="F60" s="25"/>
      <c r="G60" s="25" t="str">
        <f>IF(A60="","",SUMIFS(Paradas_Detalhadas!$I:$I,Paradas_Detalhadas!$A:$A,A60,Paradas_Detalhadas!$B:$B,B60,Paradas_Detalhadas!$C:$C,C60,Paradas_Detalhadas!$D:$D,E60))</f>
        <v/>
      </c>
      <c r="H60" s="26" t="str">
        <f t="shared" si="5"/>
        <v/>
      </c>
      <c r="I60" s="10"/>
      <c r="J60" s="10"/>
      <c r="K60" s="10" t="str">
        <f t="shared" si="6"/>
        <v/>
      </c>
      <c r="L60" s="10" t="str">
        <f t="shared" si="7"/>
        <v/>
      </c>
      <c r="M60" s="10" t="str">
        <f t="shared" si="8"/>
        <v/>
      </c>
      <c r="N60" s="10" t="str">
        <f t="shared" si="9"/>
        <v/>
      </c>
      <c r="O60" s="6"/>
      <c r="P60" s="6"/>
    </row>
    <row r="61" spans="1:16" x14ac:dyDescent="0.3">
      <c r="A61" s="6"/>
      <c r="B61" s="7"/>
      <c r="C61" s="6"/>
      <c r="D61" s="6"/>
      <c r="E61" s="6"/>
      <c r="F61" s="25"/>
      <c r="G61" s="25" t="str">
        <f>IF(A61="","",SUMIFS(Paradas_Detalhadas!$I:$I,Paradas_Detalhadas!$A:$A,A61,Paradas_Detalhadas!$B:$B,B61,Paradas_Detalhadas!$C:$C,C61,Paradas_Detalhadas!$D:$D,E61))</f>
        <v/>
      </c>
      <c r="H61" s="26" t="str">
        <f t="shared" si="5"/>
        <v/>
      </c>
      <c r="I61" s="10"/>
      <c r="J61" s="10"/>
      <c r="K61" s="10" t="str">
        <f t="shared" si="6"/>
        <v/>
      </c>
      <c r="L61" s="10" t="str">
        <f t="shared" si="7"/>
        <v/>
      </c>
      <c r="M61" s="10" t="str">
        <f t="shared" si="8"/>
        <v/>
      </c>
      <c r="N61" s="10" t="str">
        <f t="shared" si="9"/>
        <v/>
      </c>
      <c r="O61" s="6"/>
      <c r="P61" s="6"/>
    </row>
    <row r="62" spans="1:16" x14ac:dyDescent="0.3">
      <c r="A62" s="6"/>
      <c r="B62" s="7"/>
      <c r="C62" s="6"/>
      <c r="D62" s="6"/>
      <c r="E62" s="6"/>
      <c r="F62" s="25"/>
      <c r="G62" s="25" t="str">
        <f>IF(A62="","",SUMIFS(Paradas_Detalhadas!$I:$I,Paradas_Detalhadas!$A:$A,A62,Paradas_Detalhadas!$B:$B,B62,Paradas_Detalhadas!$C:$C,C62,Paradas_Detalhadas!$D:$D,E62))</f>
        <v/>
      </c>
      <c r="H62" s="26" t="str">
        <f t="shared" si="5"/>
        <v/>
      </c>
      <c r="I62" s="10"/>
      <c r="J62" s="10"/>
      <c r="K62" s="10" t="str">
        <f t="shared" si="6"/>
        <v/>
      </c>
      <c r="L62" s="10" t="str">
        <f t="shared" si="7"/>
        <v/>
      </c>
      <c r="M62" s="10" t="str">
        <f t="shared" si="8"/>
        <v/>
      </c>
      <c r="N62" s="10" t="str">
        <f t="shared" si="9"/>
        <v/>
      </c>
      <c r="O62" s="6"/>
      <c r="P62" s="6"/>
    </row>
    <row r="63" spans="1:16" x14ac:dyDescent="0.3">
      <c r="A63" s="6"/>
      <c r="B63" s="7"/>
      <c r="C63" s="6"/>
      <c r="D63" s="6"/>
      <c r="E63" s="6"/>
      <c r="F63" s="25"/>
      <c r="G63" s="25" t="str">
        <f>IF(A63="","",SUMIFS(Paradas_Detalhadas!$I:$I,Paradas_Detalhadas!$A:$A,A63,Paradas_Detalhadas!$B:$B,B63,Paradas_Detalhadas!$C:$C,C63,Paradas_Detalhadas!$D:$D,E63))</f>
        <v/>
      </c>
      <c r="H63" s="26" t="str">
        <f t="shared" si="5"/>
        <v/>
      </c>
      <c r="I63" s="10"/>
      <c r="J63" s="10"/>
      <c r="K63" s="10" t="str">
        <f t="shared" si="6"/>
        <v/>
      </c>
      <c r="L63" s="10" t="str">
        <f t="shared" si="7"/>
        <v/>
      </c>
      <c r="M63" s="10" t="str">
        <f t="shared" si="8"/>
        <v/>
      </c>
      <c r="N63" s="10" t="str">
        <f t="shared" si="9"/>
        <v/>
      </c>
      <c r="O63" s="6"/>
      <c r="P63" s="6"/>
    </row>
    <row r="64" spans="1:16" x14ac:dyDescent="0.3">
      <c r="A64" s="6"/>
      <c r="B64" s="7"/>
      <c r="C64" s="6"/>
      <c r="D64" s="6"/>
      <c r="E64" s="6"/>
      <c r="F64" s="25"/>
      <c r="G64" s="25" t="str">
        <f>IF(A64="","",SUMIFS(Paradas_Detalhadas!$I:$I,Paradas_Detalhadas!$A:$A,A64,Paradas_Detalhadas!$B:$B,B64,Paradas_Detalhadas!$C:$C,C64,Paradas_Detalhadas!$D:$D,E64))</f>
        <v/>
      </c>
      <c r="H64" s="26" t="str">
        <f t="shared" si="5"/>
        <v/>
      </c>
      <c r="I64" s="10"/>
      <c r="J64" s="10"/>
      <c r="K64" s="10" t="str">
        <f t="shared" si="6"/>
        <v/>
      </c>
      <c r="L64" s="10" t="str">
        <f t="shared" si="7"/>
        <v/>
      </c>
      <c r="M64" s="10" t="str">
        <f t="shared" si="8"/>
        <v/>
      </c>
      <c r="N64" s="10" t="str">
        <f t="shared" si="9"/>
        <v/>
      </c>
      <c r="O64" s="6"/>
      <c r="P64" s="6"/>
    </row>
    <row r="65" spans="1:16" x14ac:dyDescent="0.3">
      <c r="A65" s="6"/>
      <c r="B65" s="7"/>
      <c r="C65" s="6"/>
      <c r="D65" s="6"/>
      <c r="E65" s="6"/>
      <c r="F65" s="25"/>
      <c r="G65" s="25" t="str">
        <f>IF(A65="","",SUMIFS(Paradas_Detalhadas!$I:$I,Paradas_Detalhadas!$A:$A,A65,Paradas_Detalhadas!$B:$B,B65,Paradas_Detalhadas!$C:$C,C65,Paradas_Detalhadas!$D:$D,E65))</f>
        <v/>
      </c>
      <c r="H65" s="26" t="str">
        <f t="shared" si="5"/>
        <v/>
      </c>
      <c r="I65" s="10"/>
      <c r="J65" s="10"/>
      <c r="K65" s="10" t="str">
        <f t="shared" si="6"/>
        <v/>
      </c>
      <c r="L65" s="10" t="str">
        <f t="shared" si="7"/>
        <v/>
      </c>
      <c r="M65" s="10" t="str">
        <f t="shared" si="8"/>
        <v/>
      </c>
      <c r="N65" s="10" t="str">
        <f t="shared" si="9"/>
        <v/>
      </c>
      <c r="O65" s="6"/>
      <c r="P65" s="6"/>
    </row>
    <row r="66" spans="1:16" x14ac:dyDescent="0.3">
      <c r="A66" s="6"/>
      <c r="B66" s="7"/>
      <c r="C66" s="6"/>
      <c r="D66" s="6"/>
      <c r="E66" s="6"/>
      <c r="F66" s="25"/>
      <c r="G66" s="25" t="str">
        <f>IF(A66="","",SUMIFS(Paradas_Detalhadas!$I:$I,Paradas_Detalhadas!$A:$A,A66,Paradas_Detalhadas!$B:$B,B66,Paradas_Detalhadas!$C:$C,C66,Paradas_Detalhadas!$D:$D,E66))</f>
        <v/>
      </c>
      <c r="H66" s="26" t="str">
        <f t="shared" si="5"/>
        <v/>
      </c>
      <c r="I66" s="10"/>
      <c r="J66" s="10"/>
      <c r="K66" s="10" t="str">
        <f t="shared" si="6"/>
        <v/>
      </c>
      <c r="L66" s="10" t="str">
        <f t="shared" si="7"/>
        <v/>
      </c>
      <c r="M66" s="10" t="str">
        <f t="shared" si="8"/>
        <v/>
      </c>
      <c r="N66" s="10" t="str">
        <f t="shared" si="9"/>
        <v/>
      </c>
      <c r="O66" s="6"/>
      <c r="P66" s="6"/>
    </row>
    <row r="67" spans="1:16" x14ac:dyDescent="0.3">
      <c r="A67" s="6"/>
      <c r="B67" s="7"/>
      <c r="C67" s="6"/>
      <c r="D67" s="6"/>
      <c r="E67" s="6"/>
      <c r="F67" s="25"/>
      <c r="G67" s="25" t="str">
        <f>IF(A67="","",SUMIFS(Paradas_Detalhadas!$I:$I,Paradas_Detalhadas!$A:$A,A67,Paradas_Detalhadas!$B:$B,B67,Paradas_Detalhadas!$C:$C,C67,Paradas_Detalhadas!$D:$D,E67))</f>
        <v/>
      </c>
      <c r="H67" s="26" t="str">
        <f t="shared" si="5"/>
        <v/>
      </c>
      <c r="I67" s="10"/>
      <c r="J67" s="10"/>
      <c r="K67" s="10" t="str">
        <f t="shared" si="6"/>
        <v/>
      </c>
      <c r="L67" s="10" t="str">
        <f t="shared" si="7"/>
        <v/>
      </c>
      <c r="M67" s="10" t="str">
        <f t="shared" si="8"/>
        <v/>
      </c>
      <c r="N67" s="10" t="str">
        <f t="shared" si="9"/>
        <v/>
      </c>
      <c r="O67" s="6"/>
      <c r="P67" s="6"/>
    </row>
    <row r="68" spans="1:16" x14ac:dyDescent="0.3">
      <c r="A68" s="6"/>
      <c r="B68" s="7"/>
      <c r="C68" s="6"/>
      <c r="D68" s="6"/>
      <c r="E68" s="6"/>
      <c r="F68" s="25"/>
      <c r="G68" s="25" t="str">
        <f>IF(A68="","",SUMIFS(Paradas_Detalhadas!$I:$I,Paradas_Detalhadas!$A:$A,A68,Paradas_Detalhadas!$B:$B,B68,Paradas_Detalhadas!$C:$C,C68,Paradas_Detalhadas!$D:$D,E68))</f>
        <v/>
      </c>
      <c r="H68" s="26" t="str">
        <f t="shared" si="5"/>
        <v/>
      </c>
      <c r="I68" s="10"/>
      <c r="J68" s="10"/>
      <c r="K68" s="10" t="str">
        <f t="shared" si="6"/>
        <v/>
      </c>
      <c r="L68" s="10" t="str">
        <f t="shared" si="7"/>
        <v/>
      </c>
      <c r="M68" s="10" t="str">
        <f t="shared" si="8"/>
        <v/>
      </c>
      <c r="N68" s="10" t="str">
        <f t="shared" si="9"/>
        <v/>
      </c>
      <c r="O68" s="6"/>
      <c r="P68" s="6"/>
    </row>
    <row r="69" spans="1:16" x14ac:dyDescent="0.3">
      <c r="A69" s="6"/>
      <c r="B69" s="7"/>
      <c r="C69" s="6"/>
      <c r="D69" s="6"/>
      <c r="E69" s="6"/>
      <c r="F69" s="25"/>
      <c r="G69" s="25" t="str">
        <f>IF(A69="","",SUMIFS(Paradas_Detalhadas!$I:$I,Paradas_Detalhadas!$A:$A,A69,Paradas_Detalhadas!$B:$B,B69,Paradas_Detalhadas!$C:$C,C69,Paradas_Detalhadas!$D:$D,E69))</f>
        <v/>
      </c>
      <c r="H69" s="26" t="str">
        <f t="shared" si="5"/>
        <v/>
      </c>
      <c r="I69" s="10"/>
      <c r="J69" s="10"/>
      <c r="K69" s="10" t="str">
        <f t="shared" si="6"/>
        <v/>
      </c>
      <c r="L69" s="10" t="str">
        <f t="shared" si="7"/>
        <v/>
      </c>
      <c r="M69" s="10" t="str">
        <f t="shared" si="8"/>
        <v/>
      </c>
      <c r="N69" s="10" t="str">
        <f t="shared" si="9"/>
        <v/>
      </c>
      <c r="O69" s="6"/>
      <c r="P69" s="6"/>
    </row>
    <row r="70" spans="1:16" x14ac:dyDescent="0.3">
      <c r="A70" s="6"/>
      <c r="B70" s="7"/>
      <c r="C70" s="6"/>
      <c r="D70" s="6"/>
      <c r="E70" s="6"/>
      <c r="F70" s="25"/>
      <c r="G70" s="25" t="str">
        <f>IF(A70="","",SUMIFS(Paradas_Detalhadas!$I:$I,Paradas_Detalhadas!$A:$A,A70,Paradas_Detalhadas!$B:$B,B70,Paradas_Detalhadas!$C:$C,C70,Paradas_Detalhadas!$D:$D,E70))</f>
        <v/>
      </c>
      <c r="H70" s="26" t="str">
        <f t="shared" si="5"/>
        <v/>
      </c>
      <c r="I70" s="10"/>
      <c r="J70" s="10"/>
      <c r="K70" s="10" t="str">
        <f t="shared" si="6"/>
        <v/>
      </c>
      <c r="L70" s="10" t="str">
        <f t="shared" si="7"/>
        <v/>
      </c>
      <c r="M70" s="10" t="str">
        <f t="shared" si="8"/>
        <v/>
      </c>
      <c r="N70" s="10" t="str">
        <f t="shared" si="9"/>
        <v/>
      </c>
      <c r="O70" s="6"/>
      <c r="P70" s="6"/>
    </row>
    <row r="71" spans="1:16" x14ac:dyDescent="0.3">
      <c r="A71" s="6"/>
      <c r="B71" s="7"/>
      <c r="C71" s="6"/>
      <c r="D71" s="6"/>
      <c r="E71" s="6"/>
      <c r="F71" s="25"/>
      <c r="G71" s="25" t="str">
        <f>IF(A71="","",SUMIFS(Paradas_Detalhadas!$I:$I,Paradas_Detalhadas!$A:$A,A71,Paradas_Detalhadas!$B:$B,B71,Paradas_Detalhadas!$C:$C,C71,Paradas_Detalhadas!$D:$D,E71))</f>
        <v/>
      </c>
      <c r="H71" s="26" t="str">
        <f t="shared" si="5"/>
        <v/>
      </c>
      <c r="I71" s="10"/>
      <c r="J71" s="10"/>
      <c r="K71" s="10" t="str">
        <f t="shared" si="6"/>
        <v/>
      </c>
      <c r="L71" s="10" t="str">
        <f t="shared" si="7"/>
        <v/>
      </c>
      <c r="M71" s="10" t="str">
        <f t="shared" si="8"/>
        <v/>
      </c>
      <c r="N71" s="10" t="str">
        <f t="shared" si="9"/>
        <v/>
      </c>
      <c r="O71" s="6"/>
      <c r="P71" s="6"/>
    </row>
    <row r="72" spans="1:16" x14ac:dyDescent="0.3">
      <c r="A72" s="6"/>
      <c r="B72" s="7"/>
      <c r="C72" s="6"/>
      <c r="D72" s="6"/>
      <c r="E72" s="6"/>
      <c r="F72" s="25"/>
      <c r="G72" s="25" t="str">
        <f>IF(A72="","",SUMIFS(Paradas_Detalhadas!$I:$I,Paradas_Detalhadas!$A:$A,A72,Paradas_Detalhadas!$B:$B,B72,Paradas_Detalhadas!$C:$C,C72,Paradas_Detalhadas!$D:$D,E72))</f>
        <v/>
      </c>
      <c r="H72" s="26" t="str">
        <f t="shared" si="5"/>
        <v/>
      </c>
      <c r="I72" s="10"/>
      <c r="J72" s="10"/>
      <c r="K72" s="10" t="str">
        <f t="shared" si="6"/>
        <v/>
      </c>
      <c r="L72" s="10" t="str">
        <f t="shared" si="7"/>
        <v/>
      </c>
      <c r="M72" s="10" t="str">
        <f t="shared" si="8"/>
        <v/>
      </c>
      <c r="N72" s="10" t="str">
        <f t="shared" si="9"/>
        <v/>
      </c>
      <c r="O72" s="6"/>
      <c r="P72" s="6"/>
    </row>
    <row r="73" spans="1:16" x14ac:dyDescent="0.3">
      <c r="A73" s="6"/>
      <c r="B73" s="7"/>
      <c r="C73" s="6"/>
      <c r="D73" s="6"/>
      <c r="E73" s="6"/>
      <c r="F73" s="25"/>
      <c r="G73" s="25" t="str">
        <f>IF(A73="","",SUMIFS(Paradas_Detalhadas!$I:$I,Paradas_Detalhadas!$A:$A,A73,Paradas_Detalhadas!$B:$B,B73,Paradas_Detalhadas!$C:$C,C73,Paradas_Detalhadas!$D:$D,E73))</f>
        <v/>
      </c>
      <c r="H73" s="26" t="str">
        <f t="shared" si="5"/>
        <v/>
      </c>
      <c r="I73" s="10"/>
      <c r="J73" s="10"/>
      <c r="K73" s="10" t="str">
        <f t="shared" si="6"/>
        <v/>
      </c>
      <c r="L73" s="10" t="str">
        <f t="shared" si="7"/>
        <v/>
      </c>
      <c r="M73" s="10" t="str">
        <f t="shared" si="8"/>
        <v/>
      </c>
      <c r="N73" s="10" t="str">
        <f t="shared" si="9"/>
        <v/>
      </c>
      <c r="O73" s="6"/>
      <c r="P73" s="6"/>
    </row>
    <row r="74" spans="1:16" x14ac:dyDescent="0.3">
      <c r="A74" s="6"/>
      <c r="B74" s="7"/>
      <c r="C74" s="6"/>
      <c r="D74" s="6"/>
      <c r="E74" s="6"/>
      <c r="F74" s="25"/>
      <c r="G74" s="25" t="str">
        <f>IF(A74="","",SUMIFS(Paradas_Detalhadas!$I:$I,Paradas_Detalhadas!$A:$A,A74,Paradas_Detalhadas!$B:$B,B74,Paradas_Detalhadas!$C:$C,C74,Paradas_Detalhadas!$D:$D,E74))</f>
        <v/>
      </c>
      <c r="H74" s="26" t="str">
        <f t="shared" si="5"/>
        <v/>
      </c>
      <c r="I74" s="10"/>
      <c r="J74" s="10"/>
      <c r="K74" s="10" t="str">
        <f t="shared" si="6"/>
        <v/>
      </c>
      <c r="L74" s="10" t="str">
        <f t="shared" si="7"/>
        <v/>
      </c>
      <c r="M74" s="10" t="str">
        <f t="shared" si="8"/>
        <v/>
      </c>
      <c r="N74" s="10" t="str">
        <f t="shared" si="9"/>
        <v/>
      </c>
      <c r="O74" s="6"/>
      <c r="P74" s="6"/>
    </row>
    <row r="75" spans="1:16" x14ac:dyDescent="0.3">
      <c r="A75" s="6"/>
      <c r="B75" s="7"/>
      <c r="C75" s="6"/>
      <c r="D75" s="6"/>
      <c r="E75" s="6"/>
      <c r="F75" s="25"/>
      <c r="G75" s="25" t="str">
        <f>IF(A75="","",SUMIFS(Paradas_Detalhadas!$I:$I,Paradas_Detalhadas!$A:$A,A75,Paradas_Detalhadas!$B:$B,B75,Paradas_Detalhadas!$C:$C,C75,Paradas_Detalhadas!$D:$D,E75))</f>
        <v/>
      </c>
      <c r="H75" s="26" t="str">
        <f t="shared" si="5"/>
        <v/>
      </c>
      <c r="I75" s="10"/>
      <c r="J75" s="10"/>
      <c r="K75" s="10" t="str">
        <f t="shared" si="6"/>
        <v/>
      </c>
      <c r="L75" s="10" t="str">
        <f t="shared" si="7"/>
        <v/>
      </c>
      <c r="M75" s="10" t="str">
        <f t="shared" si="8"/>
        <v/>
      </c>
      <c r="N75" s="10" t="str">
        <f t="shared" si="9"/>
        <v/>
      </c>
      <c r="O75" s="6"/>
      <c r="P75" s="6"/>
    </row>
    <row r="76" spans="1:16" x14ac:dyDescent="0.3">
      <c r="A76" s="6"/>
      <c r="B76" s="7"/>
      <c r="C76" s="6"/>
      <c r="D76" s="6"/>
      <c r="E76" s="6"/>
      <c r="F76" s="25"/>
      <c r="G76" s="25" t="str">
        <f>IF(A76="","",SUMIFS(Paradas_Detalhadas!$I:$I,Paradas_Detalhadas!$A:$A,A76,Paradas_Detalhadas!$B:$B,B76,Paradas_Detalhadas!$C:$C,C76,Paradas_Detalhadas!$D:$D,E76))</f>
        <v/>
      </c>
      <c r="H76" s="26" t="str">
        <f t="shared" si="5"/>
        <v/>
      </c>
      <c r="I76" s="10"/>
      <c r="J76" s="10"/>
      <c r="K76" s="10" t="str">
        <f t="shared" si="6"/>
        <v/>
      </c>
      <c r="L76" s="10" t="str">
        <f t="shared" si="7"/>
        <v/>
      </c>
      <c r="M76" s="10" t="str">
        <f t="shared" si="8"/>
        <v/>
      </c>
      <c r="N76" s="10" t="str">
        <f t="shared" si="9"/>
        <v/>
      </c>
      <c r="O76" s="6"/>
      <c r="P76" s="6"/>
    </row>
    <row r="77" spans="1:16" x14ac:dyDescent="0.3">
      <c r="A77" s="6"/>
      <c r="B77" s="7"/>
      <c r="C77" s="6"/>
      <c r="D77" s="6"/>
      <c r="E77" s="6"/>
      <c r="F77" s="25"/>
      <c r="G77" s="25" t="str">
        <f>IF(A77="","",SUMIFS(Paradas_Detalhadas!$I:$I,Paradas_Detalhadas!$A:$A,A77,Paradas_Detalhadas!$B:$B,B77,Paradas_Detalhadas!$C:$C,C77,Paradas_Detalhadas!$D:$D,E77))</f>
        <v/>
      </c>
      <c r="H77" s="26" t="str">
        <f t="shared" si="5"/>
        <v/>
      </c>
      <c r="I77" s="10"/>
      <c r="J77" s="10"/>
      <c r="K77" s="10" t="str">
        <f t="shared" si="6"/>
        <v/>
      </c>
      <c r="L77" s="10" t="str">
        <f t="shared" si="7"/>
        <v/>
      </c>
      <c r="M77" s="10" t="str">
        <f t="shared" si="8"/>
        <v/>
      </c>
      <c r="N77" s="10" t="str">
        <f t="shared" si="9"/>
        <v/>
      </c>
      <c r="O77" s="6"/>
      <c r="P77" s="6"/>
    </row>
    <row r="78" spans="1:16" x14ac:dyDescent="0.3">
      <c r="A78" s="6"/>
      <c r="B78" s="7"/>
      <c r="C78" s="6"/>
      <c r="D78" s="6"/>
      <c r="E78" s="6"/>
      <c r="F78" s="25"/>
      <c r="G78" s="25" t="str">
        <f>IF(A78="","",SUMIFS(Paradas_Detalhadas!$I:$I,Paradas_Detalhadas!$A:$A,A78,Paradas_Detalhadas!$B:$B,B78,Paradas_Detalhadas!$C:$C,C78,Paradas_Detalhadas!$D:$D,E78))</f>
        <v/>
      </c>
      <c r="H78" s="26" t="str">
        <f t="shared" si="5"/>
        <v/>
      </c>
      <c r="I78" s="10"/>
      <c r="J78" s="10"/>
      <c r="K78" s="10" t="str">
        <f t="shared" si="6"/>
        <v/>
      </c>
      <c r="L78" s="10" t="str">
        <f t="shared" si="7"/>
        <v/>
      </c>
      <c r="M78" s="10" t="str">
        <f t="shared" si="8"/>
        <v/>
      </c>
      <c r="N78" s="10" t="str">
        <f t="shared" si="9"/>
        <v/>
      </c>
      <c r="O78" s="6"/>
      <c r="P78" s="6"/>
    </row>
    <row r="79" spans="1:16" x14ac:dyDescent="0.3">
      <c r="A79" s="6"/>
      <c r="B79" s="7"/>
      <c r="C79" s="6"/>
      <c r="D79" s="6"/>
      <c r="E79" s="6"/>
      <c r="F79" s="25"/>
      <c r="G79" s="25" t="str">
        <f>IF(A79="","",SUMIFS(Paradas_Detalhadas!$I:$I,Paradas_Detalhadas!$A:$A,A79,Paradas_Detalhadas!$B:$B,B79,Paradas_Detalhadas!$C:$C,C79,Paradas_Detalhadas!$D:$D,E79))</f>
        <v/>
      </c>
      <c r="H79" s="26" t="str">
        <f t="shared" si="5"/>
        <v/>
      </c>
      <c r="I79" s="10"/>
      <c r="J79" s="10"/>
      <c r="K79" s="10" t="str">
        <f t="shared" si="6"/>
        <v/>
      </c>
      <c r="L79" s="10" t="str">
        <f t="shared" si="7"/>
        <v/>
      </c>
      <c r="M79" s="10" t="str">
        <f t="shared" si="8"/>
        <v/>
      </c>
      <c r="N79" s="10" t="str">
        <f t="shared" si="9"/>
        <v/>
      </c>
      <c r="O79" s="6"/>
      <c r="P79" s="6"/>
    </row>
    <row r="80" spans="1:16" x14ac:dyDescent="0.3">
      <c r="A80" s="6"/>
      <c r="B80" s="7"/>
      <c r="C80" s="6"/>
      <c r="D80" s="6"/>
      <c r="E80" s="6"/>
      <c r="F80" s="25"/>
      <c r="G80" s="25" t="str">
        <f>IF(A80="","",SUMIFS(Paradas_Detalhadas!$I:$I,Paradas_Detalhadas!$A:$A,A80,Paradas_Detalhadas!$B:$B,B80,Paradas_Detalhadas!$C:$C,C80,Paradas_Detalhadas!$D:$D,E80))</f>
        <v/>
      </c>
      <c r="H80" s="26" t="str">
        <f t="shared" si="5"/>
        <v/>
      </c>
      <c r="I80" s="10"/>
      <c r="J80" s="10"/>
      <c r="K80" s="10" t="str">
        <f t="shared" si="6"/>
        <v/>
      </c>
      <c r="L80" s="10" t="str">
        <f t="shared" si="7"/>
        <v/>
      </c>
      <c r="M80" s="10" t="str">
        <f t="shared" si="8"/>
        <v/>
      </c>
      <c r="N80" s="10" t="str">
        <f t="shared" si="9"/>
        <v/>
      </c>
      <c r="O80" s="6"/>
      <c r="P80" s="6"/>
    </row>
    <row r="81" spans="1:16" x14ac:dyDescent="0.3">
      <c r="A81" s="6"/>
      <c r="B81" s="7"/>
      <c r="C81" s="6"/>
      <c r="D81" s="6"/>
      <c r="E81" s="6"/>
      <c r="F81" s="25"/>
      <c r="G81" s="25" t="str">
        <f>IF(A81="","",SUMIFS(Paradas_Detalhadas!$I:$I,Paradas_Detalhadas!$A:$A,A81,Paradas_Detalhadas!$B:$B,B81,Paradas_Detalhadas!$C:$C,C81,Paradas_Detalhadas!$D:$D,E81))</f>
        <v/>
      </c>
      <c r="H81" s="26" t="str">
        <f t="shared" si="5"/>
        <v/>
      </c>
      <c r="I81" s="10"/>
      <c r="J81" s="10"/>
      <c r="K81" s="10" t="str">
        <f t="shared" si="6"/>
        <v/>
      </c>
      <c r="L81" s="10" t="str">
        <f t="shared" si="7"/>
        <v/>
      </c>
      <c r="M81" s="10" t="str">
        <f t="shared" si="8"/>
        <v/>
      </c>
      <c r="N81" s="10" t="str">
        <f t="shared" si="9"/>
        <v/>
      </c>
      <c r="O81" s="6"/>
      <c r="P81" s="6"/>
    </row>
    <row r="82" spans="1:16" x14ac:dyDescent="0.3">
      <c r="A82" s="6"/>
      <c r="B82" s="7"/>
      <c r="C82" s="6"/>
      <c r="D82" s="6"/>
      <c r="E82" s="6"/>
      <c r="F82" s="25"/>
      <c r="G82" s="25" t="str">
        <f>IF(A82="","",SUMIFS(Paradas_Detalhadas!$I:$I,Paradas_Detalhadas!$A:$A,A82,Paradas_Detalhadas!$B:$B,B82,Paradas_Detalhadas!$C:$C,C82,Paradas_Detalhadas!$D:$D,E82))</f>
        <v/>
      </c>
      <c r="H82" s="26" t="str">
        <f t="shared" si="5"/>
        <v/>
      </c>
      <c r="I82" s="10"/>
      <c r="J82" s="10"/>
      <c r="K82" s="10" t="str">
        <f t="shared" si="6"/>
        <v/>
      </c>
      <c r="L82" s="10" t="str">
        <f t="shared" si="7"/>
        <v/>
      </c>
      <c r="M82" s="10" t="str">
        <f t="shared" si="8"/>
        <v/>
      </c>
      <c r="N82" s="10" t="str">
        <f t="shared" si="9"/>
        <v/>
      </c>
      <c r="O82" s="6"/>
      <c r="P82" s="6"/>
    </row>
    <row r="83" spans="1:16" x14ac:dyDescent="0.3">
      <c r="A83" s="6"/>
      <c r="B83" s="7"/>
      <c r="C83" s="6"/>
      <c r="D83" s="6"/>
      <c r="E83" s="6"/>
      <c r="F83" s="25"/>
      <c r="G83" s="25" t="str">
        <f>IF(A83="","",SUMIFS(Paradas_Detalhadas!$I:$I,Paradas_Detalhadas!$A:$A,A83,Paradas_Detalhadas!$B:$B,B83,Paradas_Detalhadas!$C:$C,C83,Paradas_Detalhadas!$D:$D,E83))</f>
        <v/>
      </c>
      <c r="H83" s="26" t="str">
        <f t="shared" si="5"/>
        <v/>
      </c>
      <c r="I83" s="10"/>
      <c r="J83" s="10"/>
      <c r="K83" s="10" t="str">
        <f t="shared" si="6"/>
        <v/>
      </c>
      <c r="L83" s="10" t="str">
        <f t="shared" si="7"/>
        <v/>
      </c>
      <c r="M83" s="10" t="str">
        <f t="shared" si="8"/>
        <v/>
      </c>
      <c r="N83" s="10" t="str">
        <f t="shared" si="9"/>
        <v/>
      </c>
      <c r="O83" s="6"/>
      <c r="P83" s="6"/>
    </row>
    <row r="84" spans="1:16" x14ac:dyDescent="0.3">
      <c r="A84" s="6"/>
      <c r="B84" s="7"/>
      <c r="C84" s="6"/>
      <c r="D84" s="6"/>
      <c r="E84" s="6"/>
      <c r="F84" s="25"/>
      <c r="G84" s="25" t="str">
        <f>IF(A84="","",SUMIFS(Paradas_Detalhadas!$I:$I,Paradas_Detalhadas!$A:$A,A84,Paradas_Detalhadas!$B:$B,B84,Paradas_Detalhadas!$C:$C,C84,Paradas_Detalhadas!$D:$D,E84))</f>
        <v/>
      </c>
      <c r="H84" s="26" t="str">
        <f t="shared" si="5"/>
        <v/>
      </c>
      <c r="I84" s="10"/>
      <c r="J84" s="10"/>
      <c r="K84" s="10" t="str">
        <f t="shared" si="6"/>
        <v/>
      </c>
      <c r="L84" s="10" t="str">
        <f t="shared" si="7"/>
        <v/>
      </c>
      <c r="M84" s="10" t="str">
        <f t="shared" si="8"/>
        <v/>
      </c>
      <c r="N84" s="10" t="str">
        <f t="shared" si="9"/>
        <v/>
      </c>
      <c r="O84" s="6"/>
      <c r="P84" s="6"/>
    </row>
    <row r="85" spans="1:16" x14ac:dyDescent="0.3">
      <c r="A85" s="6"/>
      <c r="B85" s="7"/>
      <c r="C85" s="6"/>
      <c r="D85" s="6"/>
      <c r="E85" s="6"/>
      <c r="F85" s="25"/>
      <c r="G85" s="25" t="str">
        <f>IF(A85="","",SUMIFS(Paradas_Detalhadas!$I:$I,Paradas_Detalhadas!$A:$A,A85,Paradas_Detalhadas!$B:$B,B85,Paradas_Detalhadas!$C:$C,C85,Paradas_Detalhadas!$D:$D,E85))</f>
        <v/>
      </c>
      <c r="H85" s="26" t="str">
        <f t="shared" si="5"/>
        <v/>
      </c>
      <c r="I85" s="10"/>
      <c r="J85" s="10"/>
      <c r="K85" s="10" t="str">
        <f t="shared" si="6"/>
        <v/>
      </c>
      <c r="L85" s="10" t="str">
        <f t="shared" si="7"/>
        <v/>
      </c>
      <c r="M85" s="10" t="str">
        <f t="shared" si="8"/>
        <v/>
      </c>
      <c r="N85" s="10" t="str">
        <f t="shared" si="9"/>
        <v/>
      </c>
      <c r="O85" s="6"/>
      <c r="P85" s="6"/>
    </row>
    <row r="86" spans="1:16" x14ac:dyDescent="0.3">
      <c r="A86" s="6"/>
      <c r="B86" s="7"/>
      <c r="C86" s="6"/>
      <c r="D86" s="6"/>
      <c r="E86" s="6"/>
      <c r="F86" s="25"/>
      <c r="G86" s="25" t="str">
        <f>IF(A86="","",SUMIFS(Paradas_Detalhadas!$I:$I,Paradas_Detalhadas!$A:$A,A86,Paradas_Detalhadas!$B:$B,B86,Paradas_Detalhadas!$C:$C,C86,Paradas_Detalhadas!$D:$D,E86))</f>
        <v/>
      </c>
      <c r="H86" s="26" t="str">
        <f t="shared" si="5"/>
        <v/>
      </c>
      <c r="I86" s="10"/>
      <c r="J86" s="10"/>
      <c r="K86" s="10" t="str">
        <f t="shared" si="6"/>
        <v/>
      </c>
      <c r="L86" s="10" t="str">
        <f t="shared" si="7"/>
        <v/>
      </c>
      <c r="M86" s="10" t="str">
        <f t="shared" si="8"/>
        <v/>
      </c>
      <c r="N86" s="10" t="str">
        <f t="shared" si="9"/>
        <v/>
      </c>
      <c r="O86" s="6"/>
      <c r="P86" s="6"/>
    </row>
    <row r="87" spans="1:16" x14ac:dyDescent="0.3">
      <c r="A87" s="6"/>
      <c r="B87" s="7"/>
      <c r="C87" s="6"/>
      <c r="D87" s="6"/>
      <c r="E87" s="6"/>
      <c r="F87" s="25"/>
      <c r="G87" s="25" t="str">
        <f>IF(A87="","",SUMIFS(Paradas_Detalhadas!$I:$I,Paradas_Detalhadas!$A:$A,A87,Paradas_Detalhadas!$B:$B,B87,Paradas_Detalhadas!$C:$C,C87,Paradas_Detalhadas!$D:$D,E87))</f>
        <v/>
      </c>
      <c r="H87" s="26" t="str">
        <f t="shared" si="5"/>
        <v/>
      </c>
      <c r="I87" s="10"/>
      <c r="J87" s="10"/>
      <c r="K87" s="10" t="str">
        <f t="shared" si="6"/>
        <v/>
      </c>
      <c r="L87" s="10" t="str">
        <f t="shared" si="7"/>
        <v/>
      </c>
      <c r="M87" s="10" t="str">
        <f t="shared" si="8"/>
        <v/>
      </c>
      <c r="N87" s="10" t="str">
        <f t="shared" si="9"/>
        <v/>
      </c>
      <c r="O87" s="6"/>
      <c r="P87" s="6"/>
    </row>
    <row r="88" spans="1:16" x14ac:dyDescent="0.3">
      <c r="A88" s="6"/>
      <c r="B88" s="7"/>
      <c r="C88" s="6"/>
      <c r="D88" s="6"/>
      <c r="E88" s="6"/>
      <c r="F88" s="25"/>
      <c r="G88" s="25" t="str">
        <f>IF(A88="","",SUMIFS(Paradas_Detalhadas!$I:$I,Paradas_Detalhadas!$A:$A,A88,Paradas_Detalhadas!$B:$B,B88,Paradas_Detalhadas!$C:$C,C88,Paradas_Detalhadas!$D:$D,E88))</f>
        <v/>
      </c>
      <c r="H88" s="26" t="str">
        <f t="shared" si="5"/>
        <v/>
      </c>
      <c r="I88" s="10"/>
      <c r="J88" s="10"/>
      <c r="K88" s="10" t="str">
        <f t="shared" si="6"/>
        <v/>
      </c>
      <c r="L88" s="10" t="str">
        <f t="shared" si="7"/>
        <v/>
      </c>
      <c r="M88" s="10" t="str">
        <f t="shared" si="8"/>
        <v/>
      </c>
      <c r="N88" s="10" t="str">
        <f t="shared" si="9"/>
        <v/>
      </c>
      <c r="O88" s="6"/>
      <c r="P88" s="6"/>
    </row>
    <row r="89" spans="1:16" x14ac:dyDescent="0.3">
      <c r="A89" s="6"/>
      <c r="B89" s="7"/>
      <c r="C89" s="6"/>
      <c r="D89" s="6"/>
      <c r="E89" s="6"/>
      <c r="F89" s="25"/>
      <c r="G89" s="25" t="str">
        <f>IF(A89="","",SUMIFS(Paradas_Detalhadas!$I:$I,Paradas_Detalhadas!$A:$A,A89,Paradas_Detalhadas!$B:$B,B89,Paradas_Detalhadas!$C:$C,C89,Paradas_Detalhadas!$D:$D,E89))</f>
        <v/>
      </c>
      <c r="H89" s="26" t="str">
        <f t="shared" si="5"/>
        <v/>
      </c>
      <c r="I89" s="10"/>
      <c r="J89" s="10"/>
      <c r="K89" s="10" t="str">
        <f t="shared" si="6"/>
        <v/>
      </c>
      <c r="L89" s="10" t="str">
        <f t="shared" si="7"/>
        <v/>
      </c>
      <c r="M89" s="10" t="str">
        <f t="shared" si="8"/>
        <v/>
      </c>
      <c r="N89" s="10" t="str">
        <f t="shared" si="9"/>
        <v/>
      </c>
      <c r="O89" s="6"/>
      <c r="P89" s="6"/>
    </row>
    <row r="90" spans="1:16" x14ac:dyDescent="0.3">
      <c r="A90" s="6"/>
      <c r="B90" s="7"/>
      <c r="C90" s="6"/>
      <c r="D90" s="6"/>
      <c r="E90" s="6"/>
      <c r="F90" s="25"/>
      <c r="G90" s="25" t="str">
        <f>IF(A90="","",SUMIFS(Paradas_Detalhadas!$I:$I,Paradas_Detalhadas!$A:$A,A90,Paradas_Detalhadas!$B:$B,B90,Paradas_Detalhadas!$C:$C,C90,Paradas_Detalhadas!$D:$D,E90))</f>
        <v/>
      </c>
      <c r="H90" s="26" t="str">
        <f t="shared" si="5"/>
        <v/>
      </c>
      <c r="I90" s="10"/>
      <c r="J90" s="10"/>
      <c r="K90" s="10" t="str">
        <f t="shared" si="6"/>
        <v/>
      </c>
      <c r="L90" s="10" t="str">
        <f t="shared" si="7"/>
        <v/>
      </c>
      <c r="M90" s="10" t="str">
        <f t="shared" si="8"/>
        <v/>
      </c>
      <c r="N90" s="10" t="str">
        <f t="shared" si="9"/>
        <v/>
      </c>
      <c r="O90" s="6"/>
      <c r="P90" s="6"/>
    </row>
    <row r="91" spans="1:16" x14ac:dyDescent="0.3">
      <c r="A91" s="6"/>
      <c r="B91" s="7"/>
      <c r="C91" s="6"/>
      <c r="D91" s="6"/>
      <c r="E91" s="6"/>
      <c r="F91" s="25"/>
      <c r="G91" s="25" t="str">
        <f>IF(A91="","",SUMIFS(Paradas_Detalhadas!$I:$I,Paradas_Detalhadas!$A:$A,A91,Paradas_Detalhadas!$B:$B,B91,Paradas_Detalhadas!$C:$C,C91,Paradas_Detalhadas!$D:$D,E91))</f>
        <v/>
      </c>
      <c r="H91" s="26" t="str">
        <f t="shared" si="5"/>
        <v/>
      </c>
      <c r="I91" s="10"/>
      <c r="J91" s="10"/>
      <c r="K91" s="10" t="str">
        <f t="shared" si="6"/>
        <v/>
      </c>
      <c r="L91" s="10" t="str">
        <f t="shared" si="7"/>
        <v/>
      </c>
      <c r="M91" s="10" t="str">
        <f t="shared" si="8"/>
        <v/>
      </c>
      <c r="N91" s="10" t="str">
        <f t="shared" si="9"/>
        <v/>
      </c>
      <c r="O91" s="6"/>
      <c r="P91" s="6"/>
    </row>
    <row r="92" spans="1:16" x14ac:dyDescent="0.3">
      <c r="A92" s="6"/>
      <c r="B92" s="7"/>
      <c r="C92" s="6"/>
      <c r="D92" s="6"/>
      <c r="E92" s="6"/>
      <c r="F92" s="25"/>
      <c r="G92" s="25" t="str">
        <f>IF(A92="","",SUMIFS(Paradas_Detalhadas!$I:$I,Paradas_Detalhadas!$A:$A,A92,Paradas_Detalhadas!$B:$B,B92,Paradas_Detalhadas!$C:$C,C92,Paradas_Detalhadas!$D:$D,E92))</f>
        <v/>
      </c>
      <c r="H92" s="26" t="str">
        <f t="shared" si="5"/>
        <v/>
      </c>
      <c r="I92" s="10"/>
      <c r="J92" s="10"/>
      <c r="K92" s="10" t="str">
        <f t="shared" si="6"/>
        <v/>
      </c>
      <c r="L92" s="10" t="str">
        <f t="shared" si="7"/>
        <v/>
      </c>
      <c r="M92" s="10" t="str">
        <f t="shared" si="8"/>
        <v/>
      </c>
      <c r="N92" s="10" t="str">
        <f t="shared" si="9"/>
        <v/>
      </c>
      <c r="O92" s="6"/>
      <c r="P92" s="6"/>
    </row>
    <row r="93" spans="1:16" x14ac:dyDescent="0.3">
      <c r="A93" s="6"/>
      <c r="B93" s="7"/>
      <c r="C93" s="6"/>
      <c r="D93" s="6"/>
      <c r="E93" s="6"/>
      <c r="F93" s="25"/>
      <c r="G93" s="25" t="str">
        <f>IF(A93="","",SUMIFS(Paradas_Detalhadas!$I:$I,Paradas_Detalhadas!$A:$A,A93,Paradas_Detalhadas!$B:$B,B93,Paradas_Detalhadas!$C:$C,C93,Paradas_Detalhadas!$D:$D,E93))</f>
        <v/>
      </c>
      <c r="H93" s="26" t="str">
        <f t="shared" si="5"/>
        <v/>
      </c>
      <c r="I93" s="10"/>
      <c r="J93" s="10"/>
      <c r="K93" s="10" t="str">
        <f t="shared" si="6"/>
        <v/>
      </c>
      <c r="L93" s="10" t="str">
        <f t="shared" si="7"/>
        <v/>
      </c>
      <c r="M93" s="10" t="str">
        <f t="shared" si="8"/>
        <v/>
      </c>
      <c r="N93" s="10" t="str">
        <f t="shared" si="9"/>
        <v/>
      </c>
      <c r="O93" s="6"/>
      <c r="P93" s="6"/>
    </row>
    <row r="94" spans="1:16" x14ac:dyDescent="0.3">
      <c r="A94" s="6"/>
      <c r="B94" s="7"/>
      <c r="C94" s="6"/>
      <c r="D94" s="6"/>
      <c r="E94" s="6"/>
      <c r="F94" s="25"/>
      <c r="G94" s="25" t="str">
        <f>IF(A94="","",SUMIFS(Paradas_Detalhadas!$I:$I,Paradas_Detalhadas!$A:$A,A94,Paradas_Detalhadas!$B:$B,B94,Paradas_Detalhadas!$C:$C,C94,Paradas_Detalhadas!$D:$D,E94))</f>
        <v/>
      </c>
      <c r="H94" s="26" t="str">
        <f t="shared" si="5"/>
        <v/>
      </c>
      <c r="I94" s="10"/>
      <c r="J94" s="10"/>
      <c r="K94" s="10" t="str">
        <f t="shared" si="6"/>
        <v/>
      </c>
      <c r="L94" s="10" t="str">
        <f t="shared" si="7"/>
        <v/>
      </c>
      <c r="M94" s="10" t="str">
        <f t="shared" si="8"/>
        <v/>
      </c>
      <c r="N94" s="10" t="str">
        <f t="shared" si="9"/>
        <v/>
      </c>
      <c r="O94" s="6"/>
      <c r="P94" s="6"/>
    </row>
    <row r="95" spans="1:16" x14ac:dyDescent="0.3">
      <c r="A95" s="6"/>
      <c r="B95" s="7"/>
      <c r="C95" s="6"/>
      <c r="D95" s="6"/>
      <c r="E95" s="6"/>
      <c r="F95" s="25"/>
      <c r="G95" s="25" t="str">
        <f>IF(A95="","",SUMIFS(Paradas_Detalhadas!$I:$I,Paradas_Detalhadas!$A:$A,A95,Paradas_Detalhadas!$B:$B,B95,Paradas_Detalhadas!$C:$C,C95,Paradas_Detalhadas!$D:$D,E95))</f>
        <v/>
      </c>
      <c r="H95" s="26" t="str">
        <f t="shared" si="5"/>
        <v/>
      </c>
      <c r="I95" s="10"/>
      <c r="J95" s="10"/>
      <c r="K95" s="10" t="str">
        <f t="shared" si="6"/>
        <v/>
      </c>
      <c r="L95" s="10" t="str">
        <f t="shared" si="7"/>
        <v/>
      </c>
      <c r="M95" s="10" t="str">
        <f t="shared" si="8"/>
        <v/>
      </c>
      <c r="N95" s="10" t="str">
        <f t="shared" si="9"/>
        <v/>
      </c>
      <c r="O95" s="6"/>
      <c r="P95" s="6"/>
    </row>
    <row r="96" spans="1:16" x14ac:dyDescent="0.3">
      <c r="A96" s="6"/>
      <c r="B96" s="7"/>
      <c r="C96" s="6"/>
      <c r="D96" s="6"/>
      <c r="E96" s="6"/>
      <c r="F96" s="25"/>
      <c r="G96" s="25" t="str">
        <f>IF(A96="","",SUMIFS(Paradas_Detalhadas!$I:$I,Paradas_Detalhadas!$A:$A,A96,Paradas_Detalhadas!$B:$B,B96,Paradas_Detalhadas!$C:$C,C96,Paradas_Detalhadas!$D:$D,E96))</f>
        <v/>
      </c>
      <c r="H96" s="26" t="str">
        <f t="shared" si="5"/>
        <v/>
      </c>
      <c r="I96" s="10"/>
      <c r="J96" s="10"/>
      <c r="K96" s="10" t="str">
        <f t="shared" si="6"/>
        <v/>
      </c>
      <c r="L96" s="10" t="str">
        <f t="shared" si="7"/>
        <v/>
      </c>
      <c r="M96" s="10" t="str">
        <f t="shared" si="8"/>
        <v/>
      </c>
      <c r="N96" s="10" t="str">
        <f t="shared" si="9"/>
        <v/>
      </c>
      <c r="O96" s="6"/>
      <c r="P96" s="6"/>
    </row>
    <row r="97" spans="1:16" x14ac:dyDescent="0.3">
      <c r="A97" s="6"/>
      <c r="B97" s="7"/>
      <c r="C97" s="6"/>
      <c r="D97" s="6"/>
      <c r="E97" s="6"/>
      <c r="F97" s="25"/>
      <c r="G97" s="25" t="str">
        <f>IF(A97="","",SUMIFS(Paradas_Detalhadas!$I:$I,Paradas_Detalhadas!$A:$A,A97,Paradas_Detalhadas!$B:$B,B97,Paradas_Detalhadas!$C:$C,C97,Paradas_Detalhadas!$D:$D,E97))</f>
        <v/>
      </c>
      <c r="H97" s="26" t="str">
        <f t="shared" si="5"/>
        <v/>
      </c>
      <c r="I97" s="10"/>
      <c r="J97" s="10"/>
      <c r="K97" s="10" t="str">
        <f t="shared" si="6"/>
        <v/>
      </c>
      <c r="L97" s="10" t="str">
        <f t="shared" si="7"/>
        <v/>
      </c>
      <c r="M97" s="10" t="str">
        <f t="shared" si="8"/>
        <v/>
      </c>
      <c r="N97" s="10" t="str">
        <f t="shared" si="9"/>
        <v/>
      </c>
      <c r="O97" s="6"/>
      <c r="P97" s="6"/>
    </row>
    <row r="98" spans="1:16" x14ac:dyDescent="0.3">
      <c r="A98" s="6"/>
      <c r="B98" s="7"/>
      <c r="C98" s="6"/>
      <c r="D98" s="6"/>
      <c r="E98" s="6"/>
      <c r="F98" s="25"/>
      <c r="G98" s="25" t="str">
        <f>IF(A98="","",SUMIFS(Paradas_Detalhadas!$I:$I,Paradas_Detalhadas!$A:$A,A98,Paradas_Detalhadas!$B:$B,B98,Paradas_Detalhadas!$C:$C,C98,Paradas_Detalhadas!$D:$D,E98))</f>
        <v/>
      </c>
      <c r="H98" s="26" t="str">
        <f t="shared" si="5"/>
        <v/>
      </c>
      <c r="I98" s="10"/>
      <c r="J98" s="10"/>
      <c r="K98" s="10" t="str">
        <f t="shared" si="6"/>
        <v/>
      </c>
      <c r="L98" s="10" t="str">
        <f t="shared" si="7"/>
        <v/>
      </c>
      <c r="M98" s="10" t="str">
        <f t="shared" si="8"/>
        <v/>
      </c>
      <c r="N98" s="10" t="str">
        <f t="shared" si="9"/>
        <v/>
      </c>
      <c r="O98" s="6"/>
      <c r="P98" s="6"/>
    </row>
    <row r="99" spans="1:16" x14ac:dyDescent="0.3">
      <c r="A99" s="6"/>
      <c r="B99" s="7"/>
      <c r="C99" s="6"/>
      <c r="D99" s="6"/>
      <c r="E99" s="6"/>
      <c r="F99" s="25"/>
      <c r="G99" s="25" t="str">
        <f>IF(A99="","",SUMIFS(Paradas_Detalhadas!$I:$I,Paradas_Detalhadas!$A:$A,A99,Paradas_Detalhadas!$B:$B,B99,Paradas_Detalhadas!$C:$C,C99,Paradas_Detalhadas!$D:$D,E99))</f>
        <v/>
      </c>
      <c r="H99" s="26" t="str">
        <f t="shared" si="5"/>
        <v/>
      </c>
      <c r="I99" s="10"/>
      <c r="J99" s="10"/>
      <c r="K99" s="10" t="str">
        <f t="shared" si="6"/>
        <v/>
      </c>
      <c r="L99" s="10" t="str">
        <f t="shared" si="7"/>
        <v/>
      </c>
      <c r="M99" s="10" t="str">
        <f t="shared" si="8"/>
        <v/>
      </c>
      <c r="N99" s="10" t="str">
        <f t="shared" si="9"/>
        <v/>
      </c>
      <c r="O99" s="6"/>
      <c r="P99" s="6"/>
    </row>
    <row r="100" spans="1:16" x14ac:dyDescent="0.3">
      <c r="A100" s="6"/>
      <c r="B100" s="7"/>
      <c r="C100" s="6"/>
      <c r="D100" s="6"/>
      <c r="E100" s="6"/>
      <c r="F100" s="25"/>
      <c r="G100" s="25" t="str">
        <f>IF(A100="","",SUMIFS(Paradas_Detalhadas!$I:$I,Paradas_Detalhadas!$A:$A,A100,Paradas_Detalhadas!$B:$B,B100,Paradas_Detalhadas!$C:$C,C100,Paradas_Detalhadas!$D:$D,E100))</f>
        <v/>
      </c>
      <c r="H100" s="26" t="str">
        <f t="shared" si="5"/>
        <v/>
      </c>
      <c r="I100" s="10"/>
      <c r="J100" s="10"/>
      <c r="K100" s="10" t="str">
        <f t="shared" si="6"/>
        <v/>
      </c>
      <c r="L100" s="10" t="str">
        <f t="shared" si="7"/>
        <v/>
      </c>
      <c r="M100" s="10" t="str">
        <f t="shared" si="8"/>
        <v/>
      </c>
      <c r="N100" s="10" t="str">
        <f t="shared" si="9"/>
        <v/>
      </c>
      <c r="O100" s="6"/>
      <c r="P100" s="6"/>
    </row>
    <row r="101" spans="1:16" x14ac:dyDescent="0.3">
      <c r="A101" s="6"/>
      <c r="B101" s="7"/>
      <c r="C101" s="6"/>
      <c r="D101" s="6"/>
      <c r="E101" s="6"/>
      <c r="F101" s="25"/>
      <c r="G101" s="25" t="str">
        <f>IF(A101="","",SUMIFS(Paradas_Detalhadas!$I:$I,Paradas_Detalhadas!$A:$A,A101,Paradas_Detalhadas!$B:$B,B101,Paradas_Detalhadas!$C:$C,C101,Paradas_Detalhadas!$D:$D,E101))</f>
        <v/>
      </c>
      <c r="H101" s="26" t="str">
        <f t="shared" si="5"/>
        <v/>
      </c>
      <c r="I101" s="10"/>
      <c r="J101" s="10"/>
      <c r="K101" s="10" t="str">
        <f t="shared" si="6"/>
        <v/>
      </c>
      <c r="L101" s="10" t="str">
        <f t="shared" si="7"/>
        <v/>
      </c>
      <c r="M101" s="10" t="str">
        <f t="shared" si="8"/>
        <v/>
      </c>
      <c r="N101" s="10" t="str">
        <f t="shared" si="9"/>
        <v/>
      </c>
      <c r="O101" s="6"/>
      <c r="P101" s="6"/>
    </row>
    <row r="102" spans="1:16" x14ac:dyDescent="0.3">
      <c r="A102" s="6"/>
      <c r="B102" s="7"/>
      <c r="C102" s="6"/>
      <c r="D102" s="6"/>
      <c r="E102" s="6"/>
      <c r="F102" s="25"/>
      <c r="G102" s="25" t="str">
        <f>IF(A102="","",SUMIFS(Paradas_Detalhadas!$I:$I,Paradas_Detalhadas!$A:$A,A102,Paradas_Detalhadas!$B:$B,B102,Paradas_Detalhadas!$C:$C,C102,Paradas_Detalhadas!$D:$D,E102))</f>
        <v/>
      </c>
      <c r="H102" s="26" t="str">
        <f t="shared" si="5"/>
        <v/>
      </c>
      <c r="I102" s="10"/>
      <c r="J102" s="10"/>
      <c r="K102" s="10" t="str">
        <f t="shared" si="6"/>
        <v/>
      </c>
      <c r="L102" s="10" t="str">
        <f t="shared" si="7"/>
        <v/>
      </c>
      <c r="M102" s="10" t="str">
        <f t="shared" si="8"/>
        <v/>
      </c>
      <c r="N102" s="10" t="str">
        <f t="shared" si="9"/>
        <v/>
      </c>
      <c r="O102" s="6"/>
      <c r="P102" s="6"/>
    </row>
    <row r="103" spans="1:16" x14ac:dyDescent="0.3">
      <c r="A103" s="6"/>
      <c r="B103" s="7"/>
      <c r="C103" s="6"/>
      <c r="D103" s="6"/>
      <c r="E103" s="6"/>
      <c r="F103" s="25"/>
      <c r="G103" s="25" t="str">
        <f>IF(A103="","",SUMIFS(Paradas_Detalhadas!$I:$I,Paradas_Detalhadas!$A:$A,A103,Paradas_Detalhadas!$B:$B,B103,Paradas_Detalhadas!$C:$C,C103,Paradas_Detalhadas!$D:$D,E103))</f>
        <v/>
      </c>
      <c r="H103" s="26" t="str">
        <f t="shared" si="5"/>
        <v/>
      </c>
      <c r="I103" s="10"/>
      <c r="J103" s="10"/>
      <c r="K103" s="10" t="str">
        <f t="shared" si="6"/>
        <v/>
      </c>
      <c r="L103" s="10" t="str">
        <f t="shared" si="7"/>
        <v/>
      </c>
      <c r="M103" s="10" t="str">
        <f t="shared" si="8"/>
        <v/>
      </c>
      <c r="N103" s="10" t="str">
        <f t="shared" si="9"/>
        <v/>
      </c>
      <c r="O103" s="6"/>
      <c r="P103" s="6"/>
    </row>
    <row r="104" spans="1:16" x14ac:dyDescent="0.3">
      <c r="A104" s="6"/>
      <c r="B104" s="7"/>
      <c r="C104" s="6"/>
      <c r="D104" s="6"/>
      <c r="E104" s="6"/>
      <c r="F104" s="25"/>
      <c r="G104" s="25" t="str">
        <f>IF(A104="","",SUMIFS(Paradas_Detalhadas!$I:$I,Paradas_Detalhadas!$A:$A,A104,Paradas_Detalhadas!$B:$B,B104,Paradas_Detalhadas!$C:$C,C104,Paradas_Detalhadas!$D:$D,E104))</f>
        <v/>
      </c>
      <c r="H104" s="26" t="str">
        <f t="shared" si="5"/>
        <v/>
      </c>
      <c r="I104" s="10"/>
      <c r="J104" s="10"/>
      <c r="K104" s="10" t="str">
        <f t="shared" si="6"/>
        <v/>
      </c>
      <c r="L104" s="10" t="str">
        <f t="shared" si="7"/>
        <v/>
      </c>
      <c r="M104" s="10" t="str">
        <f t="shared" si="8"/>
        <v/>
      </c>
      <c r="N104" s="10" t="str">
        <f t="shared" si="9"/>
        <v/>
      </c>
      <c r="O104" s="6"/>
      <c r="P104" s="6"/>
    </row>
    <row r="105" spans="1:16" x14ac:dyDescent="0.3">
      <c r="A105" s="6"/>
      <c r="B105" s="7"/>
      <c r="C105" s="6"/>
      <c r="D105" s="6"/>
      <c r="E105" s="6"/>
      <c r="F105" s="25"/>
      <c r="G105" s="25" t="str">
        <f>IF(A105="","",SUMIFS(Paradas_Detalhadas!$I:$I,Paradas_Detalhadas!$A:$A,A105,Paradas_Detalhadas!$B:$B,B105,Paradas_Detalhadas!$C:$C,C105,Paradas_Detalhadas!$D:$D,E105))</f>
        <v/>
      </c>
      <c r="H105" s="26" t="str">
        <f t="shared" si="5"/>
        <v/>
      </c>
      <c r="I105" s="10"/>
      <c r="J105" s="10"/>
      <c r="K105" s="10" t="str">
        <f t="shared" si="6"/>
        <v/>
      </c>
      <c r="L105" s="10" t="str">
        <f t="shared" si="7"/>
        <v/>
      </c>
      <c r="M105" s="10" t="str">
        <f t="shared" si="8"/>
        <v/>
      </c>
      <c r="N105" s="10" t="str">
        <f t="shared" si="9"/>
        <v/>
      </c>
      <c r="O105" s="6"/>
      <c r="P105" s="6"/>
    </row>
    <row r="106" spans="1:16" x14ac:dyDescent="0.3">
      <c r="A106" s="6"/>
      <c r="B106" s="7"/>
      <c r="C106" s="6"/>
      <c r="D106" s="6"/>
      <c r="E106" s="6"/>
      <c r="F106" s="25"/>
      <c r="G106" s="25" t="str">
        <f>IF(A106="","",SUMIFS(Paradas_Detalhadas!$I:$I,Paradas_Detalhadas!$A:$A,A106,Paradas_Detalhadas!$B:$B,B106,Paradas_Detalhadas!$C:$C,C106,Paradas_Detalhadas!$D:$D,E106))</f>
        <v/>
      </c>
      <c r="H106" s="26" t="str">
        <f t="shared" si="5"/>
        <v/>
      </c>
      <c r="I106" s="10"/>
      <c r="J106" s="10"/>
      <c r="K106" s="10" t="str">
        <f t="shared" si="6"/>
        <v/>
      </c>
      <c r="L106" s="10" t="str">
        <f t="shared" si="7"/>
        <v/>
      </c>
      <c r="M106" s="10" t="str">
        <f t="shared" si="8"/>
        <v/>
      </c>
      <c r="N106" s="10" t="str">
        <f t="shared" si="9"/>
        <v/>
      </c>
      <c r="O106" s="6"/>
      <c r="P106" s="6"/>
    </row>
    <row r="107" spans="1:16" x14ac:dyDescent="0.3">
      <c r="A107" s="6"/>
      <c r="B107" s="7"/>
      <c r="C107" s="6"/>
      <c r="D107" s="6"/>
      <c r="E107" s="6"/>
      <c r="F107" s="25"/>
      <c r="G107" s="25" t="str">
        <f>IF(A107="","",SUMIFS(Paradas_Detalhadas!$I:$I,Paradas_Detalhadas!$A:$A,A107,Paradas_Detalhadas!$B:$B,B107,Paradas_Detalhadas!$C:$C,C107,Paradas_Detalhadas!$D:$D,E107))</f>
        <v/>
      </c>
      <c r="H107" s="26" t="str">
        <f t="shared" si="5"/>
        <v/>
      </c>
      <c r="I107" s="10"/>
      <c r="J107" s="10"/>
      <c r="K107" s="10" t="str">
        <f t="shared" si="6"/>
        <v/>
      </c>
      <c r="L107" s="10" t="str">
        <f t="shared" si="7"/>
        <v/>
      </c>
      <c r="M107" s="10" t="str">
        <f t="shared" si="8"/>
        <v/>
      </c>
      <c r="N107" s="10" t="str">
        <f t="shared" si="9"/>
        <v/>
      </c>
      <c r="O107" s="6"/>
      <c r="P107" s="6"/>
    </row>
    <row r="108" spans="1:16" x14ac:dyDescent="0.3">
      <c r="A108" s="6"/>
      <c r="B108" s="7"/>
      <c r="C108" s="6"/>
      <c r="D108" s="6"/>
      <c r="E108" s="6"/>
      <c r="F108" s="25"/>
      <c r="G108" s="25" t="str">
        <f>IF(A108="","",SUMIFS(Paradas_Detalhadas!$I:$I,Paradas_Detalhadas!$A:$A,A108,Paradas_Detalhadas!$B:$B,B108,Paradas_Detalhadas!$C:$C,C108,Paradas_Detalhadas!$D:$D,E108))</f>
        <v/>
      </c>
      <c r="H108" s="26" t="str">
        <f t="shared" si="5"/>
        <v/>
      </c>
      <c r="I108" s="10"/>
      <c r="J108" s="10"/>
      <c r="K108" s="10" t="str">
        <f t="shared" si="6"/>
        <v/>
      </c>
      <c r="L108" s="10" t="str">
        <f t="shared" si="7"/>
        <v/>
      </c>
      <c r="M108" s="10" t="str">
        <f t="shared" si="8"/>
        <v/>
      </c>
      <c r="N108" s="10" t="str">
        <f t="shared" si="9"/>
        <v/>
      </c>
      <c r="O108" s="6"/>
      <c r="P108" s="6"/>
    </row>
    <row r="109" spans="1:16" x14ac:dyDescent="0.3">
      <c r="A109" s="6"/>
      <c r="B109" s="7"/>
      <c r="C109" s="6"/>
      <c r="D109" s="6"/>
      <c r="E109" s="6"/>
      <c r="F109" s="25"/>
      <c r="G109" s="25" t="str">
        <f>IF(A109="","",SUMIFS(Paradas_Detalhadas!$I:$I,Paradas_Detalhadas!$A:$A,A109,Paradas_Detalhadas!$B:$B,B109,Paradas_Detalhadas!$C:$C,C109,Paradas_Detalhadas!$D:$D,E109))</f>
        <v/>
      </c>
      <c r="H109" s="26" t="str">
        <f t="shared" si="5"/>
        <v/>
      </c>
      <c r="I109" s="10"/>
      <c r="J109" s="10"/>
      <c r="K109" s="10" t="str">
        <f t="shared" si="6"/>
        <v/>
      </c>
      <c r="L109" s="10" t="str">
        <f t="shared" si="7"/>
        <v/>
      </c>
      <c r="M109" s="10" t="str">
        <f t="shared" si="8"/>
        <v/>
      </c>
      <c r="N109" s="10" t="str">
        <f t="shared" si="9"/>
        <v/>
      </c>
      <c r="O109" s="6"/>
      <c r="P109" s="6"/>
    </row>
    <row r="110" spans="1:16" x14ac:dyDescent="0.3">
      <c r="A110" s="6"/>
      <c r="B110" s="7"/>
      <c r="C110" s="6"/>
      <c r="D110" s="6"/>
      <c r="E110" s="6"/>
      <c r="F110" s="25"/>
      <c r="G110" s="25" t="str">
        <f>IF(A110="","",SUMIFS(Paradas_Detalhadas!$I:$I,Paradas_Detalhadas!$A:$A,A110,Paradas_Detalhadas!$B:$B,B110,Paradas_Detalhadas!$C:$C,C110,Paradas_Detalhadas!$D:$D,E110))</f>
        <v/>
      </c>
      <c r="H110" s="26" t="str">
        <f t="shared" ref="H110:H173" si="10">IF(OR(F110="",G110=""),"",MAX(F110-G110,0))</f>
        <v/>
      </c>
      <c r="I110" s="10"/>
      <c r="J110" s="10"/>
      <c r="K110" s="10" t="str">
        <f t="shared" ref="K110:K173" si="11">IF(AND(I110="",J110=""),"",SUM(I110:J110))</f>
        <v/>
      </c>
      <c r="L110" s="10" t="str">
        <f t="shared" ref="L110:L173" si="12">IFERROR(K110/H110,"")</f>
        <v/>
      </c>
      <c r="M110" s="10" t="str">
        <f t="shared" ref="M110:M173" si="13">IFERROR(I110/H110,"")</f>
        <v/>
      </c>
      <c r="N110" s="10" t="str">
        <f t="shared" ref="N110:N173" si="14">IFERROR(J110/H110,"")</f>
        <v/>
      </c>
      <c r="O110" s="6"/>
      <c r="P110" s="6"/>
    </row>
    <row r="111" spans="1:16" x14ac:dyDescent="0.3">
      <c r="A111" s="6"/>
      <c r="B111" s="7"/>
      <c r="C111" s="6"/>
      <c r="D111" s="6"/>
      <c r="E111" s="6"/>
      <c r="F111" s="25"/>
      <c r="G111" s="25" t="str">
        <f>IF(A111="","",SUMIFS(Paradas_Detalhadas!$I:$I,Paradas_Detalhadas!$A:$A,A111,Paradas_Detalhadas!$B:$B,B111,Paradas_Detalhadas!$C:$C,C111,Paradas_Detalhadas!$D:$D,E111))</f>
        <v/>
      </c>
      <c r="H111" s="26" t="str">
        <f t="shared" si="10"/>
        <v/>
      </c>
      <c r="I111" s="10"/>
      <c r="J111" s="10"/>
      <c r="K111" s="10" t="str">
        <f t="shared" si="11"/>
        <v/>
      </c>
      <c r="L111" s="10" t="str">
        <f t="shared" si="12"/>
        <v/>
      </c>
      <c r="M111" s="10" t="str">
        <f t="shared" si="13"/>
        <v/>
      </c>
      <c r="N111" s="10" t="str">
        <f t="shared" si="14"/>
        <v/>
      </c>
      <c r="O111" s="6"/>
      <c r="P111" s="6"/>
    </row>
    <row r="112" spans="1:16" x14ac:dyDescent="0.3">
      <c r="A112" s="6"/>
      <c r="B112" s="7"/>
      <c r="C112" s="6"/>
      <c r="D112" s="6"/>
      <c r="E112" s="6"/>
      <c r="F112" s="25"/>
      <c r="G112" s="25" t="str">
        <f>IF(A112="","",SUMIFS(Paradas_Detalhadas!$I:$I,Paradas_Detalhadas!$A:$A,A112,Paradas_Detalhadas!$B:$B,B112,Paradas_Detalhadas!$C:$C,C112,Paradas_Detalhadas!$D:$D,E112))</f>
        <v/>
      </c>
      <c r="H112" s="26" t="str">
        <f t="shared" si="10"/>
        <v/>
      </c>
      <c r="I112" s="10"/>
      <c r="J112" s="10"/>
      <c r="K112" s="10" t="str">
        <f t="shared" si="11"/>
        <v/>
      </c>
      <c r="L112" s="10" t="str">
        <f t="shared" si="12"/>
        <v/>
      </c>
      <c r="M112" s="10" t="str">
        <f t="shared" si="13"/>
        <v/>
      </c>
      <c r="N112" s="10" t="str">
        <f t="shared" si="14"/>
        <v/>
      </c>
      <c r="O112" s="6"/>
      <c r="P112" s="6"/>
    </row>
    <row r="113" spans="1:16" x14ac:dyDescent="0.3">
      <c r="A113" s="6"/>
      <c r="B113" s="7"/>
      <c r="C113" s="6"/>
      <c r="D113" s="6"/>
      <c r="E113" s="6"/>
      <c r="F113" s="25"/>
      <c r="G113" s="25" t="str">
        <f>IF(A113="","",SUMIFS(Paradas_Detalhadas!$I:$I,Paradas_Detalhadas!$A:$A,A113,Paradas_Detalhadas!$B:$B,B113,Paradas_Detalhadas!$C:$C,C113,Paradas_Detalhadas!$D:$D,E113))</f>
        <v/>
      </c>
      <c r="H113" s="26" t="str">
        <f t="shared" si="10"/>
        <v/>
      </c>
      <c r="I113" s="10"/>
      <c r="J113" s="10"/>
      <c r="K113" s="10" t="str">
        <f t="shared" si="11"/>
        <v/>
      </c>
      <c r="L113" s="10" t="str">
        <f t="shared" si="12"/>
        <v/>
      </c>
      <c r="M113" s="10" t="str">
        <f t="shared" si="13"/>
        <v/>
      </c>
      <c r="N113" s="10" t="str">
        <f t="shared" si="14"/>
        <v/>
      </c>
      <c r="O113" s="6"/>
      <c r="P113" s="6"/>
    </row>
    <row r="114" spans="1:16" x14ac:dyDescent="0.3">
      <c r="A114" s="6"/>
      <c r="B114" s="7"/>
      <c r="C114" s="6"/>
      <c r="D114" s="6"/>
      <c r="E114" s="6"/>
      <c r="F114" s="25"/>
      <c r="G114" s="25" t="str">
        <f>IF(A114="","",SUMIFS(Paradas_Detalhadas!$I:$I,Paradas_Detalhadas!$A:$A,A114,Paradas_Detalhadas!$B:$B,B114,Paradas_Detalhadas!$C:$C,C114,Paradas_Detalhadas!$D:$D,E114))</f>
        <v/>
      </c>
      <c r="H114" s="26" t="str">
        <f t="shared" si="10"/>
        <v/>
      </c>
      <c r="I114" s="10"/>
      <c r="J114" s="10"/>
      <c r="K114" s="10" t="str">
        <f t="shared" si="11"/>
        <v/>
      </c>
      <c r="L114" s="10" t="str">
        <f t="shared" si="12"/>
        <v/>
      </c>
      <c r="M114" s="10" t="str">
        <f t="shared" si="13"/>
        <v/>
      </c>
      <c r="N114" s="10" t="str">
        <f t="shared" si="14"/>
        <v/>
      </c>
      <c r="O114" s="6"/>
      <c r="P114" s="6"/>
    </row>
    <row r="115" spans="1:16" x14ac:dyDescent="0.3">
      <c r="A115" s="6"/>
      <c r="B115" s="7"/>
      <c r="C115" s="6"/>
      <c r="D115" s="6"/>
      <c r="E115" s="6"/>
      <c r="F115" s="25"/>
      <c r="G115" s="25" t="str">
        <f>IF(A115="","",SUMIFS(Paradas_Detalhadas!$I:$I,Paradas_Detalhadas!$A:$A,A115,Paradas_Detalhadas!$B:$B,B115,Paradas_Detalhadas!$C:$C,C115,Paradas_Detalhadas!$D:$D,E115))</f>
        <v/>
      </c>
      <c r="H115" s="26" t="str">
        <f t="shared" si="10"/>
        <v/>
      </c>
      <c r="I115" s="10"/>
      <c r="J115" s="10"/>
      <c r="K115" s="10" t="str">
        <f t="shared" si="11"/>
        <v/>
      </c>
      <c r="L115" s="10" t="str">
        <f t="shared" si="12"/>
        <v/>
      </c>
      <c r="M115" s="10" t="str">
        <f t="shared" si="13"/>
        <v/>
      </c>
      <c r="N115" s="10" t="str">
        <f t="shared" si="14"/>
        <v/>
      </c>
      <c r="O115" s="6"/>
      <c r="P115" s="6"/>
    </row>
    <row r="116" spans="1:16" x14ac:dyDescent="0.3">
      <c r="A116" s="6"/>
      <c r="B116" s="7"/>
      <c r="C116" s="6"/>
      <c r="D116" s="6"/>
      <c r="E116" s="6"/>
      <c r="F116" s="25"/>
      <c r="G116" s="25" t="str">
        <f>IF(A116="","",SUMIFS(Paradas_Detalhadas!$I:$I,Paradas_Detalhadas!$A:$A,A116,Paradas_Detalhadas!$B:$B,B116,Paradas_Detalhadas!$C:$C,C116,Paradas_Detalhadas!$D:$D,E116))</f>
        <v/>
      </c>
      <c r="H116" s="26" t="str">
        <f t="shared" si="10"/>
        <v/>
      </c>
      <c r="I116" s="10"/>
      <c r="J116" s="10"/>
      <c r="K116" s="10" t="str">
        <f t="shared" si="11"/>
        <v/>
      </c>
      <c r="L116" s="10" t="str">
        <f t="shared" si="12"/>
        <v/>
      </c>
      <c r="M116" s="10" t="str">
        <f t="shared" si="13"/>
        <v/>
      </c>
      <c r="N116" s="10" t="str">
        <f t="shared" si="14"/>
        <v/>
      </c>
      <c r="O116" s="6"/>
      <c r="P116" s="6"/>
    </row>
    <row r="117" spans="1:16" x14ac:dyDescent="0.3">
      <c r="A117" s="6"/>
      <c r="B117" s="7"/>
      <c r="C117" s="6"/>
      <c r="D117" s="6"/>
      <c r="E117" s="6"/>
      <c r="F117" s="25"/>
      <c r="G117" s="25" t="str">
        <f>IF(A117="","",SUMIFS(Paradas_Detalhadas!$I:$I,Paradas_Detalhadas!$A:$A,A117,Paradas_Detalhadas!$B:$B,B117,Paradas_Detalhadas!$C:$C,C117,Paradas_Detalhadas!$D:$D,E117))</f>
        <v/>
      </c>
      <c r="H117" s="26" t="str">
        <f t="shared" si="10"/>
        <v/>
      </c>
      <c r="I117" s="10"/>
      <c r="J117" s="10"/>
      <c r="K117" s="10" t="str">
        <f t="shared" si="11"/>
        <v/>
      </c>
      <c r="L117" s="10" t="str">
        <f t="shared" si="12"/>
        <v/>
      </c>
      <c r="M117" s="10" t="str">
        <f t="shared" si="13"/>
        <v/>
      </c>
      <c r="N117" s="10" t="str">
        <f t="shared" si="14"/>
        <v/>
      </c>
      <c r="O117" s="6"/>
      <c r="P117" s="6"/>
    </row>
    <row r="118" spans="1:16" x14ac:dyDescent="0.3">
      <c r="A118" s="6"/>
      <c r="B118" s="7"/>
      <c r="C118" s="6"/>
      <c r="D118" s="6"/>
      <c r="E118" s="6"/>
      <c r="F118" s="25"/>
      <c r="G118" s="25" t="str">
        <f>IF(A118="","",SUMIFS(Paradas_Detalhadas!$I:$I,Paradas_Detalhadas!$A:$A,A118,Paradas_Detalhadas!$B:$B,B118,Paradas_Detalhadas!$C:$C,C118,Paradas_Detalhadas!$D:$D,E118))</f>
        <v/>
      </c>
      <c r="H118" s="26" t="str">
        <f t="shared" si="10"/>
        <v/>
      </c>
      <c r="I118" s="10"/>
      <c r="J118" s="10"/>
      <c r="K118" s="10" t="str">
        <f t="shared" si="11"/>
        <v/>
      </c>
      <c r="L118" s="10" t="str">
        <f t="shared" si="12"/>
        <v/>
      </c>
      <c r="M118" s="10" t="str">
        <f t="shared" si="13"/>
        <v/>
      </c>
      <c r="N118" s="10" t="str">
        <f t="shared" si="14"/>
        <v/>
      </c>
      <c r="O118" s="6"/>
      <c r="P118" s="6"/>
    </row>
    <row r="119" spans="1:16" x14ac:dyDescent="0.3">
      <c r="A119" s="6"/>
      <c r="B119" s="7"/>
      <c r="C119" s="6"/>
      <c r="D119" s="6"/>
      <c r="E119" s="6"/>
      <c r="F119" s="25"/>
      <c r="G119" s="25" t="str">
        <f>IF(A119="","",SUMIFS(Paradas_Detalhadas!$I:$I,Paradas_Detalhadas!$A:$A,A119,Paradas_Detalhadas!$B:$B,B119,Paradas_Detalhadas!$C:$C,C119,Paradas_Detalhadas!$D:$D,E119))</f>
        <v/>
      </c>
      <c r="H119" s="26" t="str">
        <f t="shared" si="10"/>
        <v/>
      </c>
      <c r="I119" s="10"/>
      <c r="J119" s="10"/>
      <c r="K119" s="10" t="str">
        <f t="shared" si="11"/>
        <v/>
      </c>
      <c r="L119" s="10" t="str">
        <f t="shared" si="12"/>
        <v/>
      </c>
      <c r="M119" s="10" t="str">
        <f t="shared" si="13"/>
        <v/>
      </c>
      <c r="N119" s="10" t="str">
        <f t="shared" si="14"/>
        <v/>
      </c>
      <c r="O119" s="6"/>
      <c r="P119" s="6"/>
    </row>
    <row r="120" spans="1:16" x14ac:dyDescent="0.3">
      <c r="A120" s="6"/>
      <c r="B120" s="7"/>
      <c r="C120" s="6"/>
      <c r="D120" s="6"/>
      <c r="E120" s="6"/>
      <c r="F120" s="25"/>
      <c r="G120" s="25" t="str">
        <f>IF(A120="","",SUMIFS(Paradas_Detalhadas!$I:$I,Paradas_Detalhadas!$A:$A,A120,Paradas_Detalhadas!$B:$B,B120,Paradas_Detalhadas!$C:$C,C120,Paradas_Detalhadas!$D:$D,E120))</f>
        <v/>
      </c>
      <c r="H120" s="26" t="str">
        <f t="shared" si="10"/>
        <v/>
      </c>
      <c r="I120" s="10"/>
      <c r="J120" s="10"/>
      <c r="K120" s="10" t="str">
        <f t="shared" si="11"/>
        <v/>
      </c>
      <c r="L120" s="10" t="str">
        <f t="shared" si="12"/>
        <v/>
      </c>
      <c r="M120" s="10" t="str">
        <f t="shared" si="13"/>
        <v/>
      </c>
      <c r="N120" s="10" t="str">
        <f t="shared" si="14"/>
        <v/>
      </c>
      <c r="O120" s="6"/>
      <c r="P120" s="6"/>
    </row>
    <row r="121" spans="1:16" x14ac:dyDescent="0.3">
      <c r="A121" s="6"/>
      <c r="B121" s="7"/>
      <c r="C121" s="6"/>
      <c r="D121" s="6"/>
      <c r="E121" s="6"/>
      <c r="F121" s="25"/>
      <c r="G121" s="25" t="str">
        <f>IF(A121="","",SUMIFS(Paradas_Detalhadas!$I:$I,Paradas_Detalhadas!$A:$A,A121,Paradas_Detalhadas!$B:$B,B121,Paradas_Detalhadas!$C:$C,C121,Paradas_Detalhadas!$D:$D,E121))</f>
        <v/>
      </c>
      <c r="H121" s="26" t="str">
        <f t="shared" si="10"/>
        <v/>
      </c>
      <c r="I121" s="10"/>
      <c r="J121" s="10"/>
      <c r="K121" s="10" t="str">
        <f t="shared" si="11"/>
        <v/>
      </c>
      <c r="L121" s="10" t="str">
        <f t="shared" si="12"/>
        <v/>
      </c>
      <c r="M121" s="10" t="str">
        <f t="shared" si="13"/>
        <v/>
      </c>
      <c r="N121" s="10" t="str">
        <f t="shared" si="14"/>
        <v/>
      </c>
      <c r="O121" s="6"/>
      <c r="P121" s="6"/>
    </row>
    <row r="122" spans="1:16" x14ac:dyDescent="0.3">
      <c r="A122" s="6"/>
      <c r="B122" s="7"/>
      <c r="C122" s="6"/>
      <c r="D122" s="6"/>
      <c r="E122" s="6"/>
      <c r="F122" s="25"/>
      <c r="G122" s="25" t="str">
        <f>IF(A122="","",SUMIFS(Paradas_Detalhadas!$I:$I,Paradas_Detalhadas!$A:$A,A122,Paradas_Detalhadas!$B:$B,B122,Paradas_Detalhadas!$C:$C,C122,Paradas_Detalhadas!$D:$D,E122))</f>
        <v/>
      </c>
      <c r="H122" s="26" t="str">
        <f t="shared" si="10"/>
        <v/>
      </c>
      <c r="I122" s="10"/>
      <c r="J122" s="10"/>
      <c r="K122" s="10" t="str">
        <f t="shared" si="11"/>
        <v/>
      </c>
      <c r="L122" s="10" t="str">
        <f t="shared" si="12"/>
        <v/>
      </c>
      <c r="M122" s="10" t="str">
        <f t="shared" si="13"/>
        <v/>
      </c>
      <c r="N122" s="10" t="str">
        <f t="shared" si="14"/>
        <v/>
      </c>
      <c r="O122" s="6"/>
      <c r="P122" s="6"/>
    </row>
    <row r="123" spans="1:16" x14ac:dyDescent="0.3">
      <c r="A123" s="6"/>
      <c r="B123" s="7"/>
      <c r="C123" s="6"/>
      <c r="D123" s="6"/>
      <c r="E123" s="6"/>
      <c r="F123" s="25"/>
      <c r="G123" s="25" t="str">
        <f>IF(A123="","",SUMIFS(Paradas_Detalhadas!$I:$I,Paradas_Detalhadas!$A:$A,A123,Paradas_Detalhadas!$B:$B,B123,Paradas_Detalhadas!$C:$C,C123,Paradas_Detalhadas!$D:$D,E123))</f>
        <v/>
      </c>
      <c r="H123" s="26" t="str">
        <f t="shared" si="10"/>
        <v/>
      </c>
      <c r="I123" s="10"/>
      <c r="J123" s="10"/>
      <c r="K123" s="10" t="str">
        <f t="shared" si="11"/>
        <v/>
      </c>
      <c r="L123" s="10" t="str">
        <f t="shared" si="12"/>
        <v/>
      </c>
      <c r="M123" s="10" t="str">
        <f t="shared" si="13"/>
        <v/>
      </c>
      <c r="N123" s="10" t="str">
        <f t="shared" si="14"/>
        <v/>
      </c>
      <c r="O123" s="6"/>
      <c r="P123" s="6"/>
    </row>
    <row r="124" spans="1:16" x14ac:dyDescent="0.3">
      <c r="A124" s="6"/>
      <c r="B124" s="7"/>
      <c r="C124" s="6"/>
      <c r="D124" s="6"/>
      <c r="E124" s="6"/>
      <c r="F124" s="25"/>
      <c r="G124" s="25" t="str">
        <f>IF(A124="","",SUMIFS(Paradas_Detalhadas!$I:$I,Paradas_Detalhadas!$A:$A,A124,Paradas_Detalhadas!$B:$B,B124,Paradas_Detalhadas!$C:$C,C124,Paradas_Detalhadas!$D:$D,E124))</f>
        <v/>
      </c>
      <c r="H124" s="26" t="str">
        <f t="shared" si="10"/>
        <v/>
      </c>
      <c r="I124" s="10"/>
      <c r="J124" s="10"/>
      <c r="K124" s="10" t="str">
        <f t="shared" si="11"/>
        <v/>
      </c>
      <c r="L124" s="10" t="str">
        <f t="shared" si="12"/>
        <v/>
      </c>
      <c r="M124" s="10" t="str">
        <f t="shared" si="13"/>
        <v/>
      </c>
      <c r="N124" s="10" t="str">
        <f t="shared" si="14"/>
        <v/>
      </c>
      <c r="O124" s="6"/>
      <c r="P124" s="6"/>
    </row>
    <row r="125" spans="1:16" x14ac:dyDescent="0.3">
      <c r="A125" s="6"/>
      <c r="B125" s="7"/>
      <c r="C125" s="6"/>
      <c r="D125" s="6"/>
      <c r="E125" s="6"/>
      <c r="F125" s="25"/>
      <c r="G125" s="25" t="str">
        <f>IF(A125="","",SUMIFS(Paradas_Detalhadas!$I:$I,Paradas_Detalhadas!$A:$A,A125,Paradas_Detalhadas!$B:$B,B125,Paradas_Detalhadas!$C:$C,C125,Paradas_Detalhadas!$D:$D,E125))</f>
        <v/>
      </c>
      <c r="H125" s="26" t="str">
        <f t="shared" si="10"/>
        <v/>
      </c>
      <c r="I125" s="10"/>
      <c r="J125" s="10"/>
      <c r="K125" s="10" t="str">
        <f t="shared" si="11"/>
        <v/>
      </c>
      <c r="L125" s="10" t="str">
        <f t="shared" si="12"/>
        <v/>
      </c>
      <c r="M125" s="10" t="str">
        <f t="shared" si="13"/>
        <v/>
      </c>
      <c r="N125" s="10" t="str">
        <f t="shared" si="14"/>
        <v/>
      </c>
      <c r="O125" s="6"/>
      <c r="P125" s="6"/>
    </row>
    <row r="126" spans="1:16" x14ac:dyDescent="0.3">
      <c r="A126" s="6"/>
      <c r="B126" s="7"/>
      <c r="C126" s="6"/>
      <c r="D126" s="6"/>
      <c r="E126" s="6"/>
      <c r="F126" s="25"/>
      <c r="G126" s="25" t="str">
        <f>IF(A126="","",SUMIFS(Paradas_Detalhadas!$I:$I,Paradas_Detalhadas!$A:$A,A126,Paradas_Detalhadas!$B:$B,B126,Paradas_Detalhadas!$C:$C,C126,Paradas_Detalhadas!$D:$D,E126))</f>
        <v/>
      </c>
      <c r="H126" s="26" t="str">
        <f t="shared" si="10"/>
        <v/>
      </c>
      <c r="I126" s="10"/>
      <c r="J126" s="10"/>
      <c r="K126" s="10" t="str">
        <f t="shared" si="11"/>
        <v/>
      </c>
      <c r="L126" s="10" t="str">
        <f t="shared" si="12"/>
        <v/>
      </c>
      <c r="M126" s="10" t="str">
        <f t="shared" si="13"/>
        <v/>
      </c>
      <c r="N126" s="10" t="str">
        <f t="shared" si="14"/>
        <v/>
      </c>
      <c r="O126" s="6"/>
      <c r="P126" s="6"/>
    </row>
    <row r="127" spans="1:16" x14ac:dyDescent="0.3">
      <c r="A127" s="6"/>
      <c r="B127" s="7"/>
      <c r="C127" s="6"/>
      <c r="D127" s="6"/>
      <c r="E127" s="6"/>
      <c r="F127" s="25"/>
      <c r="G127" s="25" t="str">
        <f>IF(A127="","",SUMIFS(Paradas_Detalhadas!$I:$I,Paradas_Detalhadas!$A:$A,A127,Paradas_Detalhadas!$B:$B,B127,Paradas_Detalhadas!$C:$C,C127,Paradas_Detalhadas!$D:$D,E127))</f>
        <v/>
      </c>
      <c r="H127" s="26" t="str">
        <f t="shared" si="10"/>
        <v/>
      </c>
      <c r="I127" s="10"/>
      <c r="J127" s="10"/>
      <c r="K127" s="10" t="str">
        <f t="shared" si="11"/>
        <v/>
      </c>
      <c r="L127" s="10" t="str">
        <f t="shared" si="12"/>
        <v/>
      </c>
      <c r="M127" s="10" t="str">
        <f t="shared" si="13"/>
        <v/>
      </c>
      <c r="N127" s="10" t="str">
        <f t="shared" si="14"/>
        <v/>
      </c>
      <c r="O127" s="6"/>
      <c r="P127" s="6"/>
    </row>
    <row r="128" spans="1:16" x14ac:dyDescent="0.3">
      <c r="A128" s="6"/>
      <c r="B128" s="7"/>
      <c r="C128" s="6"/>
      <c r="D128" s="6"/>
      <c r="E128" s="6"/>
      <c r="F128" s="25"/>
      <c r="G128" s="25" t="str">
        <f>IF(A128="","",SUMIFS(Paradas_Detalhadas!$I:$I,Paradas_Detalhadas!$A:$A,A128,Paradas_Detalhadas!$B:$B,B128,Paradas_Detalhadas!$C:$C,C128,Paradas_Detalhadas!$D:$D,E128))</f>
        <v/>
      </c>
      <c r="H128" s="26" t="str">
        <f t="shared" si="10"/>
        <v/>
      </c>
      <c r="I128" s="10"/>
      <c r="J128" s="10"/>
      <c r="K128" s="10" t="str">
        <f t="shared" si="11"/>
        <v/>
      </c>
      <c r="L128" s="10" t="str">
        <f t="shared" si="12"/>
        <v/>
      </c>
      <c r="M128" s="10" t="str">
        <f t="shared" si="13"/>
        <v/>
      </c>
      <c r="N128" s="10" t="str">
        <f t="shared" si="14"/>
        <v/>
      </c>
      <c r="O128" s="6"/>
      <c r="P128" s="6"/>
    </row>
    <row r="129" spans="1:16" x14ac:dyDescent="0.3">
      <c r="A129" s="6"/>
      <c r="B129" s="7"/>
      <c r="C129" s="6"/>
      <c r="D129" s="6"/>
      <c r="E129" s="6"/>
      <c r="F129" s="25"/>
      <c r="G129" s="25" t="str">
        <f>IF(A129="","",SUMIFS(Paradas_Detalhadas!$I:$I,Paradas_Detalhadas!$A:$A,A129,Paradas_Detalhadas!$B:$B,B129,Paradas_Detalhadas!$C:$C,C129,Paradas_Detalhadas!$D:$D,E129))</f>
        <v/>
      </c>
      <c r="H129" s="26" t="str">
        <f t="shared" si="10"/>
        <v/>
      </c>
      <c r="I129" s="10"/>
      <c r="J129" s="10"/>
      <c r="K129" s="10" t="str">
        <f t="shared" si="11"/>
        <v/>
      </c>
      <c r="L129" s="10" t="str">
        <f t="shared" si="12"/>
        <v/>
      </c>
      <c r="M129" s="10" t="str">
        <f t="shared" si="13"/>
        <v/>
      </c>
      <c r="N129" s="10" t="str">
        <f t="shared" si="14"/>
        <v/>
      </c>
      <c r="O129" s="6"/>
      <c r="P129" s="6"/>
    </row>
    <row r="130" spans="1:16" x14ac:dyDescent="0.3">
      <c r="A130" s="6"/>
      <c r="B130" s="7"/>
      <c r="C130" s="6"/>
      <c r="D130" s="6"/>
      <c r="E130" s="6"/>
      <c r="F130" s="25"/>
      <c r="G130" s="25" t="str">
        <f>IF(A130="","",SUMIFS(Paradas_Detalhadas!$I:$I,Paradas_Detalhadas!$A:$A,A130,Paradas_Detalhadas!$B:$B,B130,Paradas_Detalhadas!$C:$C,C130,Paradas_Detalhadas!$D:$D,E130))</f>
        <v/>
      </c>
      <c r="H130" s="26" t="str">
        <f t="shared" si="10"/>
        <v/>
      </c>
      <c r="I130" s="10"/>
      <c r="J130" s="10"/>
      <c r="K130" s="10" t="str">
        <f t="shared" si="11"/>
        <v/>
      </c>
      <c r="L130" s="10" t="str">
        <f t="shared" si="12"/>
        <v/>
      </c>
      <c r="M130" s="10" t="str">
        <f t="shared" si="13"/>
        <v/>
      </c>
      <c r="N130" s="10" t="str">
        <f t="shared" si="14"/>
        <v/>
      </c>
      <c r="O130" s="6"/>
      <c r="P130" s="6"/>
    </row>
    <row r="131" spans="1:16" x14ac:dyDescent="0.3">
      <c r="A131" s="6"/>
      <c r="B131" s="7"/>
      <c r="C131" s="6"/>
      <c r="D131" s="6"/>
      <c r="E131" s="6"/>
      <c r="F131" s="25"/>
      <c r="G131" s="25" t="str">
        <f>IF(A131="","",SUMIFS(Paradas_Detalhadas!$I:$I,Paradas_Detalhadas!$A:$A,A131,Paradas_Detalhadas!$B:$B,B131,Paradas_Detalhadas!$C:$C,C131,Paradas_Detalhadas!$D:$D,E131))</f>
        <v/>
      </c>
      <c r="H131" s="26" t="str">
        <f t="shared" si="10"/>
        <v/>
      </c>
      <c r="I131" s="10"/>
      <c r="J131" s="10"/>
      <c r="K131" s="10" t="str">
        <f t="shared" si="11"/>
        <v/>
      </c>
      <c r="L131" s="10" t="str">
        <f t="shared" si="12"/>
        <v/>
      </c>
      <c r="M131" s="10" t="str">
        <f t="shared" si="13"/>
        <v/>
      </c>
      <c r="N131" s="10" t="str">
        <f t="shared" si="14"/>
        <v/>
      </c>
      <c r="O131" s="6"/>
      <c r="P131" s="6"/>
    </row>
    <row r="132" spans="1:16" x14ac:dyDescent="0.3">
      <c r="A132" s="6"/>
      <c r="B132" s="7"/>
      <c r="C132" s="6"/>
      <c r="D132" s="6"/>
      <c r="E132" s="6"/>
      <c r="F132" s="25"/>
      <c r="G132" s="25" t="str">
        <f>IF(A132="","",SUMIFS(Paradas_Detalhadas!$I:$I,Paradas_Detalhadas!$A:$A,A132,Paradas_Detalhadas!$B:$B,B132,Paradas_Detalhadas!$C:$C,C132,Paradas_Detalhadas!$D:$D,E132))</f>
        <v/>
      </c>
      <c r="H132" s="26" t="str">
        <f t="shared" si="10"/>
        <v/>
      </c>
      <c r="I132" s="10"/>
      <c r="J132" s="10"/>
      <c r="K132" s="10" t="str">
        <f t="shared" si="11"/>
        <v/>
      </c>
      <c r="L132" s="10" t="str">
        <f t="shared" si="12"/>
        <v/>
      </c>
      <c r="M132" s="10" t="str">
        <f t="shared" si="13"/>
        <v/>
      </c>
      <c r="N132" s="10" t="str">
        <f t="shared" si="14"/>
        <v/>
      </c>
      <c r="O132" s="6"/>
      <c r="P132" s="6"/>
    </row>
    <row r="133" spans="1:16" x14ac:dyDescent="0.3">
      <c r="A133" s="6"/>
      <c r="B133" s="7"/>
      <c r="C133" s="6"/>
      <c r="D133" s="6"/>
      <c r="E133" s="6"/>
      <c r="F133" s="25"/>
      <c r="G133" s="25" t="str">
        <f>IF(A133="","",SUMIFS(Paradas_Detalhadas!$I:$I,Paradas_Detalhadas!$A:$A,A133,Paradas_Detalhadas!$B:$B,B133,Paradas_Detalhadas!$C:$C,C133,Paradas_Detalhadas!$D:$D,E133))</f>
        <v/>
      </c>
      <c r="H133" s="26" t="str">
        <f t="shared" si="10"/>
        <v/>
      </c>
      <c r="I133" s="10"/>
      <c r="J133" s="10"/>
      <c r="K133" s="10" t="str">
        <f t="shared" si="11"/>
        <v/>
      </c>
      <c r="L133" s="10" t="str">
        <f t="shared" si="12"/>
        <v/>
      </c>
      <c r="M133" s="10" t="str">
        <f t="shared" si="13"/>
        <v/>
      </c>
      <c r="N133" s="10" t="str">
        <f t="shared" si="14"/>
        <v/>
      </c>
      <c r="O133" s="6"/>
      <c r="P133" s="6"/>
    </row>
    <row r="134" spans="1:16" x14ac:dyDescent="0.3">
      <c r="A134" s="6"/>
      <c r="B134" s="7"/>
      <c r="C134" s="6"/>
      <c r="D134" s="6"/>
      <c r="E134" s="6"/>
      <c r="F134" s="25"/>
      <c r="G134" s="25" t="str">
        <f>IF(A134="","",SUMIFS(Paradas_Detalhadas!$I:$I,Paradas_Detalhadas!$A:$A,A134,Paradas_Detalhadas!$B:$B,B134,Paradas_Detalhadas!$C:$C,C134,Paradas_Detalhadas!$D:$D,E134))</f>
        <v/>
      </c>
      <c r="H134" s="26" t="str">
        <f t="shared" si="10"/>
        <v/>
      </c>
      <c r="I134" s="10"/>
      <c r="J134" s="10"/>
      <c r="K134" s="10" t="str">
        <f t="shared" si="11"/>
        <v/>
      </c>
      <c r="L134" s="10" t="str">
        <f t="shared" si="12"/>
        <v/>
      </c>
      <c r="M134" s="10" t="str">
        <f t="shared" si="13"/>
        <v/>
      </c>
      <c r="N134" s="10" t="str">
        <f t="shared" si="14"/>
        <v/>
      </c>
      <c r="O134" s="6"/>
      <c r="P134" s="6"/>
    </row>
    <row r="135" spans="1:16" x14ac:dyDescent="0.3">
      <c r="A135" s="6"/>
      <c r="B135" s="7"/>
      <c r="C135" s="6"/>
      <c r="D135" s="6"/>
      <c r="E135" s="6"/>
      <c r="F135" s="25"/>
      <c r="G135" s="25" t="str">
        <f>IF(A135="","",SUMIFS(Paradas_Detalhadas!$I:$I,Paradas_Detalhadas!$A:$A,A135,Paradas_Detalhadas!$B:$B,B135,Paradas_Detalhadas!$C:$C,C135,Paradas_Detalhadas!$D:$D,E135))</f>
        <v/>
      </c>
      <c r="H135" s="26" t="str">
        <f t="shared" si="10"/>
        <v/>
      </c>
      <c r="I135" s="10"/>
      <c r="J135" s="10"/>
      <c r="K135" s="10" t="str">
        <f t="shared" si="11"/>
        <v/>
      </c>
      <c r="L135" s="10" t="str">
        <f t="shared" si="12"/>
        <v/>
      </c>
      <c r="M135" s="10" t="str">
        <f t="shared" si="13"/>
        <v/>
      </c>
      <c r="N135" s="10" t="str">
        <f t="shared" si="14"/>
        <v/>
      </c>
      <c r="O135" s="6"/>
      <c r="P135" s="6"/>
    </row>
    <row r="136" spans="1:16" x14ac:dyDescent="0.3">
      <c r="A136" s="6"/>
      <c r="B136" s="7"/>
      <c r="C136" s="6"/>
      <c r="D136" s="6"/>
      <c r="E136" s="6"/>
      <c r="F136" s="25"/>
      <c r="G136" s="25" t="str">
        <f>IF(A136="","",SUMIFS(Paradas_Detalhadas!$I:$I,Paradas_Detalhadas!$A:$A,A136,Paradas_Detalhadas!$B:$B,B136,Paradas_Detalhadas!$C:$C,C136,Paradas_Detalhadas!$D:$D,E136))</f>
        <v/>
      </c>
      <c r="H136" s="26" t="str">
        <f t="shared" si="10"/>
        <v/>
      </c>
      <c r="I136" s="10"/>
      <c r="J136" s="10"/>
      <c r="K136" s="10" t="str">
        <f t="shared" si="11"/>
        <v/>
      </c>
      <c r="L136" s="10" t="str">
        <f t="shared" si="12"/>
        <v/>
      </c>
      <c r="M136" s="10" t="str">
        <f t="shared" si="13"/>
        <v/>
      </c>
      <c r="N136" s="10" t="str">
        <f t="shared" si="14"/>
        <v/>
      </c>
      <c r="O136" s="6"/>
      <c r="P136" s="6"/>
    </row>
    <row r="137" spans="1:16" x14ac:dyDescent="0.3">
      <c r="A137" s="6"/>
      <c r="B137" s="7"/>
      <c r="C137" s="6"/>
      <c r="D137" s="6"/>
      <c r="E137" s="6"/>
      <c r="F137" s="25"/>
      <c r="G137" s="25" t="str">
        <f>IF(A137="","",SUMIFS(Paradas_Detalhadas!$I:$I,Paradas_Detalhadas!$A:$A,A137,Paradas_Detalhadas!$B:$B,B137,Paradas_Detalhadas!$C:$C,C137,Paradas_Detalhadas!$D:$D,E137))</f>
        <v/>
      </c>
      <c r="H137" s="26" t="str">
        <f t="shared" si="10"/>
        <v/>
      </c>
      <c r="I137" s="10"/>
      <c r="J137" s="10"/>
      <c r="K137" s="10" t="str">
        <f t="shared" si="11"/>
        <v/>
      </c>
      <c r="L137" s="10" t="str">
        <f t="shared" si="12"/>
        <v/>
      </c>
      <c r="M137" s="10" t="str">
        <f t="shared" si="13"/>
        <v/>
      </c>
      <c r="N137" s="10" t="str">
        <f t="shared" si="14"/>
        <v/>
      </c>
      <c r="O137" s="6"/>
      <c r="P137" s="6"/>
    </row>
    <row r="138" spans="1:16" x14ac:dyDescent="0.3">
      <c r="A138" s="6"/>
      <c r="B138" s="7"/>
      <c r="C138" s="6"/>
      <c r="D138" s="6"/>
      <c r="E138" s="6"/>
      <c r="F138" s="25"/>
      <c r="G138" s="25" t="str">
        <f>IF(A138="","",SUMIFS(Paradas_Detalhadas!$I:$I,Paradas_Detalhadas!$A:$A,A138,Paradas_Detalhadas!$B:$B,B138,Paradas_Detalhadas!$C:$C,C138,Paradas_Detalhadas!$D:$D,E138))</f>
        <v/>
      </c>
      <c r="H138" s="26" t="str">
        <f t="shared" si="10"/>
        <v/>
      </c>
      <c r="I138" s="10"/>
      <c r="J138" s="10"/>
      <c r="K138" s="10" t="str">
        <f t="shared" si="11"/>
        <v/>
      </c>
      <c r="L138" s="10" t="str">
        <f t="shared" si="12"/>
        <v/>
      </c>
      <c r="M138" s="10" t="str">
        <f t="shared" si="13"/>
        <v/>
      </c>
      <c r="N138" s="10" t="str">
        <f t="shared" si="14"/>
        <v/>
      </c>
      <c r="O138" s="6"/>
      <c r="P138" s="6"/>
    </row>
    <row r="139" spans="1:16" x14ac:dyDescent="0.3">
      <c r="A139" s="6"/>
      <c r="B139" s="7"/>
      <c r="C139" s="6"/>
      <c r="D139" s="6"/>
      <c r="E139" s="6"/>
      <c r="F139" s="25"/>
      <c r="G139" s="25" t="str">
        <f>IF(A139="","",SUMIFS(Paradas_Detalhadas!$I:$I,Paradas_Detalhadas!$A:$A,A139,Paradas_Detalhadas!$B:$B,B139,Paradas_Detalhadas!$C:$C,C139,Paradas_Detalhadas!$D:$D,E139))</f>
        <v/>
      </c>
      <c r="H139" s="26" t="str">
        <f t="shared" si="10"/>
        <v/>
      </c>
      <c r="I139" s="10"/>
      <c r="J139" s="10"/>
      <c r="K139" s="10" t="str">
        <f t="shared" si="11"/>
        <v/>
      </c>
      <c r="L139" s="10" t="str">
        <f t="shared" si="12"/>
        <v/>
      </c>
      <c r="M139" s="10" t="str">
        <f t="shared" si="13"/>
        <v/>
      </c>
      <c r="N139" s="10" t="str">
        <f t="shared" si="14"/>
        <v/>
      </c>
      <c r="O139" s="6"/>
      <c r="P139" s="6"/>
    </row>
    <row r="140" spans="1:16" x14ac:dyDescent="0.3">
      <c r="A140" s="6"/>
      <c r="B140" s="7"/>
      <c r="C140" s="6"/>
      <c r="D140" s="6"/>
      <c r="E140" s="6"/>
      <c r="F140" s="25"/>
      <c r="G140" s="25" t="str">
        <f>IF(A140="","",SUMIFS(Paradas_Detalhadas!$I:$I,Paradas_Detalhadas!$A:$A,A140,Paradas_Detalhadas!$B:$B,B140,Paradas_Detalhadas!$C:$C,C140,Paradas_Detalhadas!$D:$D,E140))</f>
        <v/>
      </c>
      <c r="H140" s="26" t="str">
        <f t="shared" si="10"/>
        <v/>
      </c>
      <c r="I140" s="10"/>
      <c r="J140" s="10"/>
      <c r="K140" s="10" t="str">
        <f t="shared" si="11"/>
        <v/>
      </c>
      <c r="L140" s="10" t="str">
        <f t="shared" si="12"/>
        <v/>
      </c>
      <c r="M140" s="10" t="str">
        <f t="shared" si="13"/>
        <v/>
      </c>
      <c r="N140" s="10" t="str">
        <f t="shared" si="14"/>
        <v/>
      </c>
      <c r="O140" s="6"/>
      <c r="P140" s="6"/>
    </row>
    <row r="141" spans="1:16" x14ac:dyDescent="0.3">
      <c r="A141" s="6"/>
      <c r="B141" s="7"/>
      <c r="C141" s="6"/>
      <c r="D141" s="6"/>
      <c r="E141" s="6"/>
      <c r="F141" s="25"/>
      <c r="G141" s="25" t="str">
        <f>IF(A141="","",SUMIFS(Paradas_Detalhadas!$I:$I,Paradas_Detalhadas!$A:$A,A141,Paradas_Detalhadas!$B:$B,B141,Paradas_Detalhadas!$C:$C,C141,Paradas_Detalhadas!$D:$D,E141))</f>
        <v/>
      </c>
      <c r="H141" s="26" t="str">
        <f t="shared" si="10"/>
        <v/>
      </c>
      <c r="I141" s="10"/>
      <c r="J141" s="10"/>
      <c r="K141" s="10" t="str">
        <f t="shared" si="11"/>
        <v/>
      </c>
      <c r="L141" s="10" t="str">
        <f t="shared" si="12"/>
        <v/>
      </c>
      <c r="M141" s="10" t="str">
        <f t="shared" si="13"/>
        <v/>
      </c>
      <c r="N141" s="10" t="str">
        <f t="shared" si="14"/>
        <v/>
      </c>
      <c r="O141" s="6"/>
      <c r="P141" s="6"/>
    </row>
    <row r="142" spans="1:16" x14ac:dyDescent="0.3">
      <c r="A142" s="6"/>
      <c r="B142" s="7"/>
      <c r="C142" s="6"/>
      <c r="D142" s="6"/>
      <c r="E142" s="6"/>
      <c r="F142" s="25"/>
      <c r="G142" s="25" t="str">
        <f>IF(A142="","",SUMIFS(Paradas_Detalhadas!$I:$I,Paradas_Detalhadas!$A:$A,A142,Paradas_Detalhadas!$B:$B,B142,Paradas_Detalhadas!$C:$C,C142,Paradas_Detalhadas!$D:$D,E142))</f>
        <v/>
      </c>
      <c r="H142" s="26" t="str">
        <f t="shared" si="10"/>
        <v/>
      </c>
      <c r="I142" s="10"/>
      <c r="J142" s="10"/>
      <c r="K142" s="10" t="str">
        <f t="shared" si="11"/>
        <v/>
      </c>
      <c r="L142" s="10" t="str">
        <f t="shared" si="12"/>
        <v/>
      </c>
      <c r="M142" s="10" t="str">
        <f t="shared" si="13"/>
        <v/>
      </c>
      <c r="N142" s="10" t="str">
        <f t="shared" si="14"/>
        <v/>
      </c>
      <c r="O142" s="6"/>
      <c r="P142" s="6"/>
    </row>
    <row r="143" spans="1:16" x14ac:dyDescent="0.3">
      <c r="A143" s="6"/>
      <c r="B143" s="7"/>
      <c r="C143" s="6"/>
      <c r="D143" s="6"/>
      <c r="E143" s="6"/>
      <c r="F143" s="25"/>
      <c r="G143" s="25" t="str">
        <f>IF(A143="","",SUMIFS(Paradas_Detalhadas!$I:$I,Paradas_Detalhadas!$A:$A,A143,Paradas_Detalhadas!$B:$B,B143,Paradas_Detalhadas!$C:$C,C143,Paradas_Detalhadas!$D:$D,E143))</f>
        <v/>
      </c>
      <c r="H143" s="26" t="str">
        <f t="shared" si="10"/>
        <v/>
      </c>
      <c r="I143" s="10"/>
      <c r="J143" s="10"/>
      <c r="K143" s="10" t="str">
        <f t="shared" si="11"/>
        <v/>
      </c>
      <c r="L143" s="10" t="str">
        <f t="shared" si="12"/>
        <v/>
      </c>
      <c r="M143" s="10" t="str">
        <f t="shared" si="13"/>
        <v/>
      </c>
      <c r="N143" s="10" t="str">
        <f t="shared" si="14"/>
        <v/>
      </c>
      <c r="O143" s="6"/>
      <c r="P143" s="6"/>
    </row>
    <row r="144" spans="1:16" x14ac:dyDescent="0.3">
      <c r="A144" s="6"/>
      <c r="B144" s="7"/>
      <c r="C144" s="6"/>
      <c r="D144" s="6"/>
      <c r="E144" s="6"/>
      <c r="F144" s="25"/>
      <c r="G144" s="25" t="str">
        <f>IF(A144="","",SUMIFS(Paradas_Detalhadas!$I:$I,Paradas_Detalhadas!$A:$A,A144,Paradas_Detalhadas!$B:$B,B144,Paradas_Detalhadas!$C:$C,C144,Paradas_Detalhadas!$D:$D,E144))</f>
        <v/>
      </c>
      <c r="H144" s="26" t="str">
        <f t="shared" si="10"/>
        <v/>
      </c>
      <c r="I144" s="10"/>
      <c r="J144" s="10"/>
      <c r="K144" s="10" t="str">
        <f t="shared" si="11"/>
        <v/>
      </c>
      <c r="L144" s="10" t="str">
        <f t="shared" si="12"/>
        <v/>
      </c>
      <c r="M144" s="10" t="str">
        <f t="shared" si="13"/>
        <v/>
      </c>
      <c r="N144" s="10" t="str">
        <f t="shared" si="14"/>
        <v/>
      </c>
      <c r="O144" s="6"/>
      <c r="P144" s="6"/>
    </row>
    <row r="145" spans="1:16" x14ac:dyDescent="0.3">
      <c r="A145" s="6"/>
      <c r="B145" s="7"/>
      <c r="C145" s="6"/>
      <c r="D145" s="6"/>
      <c r="E145" s="6"/>
      <c r="F145" s="25"/>
      <c r="G145" s="25" t="str">
        <f>IF(A145="","",SUMIFS(Paradas_Detalhadas!$I:$I,Paradas_Detalhadas!$A:$A,A145,Paradas_Detalhadas!$B:$B,B145,Paradas_Detalhadas!$C:$C,C145,Paradas_Detalhadas!$D:$D,E145))</f>
        <v/>
      </c>
      <c r="H145" s="26" t="str">
        <f t="shared" si="10"/>
        <v/>
      </c>
      <c r="I145" s="10"/>
      <c r="J145" s="10"/>
      <c r="K145" s="10" t="str">
        <f t="shared" si="11"/>
        <v/>
      </c>
      <c r="L145" s="10" t="str">
        <f t="shared" si="12"/>
        <v/>
      </c>
      <c r="M145" s="10" t="str">
        <f t="shared" si="13"/>
        <v/>
      </c>
      <c r="N145" s="10" t="str">
        <f t="shared" si="14"/>
        <v/>
      </c>
      <c r="O145" s="6"/>
      <c r="P145" s="6"/>
    </row>
    <row r="146" spans="1:16" x14ac:dyDescent="0.3">
      <c r="A146" s="6"/>
      <c r="B146" s="7"/>
      <c r="C146" s="6"/>
      <c r="D146" s="6"/>
      <c r="E146" s="6"/>
      <c r="F146" s="25"/>
      <c r="G146" s="25" t="str">
        <f>IF(A146="","",SUMIFS(Paradas_Detalhadas!$I:$I,Paradas_Detalhadas!$A:$A,A146,Paradas_Detalhadas!$B:$B,B146,Paradas_Detalhadas!$C:$C,C146,Paradas_Detalhadas!$D:$D,E146))</f>
        <v/>
      </c>
      <c r="H146" s="26" t="str">
        <f t="shared" si="10"/>
        <v/>
      </c>
      <c r="I146" s="10"/>
      <c r="J146" s="10"/>
      <c r="K146" s="10" t="str">
        <f t="shared" si="11"/>
        <v/>
      </c>
      <c r="L146" s="10" t="str">
        <f t="shared" si="12"/>
        <v/>
      </c>
      <c r="M146" s="10" t="str">
        <f t="shared" si="13"/>
        <v/>
      </c>
      <c r="N146" s="10" t="str">
        <f t="shared" si="14"/>
        <v/>
      </c>
      <c r="O146" s="6"/>
      <c r="P146" s="6"/>
    </row>
    <row r="147" spans="1:16" x14ac:dyDescent="0.3">
      <c r="A147" s="6"/>
      <c r="B147" s="7"/>
      <c r="C147" s="6"/>
      <c r="D147" s="6"/>
      <c r="E147" s="6"/>
      <c r="F147" s="25"/>
      <c r="G147" s="25" t="str">
        <f>IF(A147="","",SUMIFS(Paradas_Detalhadas!$I:$I,Paradas_Detalhadas!$A:$A,A147,Paradas_Detalhadas!$B:$B,B147,Paradas_Detalhadas!$C:$C,C147,Paradas_Detalhadas!$D:$D,E147))</f>
        <v/>
      </c>
      <c r="H147" s="26" t="str">
        <f t="shared" si="10"/>
        <v/>
      </c>
      <c r="I147" s="10"/>
      <c r="J147" s="10"/>
      <c r="K147" s="10" t="str">
        <f t="shared" si="11"/>
        <v/>
      </c>
      <c r="L147" s="10" t="str">
        <f t="shared" si="12"/>
        <v/>
      </c>
      <c r="M147" s="10" t="str">
        <f t="shared" si="13"/>
        <v/>
      </c>
      <c r="N147" s="10" t="str">
        <f t="shared" si="14"/>
        <v/>
      </c>
      <c r="O147" s="6"/>
      <c r="P147" s="6"/>
    </row>
    <row r="148" spans="1:16" x14ac:dyDescent="0.3">
      <c r="A148" s="6"/>
      <c r="B148" s="7"/>
      <c r="C148" s="6"/>
      <c r="D148" s="6"/>
      <c r="E148" s="6"/>
      <c r="F148" s="25"/>
      <c r="G148" s="25" t="str">
        <f>IF(A148="","",SUMIFS(Paradas_Detalhadas!$I:$I,Paradas_Detalhadas!$A:$A,A148,Paradas_Detalhadas!$B:$B,B148,Paradas_Detalhadas!$C:$C,C148,Paradas_Detalhadas!$D:$D,E148))</f>
        <v/>
      </c>
      <c r="H148" s="26" t="str">
        <f t="shared" si="10"/>
        <v/>
      </c>
      <c r="I148" s="10"/>
      <c r="J148" s="10"/>
      <c r="K148" s="10" t="str">
        <f t="shared" si="11"/>
        <v/>
      </c>
      <c r="L148" s="10" t="str">
        <f t="shared" si="12"/>
        <v/>
      </c>
      <c r="M148" s="10" t="str">
        <f t="shared" si="13"/>
        <v/>
      </c>
      <c r="N148" s="10" t="str">
        <f t="shared" si="14"/>
        <v/>
      </c>
      <c r="O148" s="6"/>
      <c r="P148" s="6"/>
    </row>
    <row r="149" spans="1:16" x14ac:dyDescent="0.3">
      <c r="A149" s="6"/>
      <c r="B149" s="7"/>
      <c r="C149" s="6"/>
      <c r="D149" s="6"/>
      <c r="E149" s="6"/>
      <c r="F149" s="25"/>
      <c r="G149" s="25" t="str">
        <f>IF(A149="","",SUMIFS(Paradas_Detalhadas!$I:$I,Paradas_Detalhadas!$A:$A,A149,Paradas_Detalhadas!$B:$B,B149,Paradas_Detalhadas!$C:$C,C149,Paradas_Detalhadas!$D:$D,E149))</f>
        <v/>
      </c>
      <c r="H149" s="26" t="str">
        <f t="shared" si="10"/>
        <v/>
      </c>
      <c r="I149" s="10"/>
      <c r="J149" s="10"/>
      <c r="K149" s="10" t="str">
        <f t="shared" si="11"/>
        <v/>
      </c>
      <c r="L149" s="10" t="str">
        <f t="shared" si="12"/>
        <v/>
      </c>
      <c r="M149" s="10" t="str">
        <f t="shared" si="13"/>
        <v/>
      </c>
      <c r="N149" s="10" t="str">
        <f t="shared" si="14"/>
        <v/>
      </c>
      <c r="O149" s="6"/>
      <c r="P149" s="6"/>
    </row>
    <row r="150" spans="1:16" x14ac:dyDescent="0.3">
      <c r="A150" s="6"/>
      <c r="B150" s="7"/>
      <c r="C150" s="6"/>
      <c r="D150" s="6"/>
      <c r="E150" s="6"/>
      <c r="F150" s="25"/>
      <c r="G150" s="25" t="str">
        <f>IF(A150="","",SUMIFS(Paradas_Detalhadas!$I:$I,Paradas_Detalhadas!$A:$A,A150,Paradas_Detalhadas!$B:$B,B150,Paradas_Detalhadas!$C:$C,C150,Paradas_Detalhadas!$D:$D,E150))</f>
        <v/>
      </c>
      <c r="H150" s="26" t="str">
        <f t="shared" si="10"/>
        <v/>
      </c>
      <c r="I150" s="10"/>
      <c r="J150" s="10"/>
      <c r="K150" s="10" t="str">
        <f t="shared" si="11"/>
        <v/>
      </c>
      <c r="L150" s="10" t="str">
        <f t="shared" si="12"/>
        <v/>
      </c>
      <c r="M150" s="10" t="str">
        <f t="shared" si="13"/>
        <v/>
      </c>
      <c r="N150" s="10" t="str">
        <f t="shared" si="14"/>
        <v/>
      </c>
      <c r="O150" s="6"/>
      <c r="P150" s="6"/>
    </row>
    <row r="151" spans="1:16" x14ac:dyDescent="0.3">
      <c r="A151" s="6"/>
      <c r="B151" s="7"/>
      <c r="C151" s="6"/>
      <c r="D151" s="6"/>
      <c r="E151" s="6"/>
      <c r="F151" s="25"/>
      <c r="G151" s="25" t="str">
        <f>IF(A151="","",SUMIFS(Paradas_Detalhadas!$I:$I,Paradas_Detalhadas!$A:$A,A151,Paradas_Detalhadas!$B:$B,B151,Paradas_Detalhadas!$C:$C,C151,Paradas_Detalhadas!$D:$D,E151))</f>
        <v/>
      </c>
      <c r="H151" s="26" t="str">
        <f t="shared" si="10"/>
        <v/>
      </c>
      <c r="I151" s="10"/>
      <c r="J151" s="10"/>
      <c r="K151" s="10" t="str">
        <f t="shared" si="11"/>
        <v/>
      </c>
      <c r="L151" s="10" t="str">
        <f t="shared" si="12"/>
        <v/>
      </c>
      <c r="M151" s="10" t="str">
        <f t="shared" si="13"/>
        <v/>
      </c>
      <c r="N151" s="10" t="str">
        <f t="shared" si="14"/>
        <v/>
      </c>
      <c r="O151" s="6"/>
      <c r="P151" s="6"/>
    </row>
    <row r="152" spans="1:16" x14ac:dyDescent="0.3">
      <c r="A152" s="6"/>
      <c r="B152" s="7"/>
      <c r="C152" s="6"/>
      <c r="D152" s="6"/>
      <c r="E152" s="6"/>
      <c r="F152" s="25"/>
      <c r="G152" s="25" t="str">
        <f>IF(A152="","",SUMIFS(Paradas_Detalhadas!$I:$I,Paradas_Detalhadas!$A:$A,A152,Paradas_Detalhadas!$B:$B,B152,Paradas_Detalhadas!$C:$C,C152,Paradas_Detalhadas!$D:$D,E152))</f>
        <v/>
      </c>
      <c r="H152" s="26" t="str">
        <f t="shared" si="10"/>
        <v/>
      </c>
      <c r="I152" s="10"/>
      <c r="J152" s="10"/>
      <c r="K152" s="10" t="str">
        <f t="shared" si="11"/>
        <v/>
      </c>
      <c r="L152" s="10" t="str">
        <f t="shared" si="12"/>
        <v/>
      </c>
      <c r="M152" s="10" t="str">
        <f t="shared" si="13"/>
        <v/>
      </c>
      <c r="N152" s="10" t="str">
        <f t="shared" si="14"/>
        <v/>
      </c>
      <c r="O152" s="6"/>
      <c r="P152" s="6"/>
    </row>
    <row r="153" spans="1:16" x14ac:dyDescent="0.3">
      <c r="A153" s="6"/>
      <c r="B153" s="7"/>
      <c r="C153" s="6"/>
      <c r="D153" s="6"/>
      <c r="E153" s="6"/>
      <c r="F153" s="25"/>
      <c r="G153" s="25" t="str">
        <f>IF(A153="","",SUMIFS(Paradas_Detalhadas!$I:$I,Paradas_Detalhadas!$A:$A,A153,Paradas_Detalhadas!$B:$B,B153,Paradas_Detalhadas!$C:$C,C153,Paradas_Detalhadas!$D:$D,E153))</f>
        <v/>
      </c>
      <c r="H153" s="26" t="str">
        <f t="shared" si="10"/>
        <v/>
      </c>
      <c r="I153" s="10"/>
      <c r="J153" s="10"/>
      <c r="K153" s="10" t="str">
        <f t="shared" si="11"/>
        <v/>
      </c>
      <c r="L153" s="10" t="str">
        <f t="shared" si="12"/>
        <v/>
      </c>
      <c r="M153" s="10" t="str">
        <f t="shared" si="13"/>
        <v/>
      </c>
      <c r="N153" s="10" t="str">
        <f t="shared" si="14"/>
        <v/>
      </c>
      <c r="O153" s="6"/>
      <c r="P153" s="6"/>
    </row>
    <row r="154" spans="1:16" x14ac:dyDescent="0.3">
      <c r="A154" s="6"/>
      <c r="B154" s="7"/>
      <c r="C154" s="6"/>
      <c r="D154" s="6"/>
      <c r="E154" s="6"/>
      <c r="F154" s="25"/>
      <c r="G154" s="25" t="str">
        <f>IF(A154="","",SUMIFS(Paradas_Detalhadas!$I:$I,Paradas_Detalhadas!$A:$A,A154,Paradas_Detalhadas!$B:$B,B154,Paradas_Detalhadas!$C:$C,C154,Paradas_Detalhadas!$D:$D,E154))</f>
        <v/>
      </c>
      <c r="H154" s="26" t="str">
        <f t="shared" si="10"/>
        <v/>
      </c>
      <c r="I154" s="10"/>
      <c r="J154" s="10"/>
      <c r="K154" s="10" t="str">
        <f t="shared" si="11"/>
        <v/>
      </c>
      <c r="L154" s="10" t="str">
        <f t="shared" si="12"/>
        <v/>
      </c>
      <c r="M154" s="10" t="str">
        <f t="shared" si="13"/>
        <v/>
      </c>
      <c r="N154" s="10" t="str">
        <f t="shared" si="14"/>
        <v/>
      </c>
      <c r="O154" s="6"/>
      <c r="P154" s="6"/>
    </row>
    <row r="155" spans="1:16" x14ac:dyDescent="0.3">
      <c r="A155" s="6"/>
      <c r="B155" s="7"/>
      <c r="C155" s="6"/>
      <c r="D155" s="6"/>
      <c r="E155" s="6"/>
      <c r="F155" s="25"/>
      <c r="G155" s="25" t="str">
        <f>IF(A155="","",SUMIFS(Paradas_Detalhadas!$I:$I,Paradas_Detalhadas!$A:$A,A155,Paradas_Detalhadas!$B:$B,B155,Paradas_Detalhadas!$C:$C,C155,Paradas_Detalhadas!$D:$D,E155))</f>
        <v/>
      </c>
      <c r="H155" s="26" t="str">
        <f t="shared" si="10"/>
        <v/>
      </c>
      <c r="I155" s="10"/>
      <c r="J155" s="10"/>
      <c r="K155" s="10" t="str">
        <f t="shared" si="11"/>
        <v/>
      </c>
      <c r="L155" s="10" t="str">
        <f t="shared" si="12"/>
        <v/>
      </c>
      <c r="M155" s="10" t="str">
        <f t="shared" si="13"/>
        <v/>
      </c>
      <c r="N155" s="10" t="str">
        <f t="shared" si="14"/>
        <v/>
      </c>
      <c r="O155" s="6"/>
      <c r="P155" s="6"/>
    </row>
    <row r="156" spans="1:16" x14ac:dyDescent="0.3">
      <c r="A156" s="6"/>
      <c r="B156" s="7"/>
      <c r="C156" s="6"/>
      <c r="D156" s="6"/>
      <c r="E156" s="6"/>
      <c r="F156" s="25"/>
      <c r="G156" s="25" t="str">
        <f>IF(A156="","",SUMIFS(Paradas_Detalhadas!$I:$I,Paradas_Detalhadas!$A:$A,A156,Paradas_Detalhadas!$B:$B,B156,Paradas_Detalhadas!$C:$C,C156,Paradas_Detalhadas!$D:$D,E156))</f>
        <v/>
      </c>
      <c r="H156" s="26" t="str">
        <f t="shared" si="10"/>
        <v/>
      </c>
      <c r="I156" s="10"/>
      <c r="J156" s="10"/>
      <c r="K156" s="10" t="str">
        <f t="shared" si="11"/>
        <v/>
      </c>
      <c r="L156" s="10" t="str">
        <f t="shared" si="12"/>
        <v/>
      </c>
      <c r="M156" s="10" t="str">
        <f t="shared" si="13"/>
        <v/>
      </c>
      <c r="N156" s="10" t="str">
        <f t="shared" si="14"/>
        <v/>
      </c>
      <c r="O156" s="6"/>
      <c r="P156" s="6"/>
    </row>
    <row r="157" spans="1:16" x14ac:dyDescent="0.3">
      <c r="A157" s="6"/>
      <c r="B157" s="7"/>
      <c r="C157" s="6"/>
      <c r="D157" s="6"/>
      <c r="E157" s="6"/>
      <c r="F157" s="25"/>
      <c r="G157" s="25" t="str">
        <f>IF(A157="","",SUMIFS(Paradas_Detalhadas!$I:$I,Paradas_Detalhadas!$A:$A,A157,Paradas_Detalhadas!$B:$B,B157,Paradas_Detalhadas!$C:$C,C157,Paradas_Detalhadas!$D:$D,E157))</f>
        <v/>
      </c>
      <c r="H157" s="26" t="str">
        <f t="shared" si="10"/>
        <v/>
      </c>
      <c r="I157" s="10"/>
      <c r="J157" s="10"/>
      <c r="K157" s="10" t="str">
        <f t="shared" si="11"/>
        <v/>
      </c>
      <c r="L157" s="10" t="str">
        <f t="shared" si="12"/>
        <v/>
      </c>
      <c r="M157" s="10" t="str">
        <f t="shared" si="13"/>
        <v/>
      </c>
      <c r="N157" s="10" t="str">
        <f t="shared" si="14"/>
        <v/>
      </c>
      <c r="O157" s="6"/>
      <c r="P157" s="6"/>
    </row>
    <row r="158" spans="1:16" x14ac:dyDescent="0.3">
      <c r="A158" s="6"/>
      <c r="B158" s="7"/>
      <c r="C158" s="6"/>
      <c r="D158" s="6"/>
      <c r="E158" s="6"/>
      <c r="F158" s="25"/>
      <c r="G158" s="25" t="str">
        <f>IF(A158="","",SUMIFS(Paradas_Detalhadas!$I:$I,Paradas_Detalhadas!$A:$A,A158,Paradas_Detalhadas!$B:$B,B158,Paradas_Detalhadas!$C:$C,C158,Paradas_Detalhadas!$D:$D,E158))</f>
        <v/>
      </c>
      <c r="H158" s="26" t="str">
        <f t="shared" si="10"/>
        <v/>
      </c>
      <c r="I158" s="10"/>
      <c r="J158" s="10"/>
      <c r="K158" s="10" t="str">
        <f t="shared" si="11"/>
        <v/>
      </c>
      <c r="L158" s="10" t="str">
        <f t="shared" si="12"/>
        <v/>
      </c>
      <c r="M158" s="10" t="str">
        <f t="shared" si="13"/>
        <v/>
      </c>
      <c r="N158" s="10" t="str">
        <f t="shared" si="14"/>
        <v/>
      </c>
      <c r="O158" s="6"/>
      <c r="P158" s="6"/>
    </row>
    <row r="159" spans="1:16" x14ac:dyDescent="0.3">
      <c r="A159" s="6"/>
      <c r="B159" s="7"/>
      <c r="C159" s="6"/>
      <c r="D159" s="6"/>
      <c r="E159" s="6"/>
      <c r="F159" s="25"/>
      <c r="G159" s="25" t="str">
        <f>IF(A159="","",SUMIFS(Paradas_Detalhadas!$I:$I,Paradas_Detalhadas!$A:$A,A159,Paradas_Detalhadas!$B:$B,B159,Paradas_Detalhadas!$C:$C,C159,Paradas_Detalhadas!$D:$D,E159))</f>
        <v/>
      </c>
      <c r="H159" s="26" t="str">
        <f t="shared" si="10"/>
        <v/>
      </c>
      <c r="I159" s="10"/>
      <c r="J159" s="10"/>
      <c r="K159" s="10" t="str">
        <f t="shared" si="11"/>
        <v/>
      </c>
      <c r="L159" s="10" t="str">
        <f t="shared" si="12"/>
        <v/>
      </c>
      <c r="M159" s="10" t="str">
        <f t="shared" si="13"/>
        <v/>
      </c>
      <c r="N159" s="10" t="str">
        <f t="shared" si="14"/>
        <v/>
      </c>
      <c r="O159" s="6"/>
      <c r="P159" s="6"/>
    </row>
    <row r="160" spans="1:16" x14ac:dyDescent="0.3">
      <c r="A160" s="6"/>
      <c r="B160" s="7"/>
      <c r="C160" s="6"/>
      <c r="D160" s="6"/>
      <c r="E160" s="6"/>
      <c r="F160" s="25"/>
      <c r="G160" s="25" t="str">
        <f>IF(A160="","",SUMIFS(Paradas_Detalhadas!$I:$I,Paradas_Detalhadas!$A:$A,A160,Paradas_Detalhadas!$B:$B,B160,Paradas_Detalhadas!$C:$C,C160,Paradas_Detalhadas!$D:$D,E160))</f>
        <v/>
      </c>
      <c r="H160" s="26" t="str">
        <f t="shared" si="10"/>
        <v/>
      </c>
      <c r="I160" s="10"/>
      <c r="J160" s="10"/>
      <c r="K160" s="10" t="str">
        <f t="shared" si="11"/>
        <v/>
      </c>
      <c r="L160" s="10" t="str">
        <f t="shared" si="12"/>
        <v/>
      </c>
      <c r="M160" s="10" t="str">
        <f t="shared" si="13"/>
        <v/>
      </c>
      <c r="N160" s="10" t="str">
        <f t="shared" si="14"/>
        <v/>
      </c>
      <c r="O160" s="6"/>
      <c r="P160" s="6"/>
    </row>
    <row r="161" spans="1:16" x14ac:dyDescent="0.3">
      <c r="A161" s="6"/>
      <c r="B161" s="7"/>
      <c r="C161" s="6"/>
      <c r="D161" s="6"/>
      <c r="E161" s="6"/>
      <c r="F161" s="25"/>
      <c r="G161" s="25" t="str">
        <f>IF(A161="","",SUMIFS(Paradas_Detalhadas!$I:$I,Paradas_Detalhadas!$A:$A,A161,Paradas_Detalhadas!$B:$B,B161,Paradas_Detalhadas!$C:$C,C161,Paradas_Detalhadas!$D:$D,E161))</f>
        <v/>
      </c>
      <c r="H161" s="26" t="str">
        <f t="shared" si="10"/>
        <v/>
      </c>
      <c r="I161" s="10"/>
      <c r="J161" s="10"/>
      <c r="K161" s="10" t="str">
        <f t="shared" si="11"/>
        <v/>
      </c>
      <c r="L161" s="10" t="str">
        <f t="shared" si="12"/>
        <v/>
      </c>
      <c r="M161" s="10" t="str">
        <f t="shared" si="13"/>
        <v/>
      </c>
      <c r="N161" s="10" t="str">
        <f t="shared" si="14"/>
        <v/>
      </c>
      <c r="O161" s="6"/>
      <c r="P161" s="6"/>
    </row>
    <row r="162" spans="1:16" x14ac:dyDescent="0.3">
      <c r="A162" s="6"/>
      <c r="B162" s="7"/>
      <c r="C162" s="6"/>
      <c r="D162" s="6"/>
      <c r="E162" s="6"/>
      <c r="F162" s="25"/>
      <c r="G162" s="25" t="str">
        <f>IF(A162="","",SUMIFS(Paradas_Detalhadas!$I:$I,Paradas_Detalhadas!$A:$A,A162,Paradas_Detalhadas!$B:$B,B162,Paradas_Detalhadas!$C:$C,C162,Paradas_Detalhadas!$D:$D,E162))</f>
        <v/>
      </c>
      <c r="H162" s="26" t="str">
        <f t="shared" si="10"/>
        <v/>
      </c>
      <c r="I162" s="10"/>
      <c r="J162" s="10"/>
      <c r="K162" s="10" t="str">
        <f t="shared" si="11"/>
        <v/>
      </c>
      <c r="L162" s="10" t="str">
        <f t="shared" si="12"/>
        <v/>
      </c>
      <c r="M162" s="10" t="str">
        <f t="shared" si="13"/>
        <v/>
      </c>
      <c r="N162" s="10" t="str">
        <f t="shared" si="14"/>
        <v/>
      </c>
      <c r="O162" s="6"/>
      <c r="P162" s="6"/>
    </row>
    <row r="163" spans="1:16" x14ac:dyDescent="0.3">
      <c r="A163" s="6"/>
      <c r="B163" s="7"/>
      <c r="C163" s="6"/>
      <c r="D163" s="6"/>
      <c r="E163" s="6"/>
      <c r="F163" s="25"/>
      <c r="G163" s="25" t="str">
        <f>IF(A163="","",SUMIFS(Paradas_Detalhadas!$I:$I,Paradas_Detalhadas!$A:$A,A163,Paradas_Detalhadas!$B:$B,B163,Paradas_Detalhadas!$C:$C,C163,Paradas_Detalhadas!$D:$D,E163))</f>
        <v/>
      </c>
      <c r="H163" s="26" t="str">
        <f t="shared" si="10"/>
        <v/>
      </c>
      <c r="I163" s="10"/>
      <c r="J163" s="10"/>
      <c r="K163" s="10" t="str">
        <f t="shared" si="11"/>
        <v/>
      </c>
      <c r="L163" s="10" t="str">
        <f t="shared" si="12"/>
        <v/>
      </c>
      <c r="M163" s="10" t="str">
        <f t="shared" si="13"/>
        <v/>
      </c>
      <c r="N163" s="10" t="str">
        <f t="shared" si="14"/>
        <v/>
      </c>
      <c r="O163" s="6"/>
      <c r="P163" s="6"/>
    </row>
    <row r="164" spans="1:16" x14ac:dyDescent="0.3">
      <c r="A164" s="6"/>
      <c r="B164" s="7"/>
      <c r="C164" s="6"/>
      <c r="D164" s="6"/>
      <c r="E164" s="6"/>
      <c r="F164" s="25"/>
      <c r="G164" s="25" t="str">
        <f>IF(A164="","",SUMIFS(Paradas_Detalhadas!$I:$I,Paradas_Detalhadas!$A:$A,A164,Paradas_Detalhadas!$B:$B,B164,Paradas_Detalhadas!$C:$C,C164,Paradas_Detalhadas!$D:$D,E164))</f>
        <v/>
      </c>
      <c r="H164" s="26" t="str">
        <f t="shared" si="10"/>
        <v/>
      </c>
      <c r="I164" s="10"/>
      <c r="J164" s="10"/>
      <c r="K164" s="10" t="str">
        <f t="shared" si="11"/>
        <v/>
      </c>
      <c r="L164" s="10" t="str">
        <f t="shared" si="12"/>
        <v/>
      </c>
      <c r="M164" s="10" t="str">
        <f t="shared" si="13"/>
        <v/>
      </c>
      <c r="N164" s="10" t="str">
        <f t="shared" si="14"/>
        <v/>
      </c>
      <c r="O164" s="6"/>
      <c r="P164" s="6"/>
    </row>
    <row r="165" spans="1:16" x14ac:dyDescent="0.3">
      <c r="A165" s="6"/>
      <c r="B165" s="7"/>
      <c r="C165" s="6"/>
      <c r="D165" s="6"/>
      <c r="E165" s="6"/>
      <c r="F165" s="25"/>
      <c r="G165" s="25" t="str">
        <f>IF(A165="","",SUMIFS(Paradas_Detalhadas!$I:$I,Paradas_Detalhadas!$A:$A,A165,Paradas_Detalhadas!$B:$B,B165,Paradas_Detalhadas!$C:$C,C165,Paradas_Detalhadas!$D:$D,E165))</f>
        <v/>
      </c>
      <c r="H165" s="26" t="str">
        <f t="shared" si="10"/>
        <v/>
      </c>
      <c r="I165" s="10"/>
      <c r="J165" s="10"/>
      <c r="K165" s="10" t="str">
        <f t="shared" si="11"/>
        <v/>
      </c>
      <c r="L165" s="10" t="str">
        <f t="shared" si="12"/>
        <v/>
      </c>
      <c r="M165" s="10" t="str">
        <f t="shared" si="13"/>
        <v/>
      </c>
      <c r="N165" s="10" t="str">
        <f t="shared" si="14"/>
        <v/>
      </c>
      <c r="O165" s="6"/>
      <c r="P165" s="6"/>
    </row>
    <row r="166" spans="1:16" x14ac:dyDescent="0.3">
      <c r="A166" s="6"/>
      <c r="B166" s="7"/>
      <c r="C166" s="6"/>
      <c r="D166" s="6"/>
      <c r="E166" s="6"/>
      <c r="F166" s="25"/>
      <c r="G166" s="25" t="str">
        <f>IF(A166="","",SUMIFS(Paradas_Detalhadas!$I:$I,Paradas_Detalhadas!$A:$A,A166,Paradas_Detalhadas!$B:$B,B166,Paradas_Detalhadas!$C:$C,C166,Paradas_Detalhadas!$D:$D,E166))</f>
        <v/>
      </c>
      <c r="H166" s="26" t="str">
        <f t="shared" si="10"/>
        <v/>
      </c>
      <c r="I166" s="10"/>
      <c r="J166" s="10"/>
      <c r="K166" s="10" t="str">
        <f t="shared" si="11"/>
        <v/>
      </c>
      <c r="L166" s="10" t="str">
        <f t="shared" si="12"/>
        <v/>
      </c>
      <c r="M166" s="10" t="str">
        <f t="shared" si="13"/>
        <v/>
      </c>
      <c r="N166" s="10" t="str">
        <f t="shared" si="14"/>
        <v/>
      </c>
      <c r="O166" s="6"/>
      <c r="P166" s="6"/>
    </row>
    <row r="167" spans="1:16" x14ac:dyDescent="0.3">
      <c r="A167" s="6"/>
      <c r="B167" s="7"/>
      <c r="C167" s="6"/>
      <c r="D167" s="6"/>
      <c r="E167" s="6"/>
      <c r="F167" s="25"/>
      <c r="G167" s="25" t="str">
        <f>IF(A167="","",SUMIFS(Paradas_Detalhadas!$I:$I,Paradas_Detalhadas!$A:$A,A167,Paradas_Detalhadas!$B:$B,B167,Paradas_Detalhadas!$C:$C,C167,Paradas_Detalhadas!$D:$D,E167))</f>
        <v/>
      </c>
      <c r="H167" s="26" t="str">
        <f t="shared" si="10"/>
        <v/>
      </c>
      <c r="I167" s="10"/>
      <c r="J167" s="10"/>
      <c r="K167" s="10" t="str">
        <f t="shared" si="11"/>
        <v/>
      </c>
      <c r="L167" s="10" t="str">
        <f t="shared" si="12"/>
        <v/>
      </c>
      <c r="M167" s="10" t="str">
        <f t="shared" si="13"/>
        <v/>
      </c>
      <c r="N167" s="10" t="str">
        <f t="shared" si="14"/>
        <v/>
      </c>
      <c r="O167" s="6"/>
      <c r="P167" s="6"/>
    </row>
    <row r="168" spans="1:16" x14ac:dyDescent="0.3">
      <c r="A168" s="6"/>
      <c r="B168" s="7"/>
      <c r="C168" s="6"/>
      <c r="D168" s="6"/>
      <c r="E168" s="6"/>
      <c r="F168" s="25"/>
      <c r="G168" s="25" t="str">
        <f>IF(A168="","",SUMIFS(Paradas_Detalhadas!$I:$I,Paradas_Detalhadas!$A:$A,A168,Paradas_Detalhadas!$B:$B,B168,Paradas_Detalhadas!$C:$C,C168,Paradas_Detalhadas!$D:$D,E168))</f>
        <v/>
      </c>
      <c r="H168" s="26" t="str">
        <f t="shared" si="10"/>
        <v/>
      </c>
      <c r="I168" s="10"/>
      <c r="J168" s="10"/>
      <c r="K168" s="10" t="str">
        <f t="shared" si="11"/>
        <v/>
      </c>
      <c r="L168" s="10" t="str">
        <f t="shared" si="12"/>
        <v/>
      </c>
      <c r="M168" s="10" t="str">
        <f t="shared" si="13"/>
        <v/>
      </c>
      <c r="N168" s="10" t="str">
        <f t="shared" si="14"/>
        <v/>
      </c>
      <c r="O168" s="6"/>
      <c r="P168" s="6"/>
    </row>
    <row r="169" spans="1:16" x14ac:dyDescent="0.3">
      <c r="A169" s="6"/>
      <c r="B169" s="7"/>
      <c r="C169" s="6"/>
      <c r="D169" s="6"/>
      <c r="E169" s="6"/>
      <c r="F169" s="25"/>
      <c r="G169" s="25" t="str">
        <f>IF(A169="","",SUMIFS(Paradas_Detalhadas!$I:$I,Paradas_Detalhadas!$A:$A,A169,Paradas_Detalhadas!$B:$B,B169,Paradas_Detalhadas!$C:$C,C169,Paradas_Detalhadas!$D:$D,E169))</f>
        <v/>
      </c>
      <c r="H169" s="26" t="str">
        <f t="shared" si="10"/>
        <v/>
      </c>
      <c r="I169" s="10"/>
      <c r="J169" s="10"/>
      <c r="K169" s="10" t="str">
        <f t="shared" si="11"/>
        <v/>
      </c>
      <c r="L169" s="10" t="str">
        <f t="shared" si="12"/>
        <v/>
      </c>
      <c r="M169" s="10" t="str">
        <f t="shared" si="13"/>
        <v/>
      </c>
      <c r="N169" s="10" t="str">
        <f t="shared" si="14"/>
        <v/>
      </c>
      <c r="O169" s="6"/>
      <c r="P169" s="6"/>
    </row>
    <row r="170" spans="1:16" x14ac:dyDescent="0.3">
      <c r="A170" s="6"/>
      <c r="B170" s="7"/>
      <c r="C170" s="6"/>
      <c r="D170" s="6"/>
      <c r="E170" s="6"/>
      <c r="F170" s="25"/>
      <c r="G170" s="25" t="str">
        <f>IF(A170="","",SUMIFS(Paradas_Detalhadas!$I:$I,Paradas_Detalhadas!$A:$A,A170,Paradas_Detalhadas!$B:$B,B170,Paradas_Detalhadas!$C:$C,C170,Paradas_Detalhadas!$D:$D,E170))</f>
        <v/>
      </c>
      <c r="H170" s="26" t="str">
        <f t="shared" si="10"/>
        <v/>
      </c>
      <c r="I170" s="10"/>
      <c r="J170" s="10"/>
      <c r="K170" s="10" t="str">
        <f t="shared" si="11"/>
        <v/>
      </c>
      <c r="L170" s="10" t="str">
        <f t="shared" si="12"/>
        <v/>
      </c>
      <c r="M170" s="10" t="str">
        <f t="shared" si="13"/>
        <v/>
      </c>
      <c r="N170" s="10" t="str">
        <f t="shared" si="14"/>
        <v/>
      </c>
      <c r="O170" s="6"/>
      <c r="P170" s="6"/>
    </row>
    <row r="171" spans="1:16" x14ac:dyDescent="0.3">
      <c r="A171" s="6"/>
      <c r="B171" s="7"/>
      <c r="C171" s="6"/>
      <c r="D171" s="6"/>
      <c r="E171" s="6"/>
      <c r="F171" s="25"/>
      <c r="G171" s="25" t="str">
        <f>IF(A171="","",SUMIFS(Paradas_Detalhadas!$I:$I,Paradas_Detalhadas!$A:$A,A171,Paradas_Detalhadas!$B:$B,B171,Paradas_Detalhadas!$C:$C,C171,Paradas_Detalhadas!$D:$D,E171))</f>
        <v/>
      </c>
      <c r="H171" s="26" t="str">
        <f t="shared" si="10"/>
        <v/>
      </c>
      <c r="I171" s="10"/>
      <c r="J171" s="10"/>
      <c r="K171" s="10" t="str">
        <f t="shared" si="11"/>
        <v/>
      </c>
      <c r="L171" s="10" t="str">
        <f t="shared" si="12"/>
        <v/>
      </c>
      <c r="M171" s="10" t="str">
        <f t="shared" si="13"/>
        <v/>
      </c>
      <c r="N171" s="10" t="str">
        <f t="shared" si="14"/>
        <v/>
      </c>
      <c r="O171" s="6"/>
      <c r="P171" s="6"/>
    </row>
    <row r="172" spans="1:16" x14ac:dyDescent="0.3">
      <c r="A172" s="6"/>
      <c r="B172" s="7"/>
      <c r="C172" s="6"/>
      <c r="D172" s="6"/>
      <c r="E172" s="6"/>
      <c r="F172" s="25"/>
      <c r="G172" s="25" t="str">
        <f>IF(A172="","",SUMIFS(Paradas_Detalhadas!$I:$I,Paradas_Detalhadas!$A:$A,A172,Paradas_Detalhadas!$B:$B,B172,Paradas_Detalhadas!$C:$C,C172,Paradas_Detalhadas!$D:$D,E172))</f>
        <v/>
      </c>
      <c r="H172" s="26" t="str">
        <f t="shared" si="10"/>
        <v/>
      </c>
      <c r="I172" s="10"/>
      <c r="J172" s="10"/>
      <c r="K172" s="10" t="str">
        <f t="shared" si="11"/>
        <v/>
      </c>
      <c r="L172" s="10" t="str">
        <f t="shared" si="12"/>
        <v/>
      </c>
      <c r="M172" s="10" t="str">
        <f t="shared" si="13"/>
        <v/>
      </c>
      <c r="N172" s="10" t="str">
        <f t="shared" si="14"/>
        <v/>
      </c>
      <c r="O172" s="6"/>
      <c r="P172" s="6"/>
    </row>
    <row r="173" spans="1:16" x14ac:dyDescent="0.3">
      <c r="A173" s="6"/>
      <c r="B173" s="7"/>
      <c r="C173" s="6"/>
      <c r="D173" s="6"/>
      <c r="E173" s="6"/>
      <c r="F173" s="25"/>
      <c r="G173" s="25" t="str">
        <f>IF(A173="","",SUMIFS(Paradas_Detalhadas!$I:$I,Paradas_Detalhadas!$A:$A,A173,Paradas_Detalhadas!$B:$B,B173,Paradas_Detalhadas!$C:$C,C173,Paradas_Detalhadas!$D:$D,E173))</f>
        <v/>
      </c>
      <c r="H173" s="26" t="str">
        <f t="shared" si="10"/>
        <v/>
      </c>
      <c r="I173" s="10"/>
      <c r="J173" s="10"/>
      <c r="K173" s="10" t="str">
        <f t="shared" si="11"/>
        <v/>
      </c>
      <c r="L173" s="10" t="str">
        <f t="shared" si="12"/>
        <v/>
      </c>
      <c r="M173" s="10" t="str">
        <f t="shared" si="13"/>
        <v/>
      </c>
      <c r="N173" s="10" t="str">
        <f t="shared" si="14"/>
        <v/>
      </c>
      <c r="O173" s="6"/>
      <c r="P173" s="6"/>
    </row>
    <row r="174" spans="1:16" x14ac:dyDescent="0.3">
      <c r="A174" s="6"/>
      <c r="B174" s="7"/>
      <c r="C174" s="6"/>
      <c r="D174" s="6"/>
      <c r="E174" s="6"/>
      <c r="F174" s="25"/>
      <c r="G174" s="25" t="str">
        <f>IF(A174="","",SUMIFS(Paradas_Detalhadas!$I:$I,Paradas_Detalhadas!$A:$A,A174,Paradas_Detalhadas!$B:$B,B174,Paradas_Detalhadas!$C:$C,C174,Paradas_Detalhadas!$D:$D,E174))</f>
        <v/>
      </c>
      <c r="H174" s="26" t="str">
        <f t="shared" ref="H174:H237" si="15">IF(OR(F174="",G174=""),"",MAX(F174-G174,0))</f>
        <v/>
      </c>
      <c r="I174" s="10"/>
      <c r="J174" s="10"/>
      <c r="K174" s="10" t="str">
        <f t="shared" ref="K174:K237" si="16">IF(AND(I174="",J174=""),"",SUM(I174:J174))</f>
        <v/>
      </c>
      <c r="L174" s="10" t="str">
        <f t="shared" ref="L174:L237" si="17">IFERROR(K174/H174,"")</f>
        <v/>
      </c>
      <c r="M174" s="10" t="str">
        <f t="shared" ref="M174:M237" si="18">IFERROR(I174/H174,"")</f>
        <v/>
      </c>
      <c r="N174" s="10" t="str">
        <f t="shared" ref="N174:N237" si="19">IFERROR(J174/H174,"")</f>
        <v/>
      </c>
      <c r="O174" s="6"/>
      <c r="P174" s="6"/>
    </row>
    <row r="175" spans="1:16" x14ac:dyDescent="0.3">
      <c r="A175" s="6"/>
      <c r="B175" s="7"/>
      <c r="C175" s="6"/>
      <c r="D175" s="6"/>
      <c r="E175" s="6"/>
      <c r="F175" s="25"/>
      <c r="G175" s="25" t="str">
        <f>IF(A175="","",SUMIFS(Paradas_Detalhadas!$I:$I,Paradas_Detalhadas!$A:$A,A175,Paradas_Detalhadas!$B:$B,B175,Paradas_Detalhadas!$C:$C,C175,Paradas_Detalhadas!$D:$D,E175))</f>
        <v/>
      </c>
      <c r="H175" s="26" t="str">
        <f t="shared" si="15"/>
        <v/>
      </c>
      <c r="I175" s="10"/>
      <c r="J175" s="10"/>
      <c r="K175" s="10" t="str">
        <f t="shared" si="16"/>
        <v/>
      </c>
      <c r="L175" s="10" t="str">
        <f t="shared" si="17"/>
        <v/>
      </c>
      <c r="M175" s="10" t="str">
        <f t="shared" si="18"/>
        <v/>
      </c>
      <c r="N175" s="10" t="str">
        <f t="shared" si="19"/>
        <v/>
      </c>
      <c r="O175" s="6"/>
      <c r="P175" s="6"/>
    </row>
    <row r="176" spans="1:16" x14ac:dyDescent="0.3">
      <c r="A176" s="6"/>
      <c r="B176" s="7"/>
      <c r="C176" s="6"/>
      <c r="D176" s="6"/>
      <c r="E176" s="6"/>
      <c r="F176" s="25"/>
      <c r="G176" s="25" t="str">
        <f>IF(A176="","",SUMIFS(Paradas_Detalhadas!$I:$I,Paradas_Detalhadas!$A:$A,A176,Paradas_Detalhadas!$B:$B,B176,Paradas_Detalhadas!$C:$C,C176,Paradas_Detalhadas!$D:$D,E176))</f>
        <v/>
      </c>
      <c r="H176" s="26" t="str">
        <f t="shared" si="15"/>
        <v/>
      </c>
      <c r="I176" s="10"/>
      <c r="J176" s="10"/>
      <c r="K176" s="10" t="str">
        <f t="shared" si="16"/>
        <v/>
      </c>
      <c r="L176" s="10" t="str">
        <f t="shared" si="17"/>
        <v/>
      </c>
      <c r="M176" s="10" t="str">
        <f t="shared" si="18"/>
        <v/>
      </c>
      <c r="N176" s="10" t="str">
        <f t="shared" si="19"/>
        <v/>
      </c>
      <c r="O176" s="6"/>
      <c r="P176" s="6"/>
    </row>
    <row r="177" spans="1:16" x14ac:dyDescent="0.3">
      <c r="A177" s="6"/>
      <c r="B177" s="7"/>
      <c r="C177" s="6"/>
      <c r="D177" s="6"/>
      <c r="E177" s="6"/>
      <c r="F177" s="25"/>
      <c r="G177" s="25" t="str">
        <f>IF(A177="","",SUMIFS(Paradas_Detalhadas!$I:$I,Paradas_Detalhadas!$A:$A,A177,Paradas_Detalhadas!$B:$B,B177,Paradas_Detalhadas!$C:$C,C177,Paradas_Detalhadas!$D:$D,E177))</f>
        <v/>
      </c>
      <c r="H177" s="26" t="str">
        <f t="shared" si="15"/>
        <v/>
      </c>
      <c r="I177" s="10"/>
      <c r="J177" s="10"/>
      <c r="K177" s="10" t="str">
        <f t="shared" si="16"/>
        <v/>
      </c>
      <c r="L177" s="10" t="str">
        <f t="shared" si="17"/>
        <v/>
      </c>
      <c r="M177" s="10" t="str">
        <f t="shared" si="18"/>
        <v/>
      </c>
      <c r="N177" s="10" t="str">
        <f t="shared" si="19"/>
        <v/>
      </c>
      <c r="O177" s="6"/>
      <c r="P177" s="6"/>
    </row>
    <row r="178" spans="1:16" x14ac:dyDescent="0.3">
      <c r="A178" s="6"/>
      <c r="B178" s="7"/>
      <c r="C178" s="6"/>
      <c r="D178" s="6"/>
      <c r="E178" s="6"/>
      <c r="F178" s="25"/>
      <c r="G178" s="25" t="str">
        <f>IF(A178="","",SUMIFS(Paradas_Detalhadas!$I:$I,Paradas_Detalhadas!$A:$A,A178,Paradas_Detalhadas!$B:$B,B178,Paradas_Detalhadas!$C:$C,C178,Paradas_Detalhadas!$D:$D,E178))</f>
        <v/>
      </c>
      <c r="H178" s="26" t="str">
        <f t="shared" si="15"/>
        <v/>
      </c>
      <c r="I178" s="10"/>
      <c r="J178" s="10"/>
      <c r="K178" s="10" t="str">
        <f t="shared" si="16"/>
        <v/>
      </c>
      <c r="L178" s="10" t="str">
        <f t="shared" si="17"/>
        <v/>
      </c>
      <c r="M178" s="10" t="str">
        <f t="shared" si="18"/>
        <v/>
      </c>
      <c r="N178" s="10" t="str">
        <f t="shared" si="19"/>
        <v/>
      </c>
      <c r="O178" s="6"/>
      <c r="P178" s="6"/>
    </row>
    <row r="179" spans="1:16" x14ac:dyDescent="0.3">
      <c r="A179" s="6"/>
      <c r="B179" s="7"/>
      <c r="C179" s="6"/>
      <c r="D179" s="6"/>
      <c r="E179" s="6"/>
      <c r="F179" s="25"/>
      <c r="G179" s="25" t="str">
        <f>IF(A179="","",SUMIFS(Paradas_Detalhadas!$I:$I,Paradas_Detalhadas!$A:$A,A179,Paradas_Detalhadas!$B:$B,B179,Paradas_Detalhadas!$C:$C,C179,Paradas_Detalhadas!$D:$D,E179))</f>
        <v/>
      </c>
      <c r="H179" s="26" t="str">
        <f t="shared" si="15"/>
        <v/>
      </c>
      <c r="I179" s="10"/>
      <c r="J179" s="10"/>
      <c r="K179" s="10" t="str">
        <f t="shared" si="16"/>
        <v/>
      </c>
      <c r="L179" s="10" t="str">
        <f t="shared" si="17"/>
        <v/>
      </c>
      <c r="M179" s="10" t="str">
        <f t="shared" si="18"/>
        <v/>
      </c>
      <c r="N179" s="10" t="str">
        <f t="shared" si="19"/>
        <v/>
      </c>
      <c r="O179" s="6"/>
      <c r="P179" s="6"/>
    </row>
    <row r="180" spans="1:16" x14ac:dyDescent="0.3">
      <c r="A180" s="6"/>
      <c r="B180" s="7"/>
      <c r="C180" s="6"/>
      <c r="D180" s="6"/>
      <c r="E180" s="6"/>
      <c r="F180" s="25"/>
      <c r="G180" s="25" t="str">
        <f>IF(A180="","",SUMIFS(Paradas_Detalhadas!$I:$I,Paradas_Detalhadas!$A:$A,A180,Paradas_Detalhadas!$B:$B,B180,Paradas_Detalhadas!$C:$C,C180,Paradas_Detalhadas!$D:$D,E180))</f>
        <v/>
      </c>
      <c r="H180" s="26" t="str">
        <f t="shared" si="15"/>
        <v/>
      </c>
      <c r="I180" s="10"/>
      <c r="J180" s="10"/>
      <c r="K180" s="10" t="str">
        <f t="shared" si="16"/>
        <v/>
      </c>
      <c r="L180" s="10" t="str">
        <f t="shared" si="17"/>
        <v/>
      </c>
      <c r="M180" s="10" t="str">
        <f t="shared" si="18"/>
        <v/>
      </c>
      <c r="N180" s="10" t="str">
        <f t="shared" si="19"/>
        <v/>
      </c>
      <c r="O180" s="6"/>
      <c r="P180" s="6"/>
    </row>
    <row r="181" spans="1:16" x14ac:dyDescent="0.3">
      <c r="A181" s="6"/>
      <c r="B181" s="7"/>
      <c r="C181" s="6"/>
      <c r="D181" s="6"/>
      <c r="E181" s="6"/>
      <c r="F181" s="25"/>
      <c r="G181" s="25" t="str">
        <f>IF(A181="","",SUMIFS(Paradas_Detalhadas!$I:$I,Paradas_Detalhadas!$A:$A,A181,Paradas_Detalhadas!$B:$B,B181,Paradas_Detalhadas!$C:$C,C181,Paradas_Detalhadas!$D:$D,E181))</f>
        <v/>
      </c>
      <c r="H181" s="26" t="str">
        <f t="shared" si="15"/>
        <v/>
      </c>
      <c r="I181" s="10"/>
      <c r="J181" s="10"/>
      <c r="K181" s="10" t="str">
        <f t="shared" si="16"/>
        <v/>
      </c>
      <c r="L181" s="10" t="str">
        <f t="shared" si="17"/>
        <v/>
      </c>
      <c r="M181" s="10" t="str">
        <f t="shared" si="18"/>
        <v/>
      </c>
      <c r="N181" s="10" t="str">
        <f t="shared" si="19"/>
        <v/>
      </c>
      <c r="O181" s="6"/>
      <c r="P181" s="6"/>
    </row>
    <row r="182" spans="1:16" x14ac:dyDescent="0.3">
      <c r="A182" s="6"/>
      <c r="B182" s="7"/>
      <c r="C182" s="6"/>
      <c r="D182" s="6"/>
      <c r="E182" s="6"/>
      <c r="F182" s="25"/>
      <c r="G182" s="25" t="str">
        <f>IF(A182="","",SUMIFS(Paradas_Detalhadas!$I:$I,Paradas_Detalhadas!$A:$A,A182,Paradas_Detalhadas!$B:$B,B182,Paradas_Detalhadas!$C:$C,C182,Paradas_Detalhadas!$D:$D,E182))</f>
        <v/>
      </c>
      <c r="H182" s="26" t="str">
        <f t="shared" si="15"/>
        <v/>
      </c>
      <c r="I182" s="10"/>
      <c r="J182" s="10"/>
      <c r="K182" s="10" t="str">
        <f t="shared" si="16"/>
        <v/>
      </c>
      <c r="L182" s="10" t="str">
        <f t="shared" si="17"/>
        <v/>
      </c>
      <c r="M182" s="10" t="str">
        <f t="shared" si="18"/>
        <v/>
      </c>
      <c r="N182" s="10" t="str">
        <f t="shared" si="19"/>
        <v/>
      </c>
      <c r="O182" s="6"/>
      <c r="P182" s="6"/>
    </row>
    <row r="183" spans="1:16" x14ac:dyDescent="0.3">
      <c r="A183" s="6"/>
      <c r="B183" s="7"/>
      <c r="C183" s="6"/>
      <c r="D183" s="6"/>
      <c r="E183" s="6"/>
      <c r="F183" s="25"/>
      <c r="G183" s="25" t="str">
        <f>IF(A183="","",SUMIFS(Paradas_Detalhadas!$I:$I,Paradas_Detalhadas!$A:$A,A183,Paradas_Detalhadas!$B:$B,B183,Paradas_Detalhadas!$C:$C,C183,Paradas_Detalhadas!$D:$D,E183))</f>
        <v/>
      </c>
      <c r="H183" s="26" t="str">
        <f t="shared" si="15"/>
        <v/>
      </c>
      <c r="I183" s="10"/>
      <c r="J183" s="10"/>
      <c r="K183" s="10" t="str">
        <f t="shared" si="16"/>
        <v/>
      </c>
      <c r="L183" s="10" t="str">
        <f t="shared" si="17"/>
        <v/>
      </c>
      <c r="M183" s="10" t="str">
        <f t="shared" si="18"/>
        <v/>
      </c>
      <c r="N183" s="10" t="str">
        <f t="shared" si="19"/>
        <v/>
      </c>
      <c r="O183" s="6"/>
      <c r="P183" s="6"/>
    </row>
    <row r="184" spans="1:16" x14ac:dyDescent="0.3">
      <c r="A184" s="6"/>
      <c r="B184" s="7"/>
      <c r="C184" s="6"/>
      <c r="D184" s="6"/>
      <c r="E184" s="6"/>
      <c r="F184" s="25"/>
      <c r="G184" s="25" t="str">
        <f>IF(A184="","",SUMIFS(Paradas_Detalhadas!$I:$I,Paradas_Detalhadas!$A:$A,A184,Paradas_Detalhadas!$B:$B,B184,Paradas_Detalhadas!$C:$C,C184,Paradas_Detalhadas!$D:$D,E184))</f>
        <v/>
      </c>
      <c r="H184" s="26" t="str">
        <f t="shared" si="15"/>
        <v/>
      </c>
      <c r="I184" s="10"/>
      <c r="J184" s="10"/>
      <c r="K184" s="10" t="str">
        <f t="shared" si="16"/>
        <v/>
      </c>
      <c r="L184" s="10" t="str">
        <f t="shared" si="17"/>
        <v/>
      </c>
      <c r="M184" s="10" t="str">
        <f t="shared" si="18"/>
        <v/>
      </c>
      <c r="N184" s="10" t="str">
        <f t="shared" si="19"/>
        <v/>
      </c>
      <c r="O184" s="6"/>
      <c r="P184" s="6"/>
    </row>
    <row r="185" spans="1:16" x14ac:dyDescent="0.3">
      <c r="A185" s="6"/>
      <c r="B185" s="7"/>
      <c r="C185" s="6"/>
      <c r="D185" s="6"/>
      <c r="E185" s="6"/>
      <c r="F185" s="25"/>
      <c r="G185" s="25" t="str">
        <f>IF(A185="","",SUMIFS(Paradas_Detalhadas!$I:$I,Paradas_Detalhadas!$A:$A,A185,Paradas_Detalhadas!$B:$B,B185,Paradas_Detalhadas!$C:$C,C185,Paradas_Detalhadas!$D:$D,E185))</f>
        <v/>
      </c>
      <c r="H185" s="26" t="str">
        <f t="shared" si="15"/>
        <v/>
      </c>
      <c r="I185" s="10"/>
      <c r="J185" s="10"/>
      <c r="K185" s="10" t="str">
        <f t="shared" si="16"/>
        <v/>
      </c>
      <c r="L185" s="10" t="str">
        <f t="shared" si="17"/>
        <v/>
      </c>
      <c r="M185" s="10" t="str">
        <f t="shared" si="18"/>
        <v/>
      </c>
      <c r="N185" s="10" t="str">
        <f t="shared" si="19"/>
        <v/>
      </c>
      <c r="O185" s="6"/>
      <c r="P185" s="6"/>
    </row>
    <row r="186" spans="1:16" x14ac:dyDescent="0.3">
      <c r="A186" s="6"/>
      <c r="B186" s="7"/>
      <c r="C186" s="6"/>
      <c r="D186" s="6"/>
      <c r="E186" s="6"/>
      <c r="F186" s="25"/>
      <c r="G186" s="25" t="str">
        <f>IF(A186="","",SUMIFS(Paradas_Detalhadas!$I:$I,Paradas_Detalhadas!$A:$A,A186,Paradas_Detalhadas!$B:$B,B186,Paradas_Detalhadas!$C:$C,C186,Paradas_Detalhadas!$D:$D,E186))</f>
        <v/>
      </c>
      <c r="H186" s="26" t="str">
        <f t="shared" si="15"/>
        <v/>
      </c>
      <c r="I186" s="10"/>
      <c r="J186" s="10"/>
      <c r="K186" s="10" t="str">
        <f t="shared" si="16"/>
        <v/>
      </c>
      <c r="L186" s="10" t="str">
        <f t="shared" si="17"/>
        <v/>
      </c>
      <c r="M186" s="10" t="str">
        <f t="shared" si="18"/>
        <v/>
      </c>
      <c r="N186" s="10" t="str">
        <f t="shared" si="19"/>
        <v/>
      </c>
      <c r="O186" s="6"/>
      <c r="P186" s="6"/>
    </row>
    <row r="187" spans="1:16" x14ac:dyDescent="0.3">
      <c r="A187" s="6"/>
      <c r="B187" s="7"/>
      <c r="C187" s="6"/>
      <c r="D187" s="6"/>
      <c r="E187" s="6"/>
      <c r="F187" s="25"/>
      <c r="G187" s="25" t="str">
        <f>IF(A187="","",SUMIFS(Paradas_Detalhadas!$I:$I,Paradas_Detalhadas!$A:$A,A187,Paradas_Detalhadas!$B:$B,B187,Paradas_Detalhadas!$C:$C,C187,Paradas_Detalhadas!$D:$D,E187))</f>
        <v/>
      </c>
      <c r="H187" s="26" t="str">
        <f t="shared" si="15"/>
        <v/>
      </c>
      <c r="I187" s="10"/>
      <c r="J187" s="10"/>
      <c r="K187" s="10" t="str">
        <f t="shared" si="16"/>
        <v/>
      </c>
      <c r="L187" s="10" t="str">
        <f t="shared" si="17"/>
        <v/>
      </c>
      <c r="M187" s="10" t="str">
        <f t="shared" si="18"/>
        <v/>
      </c>
      <c r="N187" s="10" t="str">
        <f t="shared" si="19"/>
        <v/>
      </c>
      <c r="O187" s="6"/>
      <c r="P187" s="6"/>
    </row>
    <row r="188" spans="1:16" x14ac:dyDescent="0.3">
      <c r="A188" s="6"/>
      <c r="B188" s="7"/>
      <c r="C188" s="6"/>
      <c r="D188" s="6"/>
      <c r="E188" s="6"/>
      <c r="F188" s="25"/>
      <c r="G188" s="25" t="str">
        <f>IF(A188="","",SUMIFS(Paradas_Detalhadas!$I:$I,Paradas_Detalhadas!$A:$A,A188,Paradas_Detalhadas!$B:$B,B188,Paradas_Detalhadas!$C:$C,C188,Paradas_Detalhadas!$D:$D,E188))</f>
        <v/>
      </c>
      <c r="H188" s="26" t="str">
        <f t="shared" si="15"/>
        <v/>
      </c>
      <c r="I188" s="10"/>
      <c r="J188" s="10"/>
      <c r="K188" s="10" t="str">
        <f t="shared" si="16"/>
        <v/>
      </c>
      <c r="L188" s="10" t="str">
        <f t="shared" si="17"/>
        <v/>
      </c>
      <c r="M188" s="10" t="str">
        <f t="shared" si="18"/>
        <v/>
      </c>
      <c r="N188" s="10" t="str">
        <f t="shared" si="19"/>
        <v/>
      </c>
      <c r="O188" s="6"/>
      <c r="P188" s="6"/>
    </row>
    <row r="189" spans="1:16" x14ac:dyDescent="0.3">
      <c r="A189" s="6"/>
      <c r="B189" s="7"/>
      <c r="C189" s="6"/>
      <c r="D189" s="6"/>
      <c r="E189" s="6"/>
      <c r="F189" s="25"/>
      <c r="G189" s="25" t="str">
        <f>IF(A189="","",SUMIFS(Paradas_Detalhadas!$I:$I,Paradas_Detalhadas!$A:$A,A189,Paradas_Detalhadas!$B:$B,B189,Paradas_Detalhadas!$C:$C,C189,Paradas_Detalhadas!$D:$D,E189))</f>
        <v/>
      </c>
      <c r="H189" s="26" t="str">
        <f t="shared" si="15"/>
        <v/>
      </c>
      <c r="I189" s="10"/>
      <c r="J189" s="10"/>
      <c r="K189" s="10" t="str">
        <f t="shared" si="16"/>
        <v/>
      </c>
      <c r="L189" s="10" t="str">
        <f t="shared" si="17"/>
        <v/>
      </c>
      <c r="M189" s="10" t="str">
        <f t="shared" si="18"/>
        <v/>
      </c>
      <c r="N189" s="10" t="str">
        <f t="shared" si="19"/>
        <v/>
      </c>
      <c r="O189" s="6"/>
      <c r="P189" s="6"/>
    </row>
    <row r="190" spans="1:16" x14ac:dyDescent="0.3">
      <c r="A190" s="6"/>
      <c r="B190" s="7"/>
      <c r="C190" s="6"/>
      <c r="D190" s="6"/>
      <c r="E190" s="6"/>
      <c r="F190" s="25"/>
      <c r="G190" s="25" t="str">
        <f>IF(A190="","",SUMIFS(Paradas_Detalhadas!$I:$I,Paradas_Detalhadas!$A:$A,A190,Paradas_Detalhadas!$B:$B,B190,Paradas_Detalhadas!$C:$C,C190,Paradas_Detalhadas!$D:$D,E190))</f>
        <v/>
      </c>
      <c r="H190" s="26" t="str">
        <f t="shared" si="15"/>
        <v/>
      </c>
      <c r="I190" s="10"/>
      <c r="J190" s="10"/>
      <c r="K190" s="10" t="str">
        <f t="shared" si="16"/>
        <v/>
      </c>
      <c r="L190" s="10" t="str">
        <f t="shared" si="17"/>
        <v/>
      </c>
      <c r="M190" s="10" t="str">
        <f t="shared" si="18"/>
        <v/>
      </c>
      <c r="N190" s="10" t="str">
        <f t="shared" si="19"/>
        <v/>
      </c>
      <c r="O190" s="6"/>
      <c r="P190" s="6"/>
    </row>
    <row r="191" spans="1:16" x14ac:dyDescent="0.3">
      <c r="A191" s="6"/>
      <c r="B191" s="7"/>
      <c r="C191" s="6"/>
      <c r="D191" s="6"/>
      <c r="E191" s="6"/>
      <c r="F191" s="25"/>
      <c r="G191" s="25" t="str">
        <f>IF(A191="","",SUMIFS(Paradas_Detalhadas!$I:$I,Paradas_Detalhadas!$A:$A,A191,Paradas_Detalhadas!$B:$B,B191,Paradas_Detalhadas!$C:$C,C191,Paradas_Detalhadas!$D:$D,E191))</f>
        <v/>
      </c>
      <c r="H191" s="26" t="str">
        <f t="shared" si="15"/>
        <v/>
      </c>
      <c r="I191" s="10"/>
      <c r="J191" s="10"/>
      <c r="K191" s="10" t="str">
        <f t="shared" si="16"/>
        <v/>
      </c>
      <c r="L191" s="10" t="str">
        <f t="shared" si="17"/>
        <v/>
      </c>
      <c r="M191" s="10" t="str">
        <f t="shared" si="18"/>
        <v/>
      </c>
      <c r="N191" s="10" t="str">
        <f t="shared" si="19"/>
        <v/>
      </c>
      <c r="O191" s="6"/>
      <c r="P191" s="6"/>
    </row>
    <row r="192" spans="1:16" x14ac:dyDescent="0.3">
      <c r="A192" s="6"/>
      <c r="B192" s="7"/>
      <c r="C192" s="6"/>
      <c r="D192" s="6"/>
      <c r="E192" s="6"/>
      <c r="F192" s="25"/>
      <c r="G192" s="25" t="str">
        <f>IF(A192="","",SUMIFS(Paradas_Detalhadas!$I:$I,Paradas_Detalhadas!$A:$A,A192,Paradas_Detalhadas!$B:$B,B192,Paradas_Detalhadas!$C:$C,C192,Paradas_Detalhadas!$D:$D,E192))</f>
        <v/>
      </c>
      <c r="H192" s="26" t="str">
        <f t="shared" si="15"/>
        <v/>
      </c>
      <c r="I192" s="10"/>
      <c r="J192" s="10"/>
      <c r="K192" s="10" t="str">
        <f t="shared" si="16"/>
        <v/>
      </c>
      <c r="L192" s="10" t="str">
        <f t="shared" si="17"/>
        <v/>
      </c>
      <c r="M192" s="10" t="str">
        <f t="shared" si="18"/>
        <v/>
      </c>
      <c r="N192" s="10" t="str">
        <f t="shared" si="19"/>
        <v/>
      </c>
      <c r="O192" s="6"/>
      <c r="P192" s="6"/>
    </row>
    <row r="193" spans="1:16" x14ac:dyDescent="0.3">
      <c r="A193" s="6"/>
      <c r="B193" s="7"/>
      <c r="C193" s="6"/>
      <c r="D193" s="6"/>
      <c r="E193" s="6"/>
      <c r="F193" s="25"/>
      <c r="G193" s="25" t="str">
        <f>IF(A193="","",SUMIFS(Paradas_Detalhadas!$I:$I,Paradas_Detalhadas!$A:$A,A193,Paradas_Detalhadas!$B:$B,B193,Paradas_Detalhadas!$C:$C,C193,Paradas_Detalhadas!$D:$D,E193))</f>
        <v/>
      </c>
      <c r="H193" s="26" t="str">
        <f t="shared" si="15"/>
        <v/>
      </c>
      <c r="I193" s="10"/>
      <c r="J193" s="10"/>
      <c r="K193" s="10" t="str">
        <f t="shared" si="16"/>
        <v/>
      </c>
      <c r="L193" s="10" t="str">
        <f t="shared" si="17"/>
        <v/>
      </c>
      <c r="M193" s="10" t="str">
        <f t="shared" si="18"/>
        <v/>
      </c>
      <c r="N193" s="10" t="str">
        <f t="shared" si="19"/>
        <v/>
      </c>
      <c r="O193" s="6"/>
      <c r="P193" s="6"/>
    </row>
    <row r="194" spans="1:16" x14ac:dyDescent="0.3">
      <c r="A194" s="6"/>
      <c r="B194" s="7"/>
      <c r="C194" s="6"/>
      <c r="D194" s="6"/>
      <c r="E194" s="6"/>
      <c r="F194" s="25"/>
      <c r="G194" s="25" t="str">
        <f>IF(A194="","",SUMIFS(Paradas_Detalhadas!$I:$I,Paradas_Detalhadas!$A:$A,A194,Paradas_Detalhadas!$B:$B,B194,Paradas_Detalhadas!$C:$C,C194,Paradas_Detalhadas!$D:$D,E194))</f>
        <v/>
      </c>
      <c r="H194" s="26" t="str">
        <f t="shared" si="15"/>
        <v/>
      </c>
      <c r="I194" s="10"/>
      <c r="J194" s="10"/>
      <c r="K194" s="10" t="str">
        <f t="shared" si="16"/>
        <v/>
      </c>
      <c r="L194" s="10" t="str">
        <f t="shared" si="17"/>
        <v/>
      </c>
      <c r="M194" s="10" t="str">
        <f t="shared" si="18"/>
        <v/>
      </c>
      <c r="N194" s="10" t="str">
        <f t="shared" si="19"/>
        <v/>
      </c>
      <c r="O194" s="6"/>
      <c r="P194" s="6"/>
    </row>
    <row r="195" spans="1:16" x14ac:dyDescent="0.3">
      <c r="A195" s="6"/>
      <c r="B195" s="7"/>
      <c r="C195" s="6"/>
      <c r="D195" s="6"/>
      <c r="E195" s="6"/>
      <c r="F195" s="25"/>
      <c r="G195" s="25" t="str">
        <f>IF(A195="","",SUMIFS(Paradas_Detalhadas!$I:$I,Paradas_Detalhadas!$A:$A,A195,Paradas_Detalhadas!$B:$B,B195,Paradas_Detalhadas!$C:$C,C195,Paradas_Detalhadas!$D:$D,E195))</f>
        <v/>
      </c>
      <c r="H195" s="26" t="str">
        <f t="shared" si="15"/>
        <v/>
      </c>
      <c r="I195" s="10"/>
      <c r="J195" s="10"/>
      <c r="K195" s="10" t="str">
        <f t="shared" si="16"/>
        <v/>
      </c>
      <c r="L195" s="10" t="str">
        <f t="shared" si="17"/>
        <v/>
      </c>
      <c r="M195" s="10" t="str">
        <f t="shared" si="18"/>
        <v/>
      </c>
      <c r="N195" s="10" t="str">
        <f t="shared" si="19"/>
        <v/>
      </c>
      <c r="O195" s="6"/>
      <c r="P195" s="6"/>
    </row>
    <row r="196" spans="1:16" x14ac:dyDescent="0.3">
      <c r="A196" s="6"/>
      <c r="B196" s="7"/>
      <c r="C196" s="6"/>
      <c r="D196" s="6"/>
      <c r="E196" s="6"/>
      <c r="F196" s="25"/>
      <c r="G196" s="25" t="str">
        <f>IF(A196="","",SUMIFS(Paradas_Detalhadas!$I:$I,Paradas_Detalhadas!$A:$A,A196,Paradas_Detalhadas!$B:$B,B196,Paradas_Detalhadas!$C:$C,C196,Paradas_Detalhadas!$D:$D,E196))</f>
        <v/>
      </c>
      <c r="H196" s="26" t="str">
        <f t="shared" si="15"/>
        <v/>
      </c>
      <c r="I196" s="10"/>
      <c r="J196" s="10"/>
      <c r="K196" s="10" t="str">
        <f t="shared" si="16"/>
        <v/>
      </c>
      <c r="L196" s="10" t="str">
        <f t="shared" si="17"/>
        <v/>
      </c>
      <c r="M196" s="10" t="str">
        <f t="shared" si="18"/>
        <v/>
      </c>
      <c r="N196" s="10" t="str">
        <f t="shared" si="19"/>
        <v/>
      </c>
      <c r="O196" s="6"/>
      <c r="P196" s="6"/>
    </row>
    <row r="197" spans="1:16" x14ac:dyDescent="0.3">
      <c r="A197" s="6"/>
      <c r="B197" s="7"/>
      <c r="C197" s="6"/>
      <c r="D197" s="6"/>
      <c r="E197" s="6"/>
      <c r="F197" s="25"/>
      <c r="G197" s="25" t="str">
        <f>IF(A197="","",SUMIFS(Paradas_Detalhadas!$I:$I,Paradas_Detalhadas!$A:$A,A197,Paradas_Detalhadas!$B:$B,B197,Paradas_Detalhadas!$C:$C,C197,Paradas_Detalhadas!$D:$D,E197))</f>
        <v/>
      </c>
      <c r="H197" s="26" t="str">
        <f t="shared" si="15"/>
        <v/>
      </c>
      <c r="I197" s="10"/>
      <c r="J197" s="10"/>
      <c r="K197" s="10" t="str">
        <f t="shared" si="16"/>
        <v/>
      </c>
      <c r="L197" s="10" t="str">
        <f t="shared" si="17"/>
        <v/>
      </c>
      <c r="M197" s="10" t="str">
        <f t="shared" si="18"/>
        <v/>
      </c>
      <c r="N197" s="10" t="str">
        <f t="shared" si="19"/>
        <v/>
      </c>
      <c r="O197" s="6"/>
      <c r="P197" s="6"/>
    </row>
    <row r="198" spans="1:16" x14ac:dyDescent="0.3">
      <c r="A198" s="6"/>
      <c r="B198" s="7"/>
      <c r="C198" s="6"/>
      <c r="D198" s="6"/>
      <c r="E198" s="6"/>
      <c r="F198" s="25"/>
      <c r="G198" s="25" t="str">
        <f>IF(A198="","",SUMIFS(Paradas_Detalhadas!$I:$I,Paradas_Detalhadas!$A:$A,A198,Paradas_Detalhadas!$B:$B,B198,Paradas_Detalhadas!$C:$C,C198,Paradas_Detalhadas!$D:$D,E198))</f>
        <v/>
      </c>
      <c r="H198" s="26" t="str">
        <f t="shared" si="15"/>
        <v/>
      </c>
      <c r="I198" s="10"/>
      <c r="J198" s="10"/>
      <c r="K198" s="10" t="str">
        <f t="shared" si="16"/>
        <v/>
      </c>
      <c r="L198" s="10" t="str">
        <f t="shared" si="17"/>
        <v/>
      </c>
      <c r="M198" s="10" t="str">
        <f t="shared" si="18"/>
        <v/>
      </c>
      <c r="N198" s="10" t="str">
        <f t="shared" si="19"/>
        <v/>
      </c>
      <c r="O198" s="6"/>
      <c r="P198" s="6"/>
    </row>
    <row r="199" spans="1:16" x14ac:dyDescent="0.3">
      <c r="A199" s="6"/>
      <c r="B199" s="7"/>
      <c r="C199" s="6"/>
      <c r="D199" s="6"/>
      <c r="E199" s="6"/>
      <c r="F199" s="25"/>
      <c r="G199" s="25" t="str">
        <f>IF(A199="","",SUMIFS(Paradas_Detalhadas!$I:$I,Paradas_Detalhadas!$A:$A,A199,Paradas_Detalhadas!$B:$B,B199,Paradas_Detalhadas!$C:$C,C199,Paradas_Detalhadas!$D:$D,E199))</f>
        <v/>
      </c>
      <c r="H199" s="26" t="str">
        <f t="shared" si="15"/>
        <v/>
      </c>
      <c r="I199" s="10"/>
      <c r="J199" s="10"/>
      <c r="K199" s="10" t="str">
        <f t="shared" si="16"/>
        <v/>
      </c>
      <c r="L199" s="10" t="str">
        <f t="shared" si="17"/>
        <v/>
      </c>
      <c r="M199" s="10" t="str">
        <f t="shared" si="18"/>
        <v/>
      </c>
      <c r="N199" s="10" t="str">
        <f t="shared" si="19"/>
        <v/>
      </c>
      <c r="O199" s="6"/>
      <c r="P199" s="6"/>
    </row>
    <row r="200" spans="1:16" x14ac:dyDescent="0.3">
      <c r="A200" s="6"/>
      <c r="B200" s="7"/>
      <c r="C200" s="6"/>
      <c r="D200" s="6"/>
      <c r="E200" s="6"/>
      <c r="F200" s="25"/>
      <c r="G200" s="25" t="str">
        <f>IF(A200="","",SUMIFS(Paradas_Detalhadas!$I:$I,Paradas_Detalhadas!$A:$A,A200,Paradas_Detalhadas!$B:$B,B200,Paradas_Detalhadas!$C:$C,C200,Paradas_Detalhadas!$D:$D,E200))</f>
        <v/>
      </c>
      <c r="H200" s="26" t="str">
        <f t="shared" si="15"/>
        <v/>
      </c>
      <c r="I200" s="10"/>
      <c r="J200" s="10"/>
      <c r="K200" s="10" t="str">
        <f t="shared" si="16"/>
        <v/>
      </c>
      <c r="L200" s="10" t="str">
        <f t="shared" si="17"/>
        <v/>
      </c>
      <c r="M200" s="10" t="str">
        <f t="shared" si="18"/>
        <v/>
      </c>
      <c r="N200" s="10" t="str">
        <f t="shared" si="19"/>
        <v/>
      </c>
      <c r="O200" s="6"/>
      <c r="P200" s="6"/>
    </row>
    <row r="201" spans="1:16" x14ac:dyDescent="0.3">
      <c r="A201" s="6"/>
      <c r="B201" s="7"/>
      <c r="C201" s="6"/>
      <c r="D201" s="6"/>
      <c r="E201" s="6"/>
      <c r="F201" s="25"/>
      <c r="G201" s="25" t="str">
        <f>IF(A201="","",SUMIFS(Paradas_Detalhadas!$I:$I,Paradas_Detalhadas!$A:$A,A201,Paradas_Detalhadas!$B:$B,B201,Paradas_Detalhadas!$C:$C,C201,Paradas_Detalhadas!$D:$D,E201))</f>
        <v/>
      </c>
      <c r="H201" s="26" t="str">
        <f t="shared" si="15"/>
        <v/>
      </c>
      <c r="I201" s="10"/>
      <c r="J201" s="10"/>
      <c r="K201" s="10" t="str">
        <f t="shared" si="16"/>
        <v/>
      </c>
      <c r="L201" s="10" t="str">
        <f t="shared" si="17"/>
        <v/>
      </c>
      <c r="M201" s="10" t="str">
        <f t="shared" si="18"/>
        <v/>
      </c>
      <c r="N201" s="10" t="str">
        <f t="shared" si="19"/>
        <v/>
      </c>
      <c r="O201" s="6"/>
      <c r="P201" s="6"/>
    </row>
    <row r="202" spans="1:16" x14ac:dyDescent="0.3">
      <c r="A202" s="6"/>
      <c r="B202" s="7"/>
      <c r="C202" s="6"/>
      <c r="D202" s="6"/>
      <c r="E202" s="6"/>
      <c r="F202" s="25"/>
      <c r="G202" s="25" t="str">
        <f>IF(A202="","",SUMIFS(Paradas_Detalhadas!$I:$I,Paradas_Detalhadas!$A:$A,A202,Paradas_Detalhadas!$B:$B,B202,Paradas_Detalhadas!$C:$C,C202,Paradas_Detalhadas!$D:$D,E202))</f>
        <v/>
      </c>
      <c r="H202" s="26" t="str">
        <f t="shared" si="15"/>
        <v/>
      </c>
      <c r="I202" s="10"/>
      <c r="J202" s="10"/>
      <c r="K202" s="10" t="str">
        <f t="shared" si="16"/>
        <v/>
      </c>
      <c r="L202" s="10" t="str">
        <f t="shared" si="17"/>
        <v/>
      </c>
      <c r="M202" s="10" t="str">
        <f t="shared" si="18"/>
        <v/>
      </c>
      <c r="N202" s="10" t="str">
        <f t="shared" si="19"/>
        <v/>
      </c>
      <c r="O202" s="6"/>
      <c r="P202" s="6"/>
    </row>
    <row r="203" spans="1:16" x14ac:dyDescent="0.3">
      <c r="A203" s="6"/>
      <c r="B203" s="7"/>
      <c r="C203" s="6"/>
      <c r="D203" s="6"/>
      <c r="E203" s="6"/>
      <c r="F203" s="25"/>
      <c r="G203" s="25" t="str">
        <f>IF(A203="","",SUMIFS(Paradas_Detalhadas!$I:$I,Paradas_Detalhadas!$A:$A,A203,Paradas_Detalhadas!$B:$B,B203,Paradas_Detalhadas!$C:$C,C203,Paradas_Detalhadas!$D:$D,E203))</f>
        <v/>
      </c>
      <c r="H203" s="26" t="str">
        <f t="shared" si="15"/>
        <v/>
      </c>
      <c r="I203" s="10"/>
      <c r="J203" s="10"/>
      <c r="K203" s="10" t="str">
        <f t="shared" si="16"/>
        <v/>
      </c>
      <c r="L203" s="10" t="str">
        <f t="shared" si="17"/>
        <v/>
      </c>
      <c r="M203" s="10" t="str">
        <f t="shared" si="18"/>
        <v/>
      </c>
      <c r="N203" s="10" t="str">
        <f t="shared" si="19"/>
        <v/>
      </c>
      <c r="O203" s="6"/>
      <c r="P203" s="6"/>
    </row>
    <row r="204" spans="1:16" x14ac:dyDescent="0.3">
      <c r="A204" s="6"/>
      <c r="B204" s="7"/>
      <c r="C204" s="6"/>
      <c r="D204" s="6"/>
      <c r="E204" s="6"/>
      <c r="F204" s="25"/>
      <c r="G204" s="25" t="str">
        <f>IF(A204="","",SUMIFS(Paradas_Detalhadas!$I:$I,Paradas_Detalhadas!$A:$A,A204,Paradas_Detalhadas!$B:$B,B204,Paradas_Detalhadas!$C:$C,C204,Paradas_Detalhadas!$D:$D,E204))</f>
        <v/>
      </c>
      <c r="H204" s="26" t="str">
        <f t="shared" si="15"/>
        <v/>
      </c>
      <c r="I204" s="10"/>
      <c r="J204" s="10"/>
      <c r="K204" s="10" t="str">
        <f t="shared" si="16"/>
        <v/>
      </c>
      <c r="L204" s="10" t="str">
        <f t="shared" si="17"/>
        <v/>
      </c>
      <c r="M204" s="10" t="str">
        <f t="shared" si="18"/>
        <v/>
      </c>
      <c r="N204" s="10" t="str">
        <f t="shared" si="19"/>
        <v/>
      </c>
      <c r="O204" s="6"/>
      <c r="P204" s="6"/>
    </row>
    <row r="205" spans="1:16" x14ac:dyDescent="0.3">
      <c r="A205" s="6"/>
      <c r="B205" s="7"/>
      <c r="C205" s="6"/>
      <c r="D205" s="6"/>
      <c r="E205" s="6"/>
      <c r="F205" s="25"/>
      <c r="G205" s="25" t="str">
        <f>IF(A205="","",SUMIFS(Paradas_Detalhadas!$I:$I,Paradas_Detalhadas!$A:$A,A205,Paradas_Detalhadas!$B:$B,B205,Paradas_Detalhadas!$C:$C,C205,Paradas_Detalhadas!$D:$D,E205))</f>
        <v/>
      </c>
      <c r="H205" s="26" t="str">
        <f t="shared" si="15"/>
        <v/>
      </c>
      <c r="I205" s="10"/>
      <c r="J205" s="10"/>
      <c r="K205" s="10" t="str">
        <f t="shared" si="16"/>
        <v/>
      </c>
      <c r="L205" s="10" t="str">
        <f t="shared" si="17"/>
        <v/>
      </c>
      <c r="M205" s="10" t="str">
        <f t="shared" si="18"/>
        <v/>
      </c>
      <c r="N205" s="10" t="str">
        <f t="shared" si="19"/>
        <v/>
      </c>
      <c r="O205" s="6"/>
      <c r="P205" s="6"/>
    </row>
    <row r="206" spans="1:16" x14ac:dyDescent="0.3">
      <c r="A206" s="6"/>
      <c r="B206" s="7"/>
      <c r="C206" s="6"/>
      <c r="D206" s="6"/>
      <c r="E206" s="6"/>
      <c r="F206" s="25"/>
      <c r="G206" s="25" t="str">
        <f>IF(A206="","",SUMIFS(Paradas_Detalhadas!$I:$I,Paradas_Detalhadas!$A:$A,A206,Paradas_Detalhadas!$B:$B,B206,Paradas_Detalhadas!$C:$C,C206,Paradas_Detalhadas!$D:$D,E206))</f>
        <v/>
      </c>
      <c r="H206" s="26" t="str">
        <f t="shared" si="15"/>
        <v/>
      </c>
      <c r="I206" s="10"/>
      <c r="J206" s="10"/>
      <c r="K206" s="10" t="str">
        <f t="shared" si="16"/>
        <v/>
      </c>
      <c r="L206" s="10" t="str">
        <f t="shared" si="17"/>
        <v/>
      </c>
      <c r="M206" s="10" t="str">
        <f t="shared" si="18"/>
        <v/>
      </c>
      <c r="N206" s="10" t="str">
        <f t="shared" si="19"/>
        <v/>
      </c>
      <c r="O206" s="6"/>
      <c r="P206" s="6"/>
    </row>
    <row r="207" spans="1:16" x14ac:dyDescent="0.3">
      <c r="A207" s="6"/>
      <c r="B207" s="7"/>
      <c r="C207" s="6"/>
      <c r="D207" s="6"/>
      <c r="E207" s="6"/>
      <c r="F207" s="25"/>
      <c r="G207" s="25" t="str">
        <f>IF(A207="","",SUMIFS(Paradas_Detalhadas!$I:$I,Paradas_Detalhadas!$A:$A,A207,Paradas_Detalhadas!$B:$B,B207,Paradas_Detalhadas!$C:$C,C207,Paradas_Detalhadas!$D:$D,E207))</f>
        <v/>
      </c>
      <c r="H207" s="26" t="str">
        <f t="shared" si="15"/>
        <v/>
      </c>
      <c r="I207" s="10"/>
      <c r="J207" s="10"/>
      <c r="K207" s="10" t="str">
        <f t="shared" si="16"/>
        <v/>
      </c>
      <c r="L207" s="10" t="str">
        <f t="shared" si="17"/>
        <v/>
      </c>
      <c r="M207" s="10" t="str">
        <f t="shared" si="18"/>
        <v/>
      </c>
      <c r="N207" s="10" t="str">
        <f t="shared" si="19"/>
        <v/>
      </c>
      <c r="O207" s="6"/>
      <c r="P207" s="6"/>
    </row>
    <row r="208" spans="1:16" x14ac:dyDescent="0.3">
      <c r="A208" s="6"/>
      <c r="B208" s="7"/>
      <c r="C208" s="6"/>
      <c r="D208" s="6"/>
      <c r="E208" s="6"/>
      <c r="F208" s="25"/>
      <c r="G208" s="25" t="str">
        <f>IF(A208="","",SUMIFS(Paradas_Detalhadas!$I:$I,Paradas_Detalhadas!$A:$A,A208,Paradas_Detalhadas!$B:$B,B208,Paradas_Detalhadas!$C:$C,C208,Paradas_Detalhadas!$D:$D,E208))</f>
        <v/>
      </c>
      <c r="H208" s="26" t="str">
        <f t="shared" si="15"/>
        <v/>
      </c>
      <c r="I208" s="10"/>
      <c r="J208" s="10"/>
      <c r="K208" s="10" t="str">
        <f t="shared" si="16"/>
        <v/>
      </c>
      <c r="L208" s="10" t="str">
        <f t="shared" si="17"/>
        <v/>
      </c>
      <c r="M208" s="10" t="str">
        <f t="shared" si="18"/>
        <v/>
      </c>
      <c r="N208" s="10" t="str">
        <f t="shared" si="19"/>
        <v/>
      </c>
      <c r="O208" s="6"/>
      <c r="P208" s="6"/>
    </row>
    <row r="209" spans="1:16" x14ac:dyDescent="0.3">
      <c r="A209" s="6"/>
      <c r="B209" s="7"/>
      <c r="C209" s="6"/>
      <c r="D209" s="6"/>
      <c r="E209" s="6"/>
      <c r="F209" s="25"/>
      <c r="G209" s="25" t="str">
        <f>IF(A209="","",SUMIFS(Paradas_Detalhadas!$I:$I,Paradas_Detalhadas!$A:$A,A209,Paradas_Detalhadas!$B:$B,B209,Paradas_Detalhadas!$C:$C,C209,Paradas_Detalhadas!$D:$D,E209))</f>
        <v/>
      </c>
      <c r="H209" s="26" t="str">
        <f t="shared" si="15"/>
        <v/>
      </c>
      <c r="I209" s="10"/>
      <c r="J209" s="10"/>
      <c r="K209" s="10" t="str">
        <f t="shared" si="16"/>
        <v/>
      </c>
      <c r="L209" s="10" t="str">
        <f t="shared" si="17"/>
        <v/>
      </c>
      <c r="M209" s="10" t="str">
        <f t="shared" si="18"/>
        <v/>
      </c>
      <c r="N209" s="10" t="str">
        <f t="shared" si="19"/>
        <v/>
      </c>
      <c r="O209" s="6"/>
      <c r="P209" s="6"/>
    </row>
    <row r="210" spans="1:16" x14ac:dyDescent="0.3">
      <c r="A210" s="6"/>
      <c r="B210" s="7"/>
      <c r="C210" s="6"/>
      <c r="D210" s="6"/>
      <c r="E210" s="6"/>
      <c r="F210" s="25"/>
      <c r="G210" s="25" t="str">
        <f>IF(A210="","",SUMIFS(Paradas_Detalhadas!$I:$I,Paradas_Detalhadas!$A:$A,A210,Paradas_Detalhadas!$B:$B,B210,Paradas_Detalhadas!$C:$C,C210,Paradas_Detalhadas!$D:$D,E210))</f>
        <v/>
      </c>
      <c r="H210" s="26" t="str">
        <f t="shared" si="15"/>
        <v/>
      </c>
      <c r="I210" s="10"/>
      <c r="J210" s="10"/>
      <c r="K210" s="10" t="str">
        <f t="shared" si="16"/>
        <v/>
      </c>
      <c r="L210" s="10" t="str">
        <f t="shared" si="17"/>
        <v/>
      </c>
      <c r="M210" s="10" t="str">
        <f t="shared" si="18"/>
        <v/>
      </c>
      <c r="N210" s="10" t="str">
        <f t="shared" si="19"/>
        <v/>
      </c>
      <c r="O210" s="6"/>
      <c r="P210" s="6"/>
    </row>
    <row r="211" spans="1:16" x14ac:dyDescent="0.3">
      <c r="A211" s="6"/>
      <c r="B211" s="7"/>
      <c r="C211" s="6"/>
      <c r="D211" s="6"/>
      <c r="E211" s="6"/>
      <c r="F211" s="25"/>
      <c r="G211" s="25" t="str">
        <f>IF(A211="","",SUMIFS(Paradas_Detalhadas!$I:$I,Paradas_Detalhadas!$A:$A,A211,Paradas_Detalhadas!$B:$B,B211,Paradas_Detalhadas!$C:$C,C211,Paradas_Detalhadas!$D:$D,E211))</f>
        <v/>
      </c>
      <c r="H211" s="26" t="str">
        <f t="shared" si="15"/>
        <v/>
      </c>
      <c r="I211" s="10"/>
      <c r="J211" s="10"/>
      <c r="K211" s="10" t="str">
        <f t="shared" si="16"/>
        <v/>
      </c>
      <c r="L211" s="10" t="str">
        <f t="shared" si="17"/>
        <v/>
      </c>
      <c r="M211" s="10" t="str">
        <f t="shared" si="18"/>
        <v/>
      </c>
      <c r="N211" s="10" t="str">
        <f t="shared" si="19"/>
        <v/>
      </c>
      <c r="O211" s="6"/>
      <c r="P211" s="6"/>
    </row>
    <row r="212" spans="1:16" x14ac:dyDescent="0.3">
      <c r="A212" s="6"/>
      <c r="B212" s="7"/>
      <c r="C212" s="6"/>
      <c r="D212" s="6"/>
      <c r="E212" s="6"/>
      <c r="F212" s="25"/>
      <c r="G212" s="25" t="str">
        <f>IF(A212="","",SUMIFS(Paradas_Detalhadas!$I:$I,Paradas_Detalhadas!$A:$A,A212,Paradas_Detalhadas!$B:$B,B212,Paradas_Detalhadas!$C:$C,C212,Paradas_Detalhadas!$D:$D,E212))</f>
        <v/>
      </c>
      <c r="H212" s="26" t="str">
        <f t="shared" si="15"/>
        <v/>
      </c>
      <c r="I212" s="10"/>
      <c r="J212" s="10"/>
      <c r="K212" s="10" t="str">
        <f t="shared" si="16"/>
        <v/>
      </c>
      <c r="L212" s="10" t="str">
        <f t="shared" si="17"/>
        <v/>
      </c>
      <c r="M212" s="10" t="str">
        <f t="shared" si="18"/>
        <v/>
      </c>
      <c r="N212" s="10" t="str">
        <f t="shared" si="19"/>
        <v/>
      </c>
      <c r="O212" s="6"/>
      <c r="P212" s="6"/>
    </row>
    <row r="213" spans="1:16" x14ac:dyDescent="0.3">
      <c r="A213" s="6"/>
      <c r="B213" s="7"/>
      <c r="C213" s="6"/>
      <c r="D213" s="6"/>
      <c r="E213" s="6"/>
      <c r="F213" s="25"/>
      <c r="G213" s="25" t="str">
        <f>IF(A213="","",SUMIFS(Paradas_Detalhadas!$I:$I,Paradas_Detalhadas!$A:$A,A213,Paradas_Detalhadas!$B:$B,B213,Paradas_Detalhadas!$C:$C,C213,Paradas_Detalhadas!$D:$D,E213))</f>
        <v/>
      </c>
      <c r="H213" s="26" t="str">
        <f t="shared" si="15"/>
        <v/>
      </c>
      <c r="I213" s="10"/>
      <c r="J213" s="10"/>
      <c r="K213" s="10" t="str">
        <f t="shared" si="16"/>
        <v/>
      </c>
      <c r="L213" s="10" t="str">
        <f t="shared" si="17"/>
        <v/>
      </c>
      <c r="M213" s="10" t="str">
        <f t="shared" si="18"/>
        <v/>
      </c>
      <c r="N213" s="10" t="str">
        <f t="shared" si="19"/>
        <v/>
      </c>
      <c r="O213" s="6"/>
      <c r="P213" s="6"/>
    </row>
    <row r="214" spans="1:16" x14ac:dyDescent="0.3">
      <c r="A214" s="6"/>
      <c r="B214" s="7"/>
      <c r="C214" s="6"/>
      <c r="D214" s="6"/>
      <c r="E214" s="6"/>
      <c r="F214" s="25"/>
      <c r="G214" s="25" t="str">
        <f>IF(A214="","",SUMIFS(Paradas_Detalhadas!$I:$I,Paradas_Detalhadas!$A:$A,A214,Paradas_Detalhadas!$B:$B,B214,Paradas_Detalhadas!$C:$C,C214,Paradas_Detalhadas!$D:$D,E214))</f>
        <v/>
      </c>
      <c r="H214" s="26" t="str">
        <f t="shared" si="15"/>
        <v/>
      </c>
      <c r="I214" s="10"/>
      <c r="J214" s="10"/>
      <c r="K214" s="10" t="str">
        <f t="shared" si="16"/>
        <v/>
      </c>
      <c r="L214" s="10" t="str">
        <f t="shared" si="17"/>
        <v/>
      </c>
      <c r="M214" s="10" t="str">
        <f t="shared" si="18"/>
        <v/>
      </c>
      <c r="N214" s="10" t="str">
        <f t="shared" si="19"/>
        <v/>
      </c>
      <c r="O214" s="6"/>
      <c r="P214" s="6"/>
    </row>
    <row r="215" spans="1:16" x14ac:dyDescent="0.3">
      <c r="A215" s="6"/>
      <c r="B215" s="7"/>
      <c r="C215" s="6"/>
      <c r="D215" s="6"/>
      <c r="E215" s="6"/>
      <c r="F215" s="25"/>
      <c r="G215" s="25" t="str">
        <f>IF(A215="","",SUMIFS(Paradas_Detalhadas!$I:$I,Paradas_Detalhadas!$A:$A,A215,Paradas_Detalhadas!$B:$B,B215,Paradas_Detalhadas!$C:$C,C215,Paradas_Detalhadas!$D:$D,E215))</f>
        <v/>
      </c>
      <c r="H215" s="26" t="str">
        <f t="shared" si="15"/>
        <v/>
      </c>
      <c r="I215" s="10"/>
      <c r="J215" s="10"/>
      <c r="K215" s="10" t="str">
        <f t="shared" si="16"/>
        <v/>
      </c>
      <c r="L215" s="10" t="str">
        <f t="shared" si="17"/>
        <v/>
      </c>
      <c r="M215" s="10" t="str">
        <f t="shared" si="18"/>
        <v/>
      </c>
      <c r="N215" s="10" t="str">
        <f t="shared" si="19"/>
        <v/>
      </c>
      <c r="O215" s="6"/>
      <c r="P215" s="6"/>
    </row>
    <row r="216" spans="1:16" x14ac:dyDescent="0.3">
      <c r="A216" s="6"/>
      <c r="B216" s="7"/>
      <c r="C216" s="6"/>
      <c r="D216" s="6"/>
      <c r="E216" s="6"/>
      <c r="F216" s="25"/>
      <c r="G216" s="25" t="str">
        <f>IF(A216="","",SUMIFS(Paradas_Detalhadas!$I:$I,Paradas_Detalhadas!$A:$A,A216,Paradas_Detalhadas!$B:$B,B216,Paradas_Detalhadas!$C:$C,C216,Paradas_Detalhadas!$D:$D,E216))</f>
        <v/>
      </c>
      <c r="H216" s="26" t="str">
        <f t="shared" si="15"/>
        <v/>
      </c>
      <c r="I216" s="10"/>
      <c r="J216" s="10"/>
      <c r="K216" s="10" t="str">
        <f t="shared" si="16"/>
        <v/>
      </c>
      <c r="L216" s="10" t="str">
        <f t="shared" si="17"/>
        <v/>
      </c>
      <c r="M216" s="10" t="str">
        <f t="shared" si="18"/>
        <v/>
      </c>
      <c r="N216" s="10" t="str">
        <f t="shared" si="19"/>
        <v/>
      </c>
      <c r="O216" s="6"/>
      <c r="P216" s="6"/>
    </row>
    <row r="217" spans="1:16" x14ac:dyDescent="0.3">
      <c r="A217" s="6"/>
      <c r="B217" s="7"/>
      <c r="C217" s="6"/>
      <c r="D217" s="6"/>
      <c r="E217" s="6"/>
      <c r="F217" s="25"/>
      <c r="G217" s="25" t="str">
        <f>IF(A217="","",SUMIFS(Paradas_Detalhadas!$I:$I,Paradas_Detalhadas!$A:$A,A217,Paradas_Detalhadas!$B:$B,B217,Paradas_Detalhadas!$C:$C,C217,Paradas_Detalhadas!$D:$D,E217))</f>
        <v/>
      </c>
      <c r="H217" s="26" t="str">
        <f t="shared" si="15"/>
        <v/>
      </c>
      <c r="I217" s="10"/>
      <c r="J217" s="10"/>
      <c r="K217" s="10" t="str">
        <f t="shared" si="16"/>
        <v/>
      </c>
      <c r="L217" s="10" t="str">
        <f t="shared" si="17"/>
        <v/>
      </c>
      <c r="M217" s="10" t="str">
        <f t="shared" si="18"/>
        <v/>
      </c>
      <c r="N217" s="10" t="str">
        <f t="shared" si="19"/>
        <v/>
      </c>
      <c r="O217" s="6"/>
      <c r="P217" s="6"/>
    </row>
    <row r="218" spans="1:16" x14ac:dyDescent="0.3">
      <c r="A218" s="6"/>
      <c r="B218" s="7"/>
      <c r="C218" s="6"/>
      <c r="D218" s="6"/>
      <c r="E218" s="6"/>
      <c r="F218" s="25"/>
      <c r="G218" s="25" t="str">
        <f>IF(A218="","",SUMIFS(Paradas_Detalhadas!$I:$I,Paradas_Detalhadas!$A:$A,A218,Paradas_Detalhadas!$B:$B,B218,Paradas_Detalhadas!$C:$C,C218,Paradas_Detalhadas!$D:$D,E218))</f>
        <v/>
      </c>
      <c r="H218" s="26" t="str">
        <f t="shared" si="15"/>
        <v/>
      </c>
      <c r="I218" s="10"/>
      <c r="J218" s="10"/>
      <c r="K218" s="10" t="str">
        <f t="shared" si="16"/>
        <v/>
      </c>
      <c r="L218" s="10" t="str">
        <f t="shared" si="17"/>
        <v/>
      </c>
      <c r="M218" s="10" t="str">
        <f t="shared" si="18"/>
        <v/>
      </c>
      <c r="N218" s="10" t="str">
        <f t="shared" si="19"/>
        <v/>
      </c>
      <c r="O218" s="6"/>
      <c r="P218" s="6"/>
    </row>
    <row r="219" spans="1:16" x14ac:dyDescent="0.3">
      <c r="A219" s="6"/>
      <c r="B219" s="7"/>
      <c r="C219" s="6"/>
      <c r="D219" s="6"/>
      <c r="E219" s="6"/>
      <c r="F219" s="25"/>
      <c r="G219" s="25" t="str">
        <f>IF(A219="","",SUMIFS(Paradas_Detalhadas!$I:$I,Paradas_Detalhadas!$A:$A,A219,Paradas_Detalhadas!$B:$B,B219,Paradas_Detalhadas!$C:$C,C219,Paradas_Detalhadas!$D:$D,E219))</f>
        <v/>
      </c>
      <c r="H219" s="26" t="str">
        <f t="shared" si="15"/>
        <v/>
      </c>
      <c r="I219" s="10"/>
      <c r="J219" s="10"/>
      <c r="K219" s="10" t="str">
        <f t="shared" si="16"/>
        <v/>
      </c>
      <c r="L219" s="10" t="str">
        <f t="shared" si="17"/>
        <v/>
      </c>
      <c r="M219" s="10" t="str">
        <f t="shared" si="18"/>
        <v/>
      </c>
      <c r="N219" s="10" t="str">
        <f t="shared" si="19"/>
        <v/>
      </c>
      <c r="O219" s="6"/>
      <c r="P219" s="6"/>
    </row>
    <row r="220" spans="1:16" x14ac:dyDescent="0.3">
      <c r="A220" s="6"/>
      <c r="B220" s="7"/>
      <c r="C220" s="6"/>
      <c r="D220" s="6"/>
      <c r="E220" s="6"/>
      <c r="F220" s="25"/>
      <c r="G220" s="25" t="str">
        <f>IF(A220="","",SUMIFS(Paradas_Detalhadas!$I:$I,Paradas_Detalhadas!$A:$A,A220,Paradas_Detalhadas!$B:$B,B220,Paradas_Detalhadas!$C:$C,C220,Paradas_Detalhadas!$D:$D,E220))</f>
        <v/>
      </c>
      <c r="H220" s="26" t="str">
        <f t="shared" si="15"/>
        <v/>
      </c>
      <c r="I220" s="10"/>
      <c r="J220" s="10"/>
      <c r="K220" s="10" t="str">
        <f t="shared" si="16"/>
        <v/>
      </c>
      <c r="L220" s="10" t="str">
        <f t="shared" si="17"/>
        <v/>
      </c>
      <c r="M220" s="10" t="str">
        <f t="shared" si="18"/>
        <v/>
      </c>
      <c r="N220" s="10" t="str">
        <f t="shared" si="19"/>
        <v/>
      </c>
      <c r="O220" s="6"/>
      <c r="P220" s="6"/>
    </row>
    <row r="221" spans="1:16" x14ac:dyDescent="0.3">
      <c r="A221" s="6"/>
      <c r="B221" s="7"/>
      <c r="C221" s="6"/>
      <c r="D221" s="6"/>
      <c r="E221" s="6"/>
      <c r="F221" s="25"/>
      <c r="G221" s="25" t="str">
        <f>IF(A221="","",SUMIFS(Paradas_Detalhadas!$I:$I,Paradas_Detalhadas!$A:$A,A221,Paradas_Detalhadas!$B:$B,B221,Paradas_Detalhadas!$C:$C,C221,Paradas_Detalhadas!$D:$D,E221))</f>
        <v/>
      </c>
      <c r="H221" s="26" t="str">
        <f t="shared" si="15"/>
        <v/>
      </c>
      <c r="I221" s="10"/>
      <c r="J221" s="10"/>
      <c r="K221" s="10" t="str">
        <f t="shared" si="16"/>
        <v/>
      </c>
      <c r="L221" s="10" t="str">
        <f t="shared" si="17"/>
        <v/>
      </c>
      <c r="M221" s="10" t="str">
        <f t="shared" si="18"/>
        <v/>
      </c>
      <c r="N221" s="10" t="str">
        <f t="shared" si="19"/>
        <v/>
      </c>
      <c r="O221" s="6"/>
      <c r="P221" s="6"/>
    </row>
    <row r="222" spans="1:16" x14ac:dyDescent="0.3">
      <c r="A222" s="6"/>
      <c r="B222" s="7"/>
      <c r="C222" s="6"/>
      <c r="D222" s="6"/>
      <c r="E222" s="6"/>
      <c r="F222" s="25"/>
      <c r="G222" s="25" t="str">
        <f>IF(A222="","",SUMIFS(Paradas_Detalhadas!$I:$I,Paradas_Detalhadas!$A:$A,A222,Paradas_Detalhadas!$B:$B,B222,Paradas_Detalhadas!$C:$C,C222,Paradas_Detalhadas!$D:$D,E222))</f>
        <v/>
      </c>
      <c r="H222" s="26" t="str">
        <f t="shared" si="15"/>
        <v/>
      </c>
      <c r="I222" s="10"/>
      <c r="J222" s="10"/>
      <c r="K222" s="10" t="str">
        <f t="shared" si="16"/>
        <v/>
      </c>
      <c r="L222" s="10" t="str">
        <f t="shared" si="17"/>
        <v/>
      </c>
      <c r="M222" s="10" t="str">
        <f t="shared" si="18"/>
        <v/>
      </c>
      <c r="N222" s="10" t="str">
        <f t="shared" si="19"/>
        <v/>
      </c>
      <c r="O222" s="6"/>
      <c r="P222" s="6"/>
    </row>
    <row r="223" spans="1:16" x14ac:dyDescent="0.3">
      <c r="A223" s="6"/>
      <c r="B223" s="7"/>
      <c r="C223" s="6"/>
      <c r="D223" s="6"/>
      <c r="E223" s="6"/>
      <c r="F223" s="25"/>
      <c r="G223" s="25" t="str">
        <f>IF(A223="","",SUMIFS(Paradas_Detalhadas!$I:$I,Paradas_Detalhadas!$A:$A,A223,Paradas_Detalhadas!$B:$B,B223,Paradas_Detalhadas!$C:$C,C223,Paradas_Detalhadas!$D:$D,E223))</f>
        <v/>
      </c>
      <c r="H223" s="26" t="str">
        <f t="shared" si="15"/>
        <v/>
      </c>
      <c r="I223" s="10"/>
      <c r="J223" s="10"/>
      <c r="K223" s="10" t="str">
        <f t="shared" si="16"/>
        <v/>
      </c>
      <c r="L223" s="10" t="str">
        <f t="shared" si="17"/>
        <v/>
      </c>
      <c r="M223" s="10" t="str">
        <f t="shared" si="18"/>
        <v/>
      </c>
      <c r="N223" s="10" t="str">
        <f t="shared" si="19"/>
        <v/>
      </c>
      <c r="O223" s="6"/>
      <c r="P223" s="6"/>
    </row>
    <row r="224" spans="1:16" x14ac:dyDescent="0.3">
      <c r="A224" s="6"/>
      <c r="B224" s="7"/>
      <c r="C224" s="6"/>
      <c r="D224" s="6"/>
      <c r="E224" s="6"/>
      <c r="F224" s="25"/>
      <c r="G224" s="25" t="str">
        <f>IF(A224="","",SUMIFS(Paradas_Detalhadas!$I:$I,Paradas_Detalhadas!$A:$A,A224,Paradas_Detalhadas!$B:$B,B224,Paradas_Detalhadas!$C:$C,C224,Paradas_Detalhadas!$D:$D,E224))</f>
        <v/>
      </c>
      <c r="H224" s="26" t="str">
        <f t="shared" si="15"/>
        <v/>
      </c>
      <c r="I224" s="10"/>
      <c r="J224" s="10"/>
      <c r="K224" s="10" t="str">
        <f t="shared" si="16"/>
        <v/>
      </c>
      <c r="L224" s="10" t="str">
        <f t="shared" si="17"/>
        <v/>
      </c>
      <c r="M224" s="10" t="str">
        <f t="shared" si="18"/>
        <v/>
      </c>
      <c r="N224" s="10" t="str">
        <f t="shared" si="19"/>
        <v/>
      </c>
      <c r="O224" s="6"/>
      <c r="P224" s="6"/>
    </row>
    <row r="225" spans="1:16" x14ac:dyDescent="0.3">
      <c r="A225" s="6"/>
      <c r="B225" s="7"/>
      <c r="C225" s="6"/>
      <c r="D225" s="6"/>
      <c r="E225" s="6"/>
      <c r="F225" s="25"/>
      <c r="G225" s="25" t="str">
        <f>IF(A225="","",SUMIFS(Paradas_Detalhadas!$I:$I,Paradas_Detalhadas!$A:$A,A225,Paradas_Detalhadas!$B:$B,B225,Paradas_Detalhadas!$C:$C,C225,Paradas_Detalhadas!$D:$D,E225))</f>
        <v/>
      </c>
      <c r="H225" s="26" t="str">
        <f t="shared" si="15"/>
        <v/>
      </c>
      <c r="I225" s="10"/>
      <c r="J225" s="10"/>
      <c r="K225" s="10" t="str">
        <f t="shared" si="16"/>
        <v/>
      </c>
      <c r="L225" s="10" t="str">
        <f t="shared" si="17"/>
        <v/>
      </c>
      <c r="M225" s="10" t="str">
        <f t="shared" si="18"/>
        <v/>
      </c>
      <c r="N225" s="10" t="str">
        <f t="shared" si="19"/>
        <v/>
      </c>
      <c r="O225" s="6"/>
      <c r="P225" s="6"/>
    </row>
    <row r="226" spans="1:16" x14ac:dyDescent="0.3">
      <c r="A226" s="6"/>
      <c r="B226" s="7"/>
      <c r="C226" s="6"/>
      <c r="D226" s="6"/>
      <c r="E226" s="6"/>
      <c r="F226" s="25"/>
      <c r="G226" s="25" t="str">
        <f>IF(A226="","",SUMIFS(Paradas_Detalhadas!$I:$I,Paradas_Detalhadas!$A:$A,A226,Paradas_Detalhadas!$B:$B,B226,Paradas_Detalhadas!$C:$C,C226,Paradas_Detalhadas!$D:$D,E226))</f>
        <v/>
      </c>
      <c r="H226" s="26" t="str">
        <f t="shared" si="15"/>
        <v/>
      </c>
      <c r="I226" s="10"/>
      <c r="J226" s="10"/>
      <c r="K226" s="10" t="str">
        <f t="shared" si="16"/>
        <v/>
      </c>
      <c r="L226" s="10" t="str">
        <f t="shared" si="17"/>
        <v/>
      </c>
      <c r="M226" s="10" t="str">
        <f t="shared" si="18"/>
        <v/>
      </c>
      <c r="N226" s="10" t="str">
        <f t="shared" si="19"/>
        <v/>
      </c>
      <c r="O226" s="6"/>
      <c r="P226" s="6"/>
    </row>
    <row r="227" spans="1:16" x14ac:dyDescent="0.3">
      <c r="A227" s="6"/>
      <c r="B227" s="7"/>
      <c r="C227" s="6"/>
      <c r="D227" s="6"/>
      <c r="E227" s="6"/>
      <c r="F227" s="25"/>
      <c r="G227" s="25" t="str">
        <f>IF(A227="","",SUMIFS(Paradas_Detalhadas!$I:$I,Paradas_Detalhadas!$A:$A,A227,Paradas_Detalhadas!$B:$B,B227,Paradas_Detalhadas!$C:$C,C227,Paradas_Detalhadas!$D:$D,E227))</f>
        <v/>
      </c>
      <c r="H227" s="26" t="str">
        <f t="shared" si="15"/>
        <v/>
      </c>
      <c r="I227" s="10"/>
      <c r="J227" s="10"/>
      <c r="K227" s="10" t="str">
        <f t="shared" si="16"/>
        <v/>
      </c>
      <c r="L227" s="10" t="str">
        <f t="shared" si="17"/>
        <v/>
      </c>
      <c r="M227" s="10" t="str">
        <f t="shared" si="18"/>
        <v/>
      </c>
      <c r="N227" s="10" t="str">
        <f t="shared" si="19"/>
        <v/>
      </c>
      <c r="O227" s="6"/>
      <c r="P227" s="6"/>
    </row>
    <row r="228" spans="1:16" x14ac:dyDescent="0.3">
      <c r="A228" s="6"/>
      <c r="B228" s="7"/>
      <c r="C228" s="6"/>
      <c r="D228" s="6"/>
      <c r="E228" s="6"/>
      <c r="F228" s="25"/>
      <c r="G228" s="25" t="str">
        <f>IF(A228="","",SUMIFS(Paradas_Detalhadas!$I:$I,Paradas_Detalhadas!$A:$A,A228,Paradas_Detalhadas!$B:$B,B228,Paradas_Detalhadas!$C:$C,C228,Paradas_Detalhadas!$D:$D,E228))</f>
        <v/>
      </c>
      <c r="H228" s="26" t="str">
        <f t="shared" si="15"/>
        <v/>
      </c>
      <c r="I228" s="10"/>
      <c r="J228" s="10"/>
      <c r="K228" s="10" t="str">
        <f t="shared" si="16"/>
        <v/>
      </c>
      <c r="L228" s="10" t="str">
        <f t="shared" si="17"/>
        <v/>
      </c>
      <c r="M228" s="10" t="str">
        <f t="shared" si="18"/>
        <v/>
      </c>
      <c r="N228" s="10" t="str">
        <f t="shared" si="19"/>
        <v/>
      </c>
      <c r="O228" s="6"/>
      <c r="P228" s="6"/>
    </row>
    <row r="229" spans="1:16" x14ac:dyDescent="0.3">
      <c r="A229" s="6"/>
      <c r="B229" s="7"/>
      <c r="C229" s="6"/>
      <c r="D229" s="6"/>
      <c r="E229" s="6"/>
      <c r="F229" s="25"/>
      <c r="G229" s="25" t="str">
        <f>IF(A229="","",SUMIFS(Paradas_Detalhadas!$I:$I,Paradas_Detalhadas!$A:$A,A229,Paradas_Detalhadas!$B:$B,B229,Paradas_Detalhadas!$C:$C,C229,Paradas_Detalhadas!$D:$D,E229))</f>
        <v/>
      </c>
      <c r="H229" s="26" t="str">
        <f t="shared" si="15"/>
        <v/>
      </c>
      <c r="I229" s="10"/>
      <c r="J229" s="10"/>
      <c r="K229" s="10" t="str">
        <f t="shared" si="16"/>
        <v/>
      </c>
      <c r="L229" s="10" t="str">
        <f t="shared" si="17"/>
        <v/>
      </c>
      <c r="M229" s="10" t="str">
        <f t="shared" si="18"/>
        <v/>
      </c>
      <c r="N229" s="10" t="str">
        <f t="shared" si="19"/>
        <v/>
      </c>
      <c r="O229" s="6"/>
      <c r="P229" s="6"/>
    </row>
    <row r="230" spans="1:16" x14ac:dyDescent="0.3">
      <c r="A230" s="6"/>
      <c r="B230" s="7"/>
      <c r="C230" s="6"/>
      <c r="D230" s="6"/>
      <c r="E230" s="6"/>
      <c r="F230" s="25"/>
      <c r="G230" s="25" t="str">
        <f>IF(A230="","",SUMIFS(Paradas_Detalhadas!$I:$I,Paradas_Detalhadas!$A:$A,A230,Paradas_Detalhadas!$B:$B,B230,Paradas_Detalhadas!$C:$C,C230,Paradas_Detalhadas!$D:$D,E230))</f>
        <v/>
      </c>
      <c r="H230" s="26" t="str">
        <f t="shared" si="15"/>
        <v/>
      </c>
      <c r="I230" s="10"/>
      <c r="J230" s="10"/>
      <c r="K230" s="10" t="str">
        <f t="shared" si="16"/>
        <v/>
      </c>
      <c r="L230" s="10" t="str">
        <f t="shared" si="17"/>
        <v/>
      </c>
      <c r="M230" s="10" t="str">
        <f t="shared" si="18"/>
        <v/>
      </c>
      <c r="N230" s="10" t="str">
        <f t="shared" si="19"/>
        <v/>
      </c>
      <c r="O230" s="6"/>
      <c r="P230" s="6"/>
    </row>
    <row r="231" spans="1:16" x14ac:dyDescent="0.3">
      <c r="A231" s="6"/>
      <c r="B231" s="7"/>
      <c r="C231" s="6"/>
      <c r="D231" s="6"/>
      <c r="E231" s="6"/>
      <c r="F231" s="25"/>
      <c r="G231" s="25" t="str">
        <f>IF(A231="","",SUMIFS(Paradas_Detalhadas!$I:$I,Paradas_Detalhadas!$A:$A,A231,Paradas_Detalhadas!$B:$B,B231,Paradas_Detalhadas!$C:$C,C231,Paradas_Detalhadas!$D:$D,E231))</f>
        <v/>
      </c>
      <c r="H231" s="26" t="str">
        <f t="shared" si="15"/>
        <v/>
      </c>
      <c r="I231" s="10"/>
      <c r="J231" s="10"/>
      <c r="K231" s="10" t="str">
        <f t="shared" si="16"/>
        <v/>
      </c>
      <c r="L231" s="10" t="str">
        <f t="shared" si="17"/>
        <v/>
      </c>
      <c r="M231" s="10" t="str">
        <f t="shared" si="18"/>
        <v/>
      </c>
      <c r="N231" s="10" t="str">
        <f t="shared" si="19"/>
        <v/>
      </c>
      <c r="O231" s="6"/>
      <c r="P231" s="6"/>
    </row>
    <row r="232" spans="1:16" x14ac:dyDescent="0.3">
      <c r="A232" s="6"/>
      <c r="B232" s="7"/>
      <c r="C232" s="6"/>
      <c r="D232" s="6"/>
      <c r="E232" s="6"/>
      <c r="F232" s="25"/>
      <c r="G232" s="25" t="str">
        <f>IF(A232="","",SUMIFS(Paradas_Detalhadas!$I:$I,Paradas_Detalhadas!$A:$A,A232,Paradas_Detalhadas!$B:$B,B232,Paradas_Detalhadas!$C:$C,C232,Paradas_Detalhadas!$D:$D,E232))</f>
        <v/>
      </c>
      <c r="H232" s="26" t="str">
        <f t="shared" si="15"/>
        <v/>
      </c>
      <c r="I232" s="10"/>
      <c r="J232" s="10"/>
      <c r="K232" s="10" t="str">
        <f t="shared" si="16"/>
        <v/>
      </c>
      <c r="L232" s="10" t="str">
        <f t="shared" si="17"/>
        <v/>
      </c>
      <c r="M232" s="10" t="str">
        <f t="shared" si="18"/>
        <v/>
      </c>
      <c r="N232" s="10" t="str">
        <f t="shared" si="19"/>
        <v/>
      </c>
      <c r="O232" s="6"/>
      <c r="P232" s="6"/>
    </row>
    <row r="233" spans="1:16" x14ac:dyDescent="0.3">
      <c r="A233" s="6"/>
      <c r="B233" s="7"/>
      <c r="C233" s="6"/>
      <c r="D233" s="6"/>
      <c r="E233" s="6"/>
      <c r="F233" s="25"/>
      <c r="G233" s="25" t="str">
        <f>IF(A233="","",SUMIFS(Paradas_Detalhadas!$I:$I,Paradas_Detalhadas!$A:$A,A233,Paradas_Detalhadas!$B:$B,B233,Paradas_Detalhadas!$C:$C,C233,Paradas_Detalhadas!$D:$D,E233))</f>
        <v/>
      </c>
      <c r="H233" s="26" t="str">
        <f t="shared" si="15"/>
        <v/>
      </c>
      <c r="I233" s="10"/>
      <c r="J233" s="10"/>
      <c r="K233" s="10" t="str">
        <f t="shared" si="16"/>
        <v/>
      </c>
      <c r="L233" s="10" t="str">
        <f t="shared" si="17"/>
        <v/>
      </c>
      <c r="M233" s="10" t="str">
        <f t="shared" si="18"/>
        <v/>
      </c>
      <c r="N233" s="10" t="str">
        <f t="shared" si="19"/>
        <v/>
      </c>
      <c r="O233" s="6"/>
      <c r="P233" s="6"/>
    </row>
    <row r="234" spans="1:16" x14ac:dyDescent="0.3">
      <c r="A234" s="6"/>
      <c r="B234" s="7"/>
      <c r="C234" s="6"/>
      <c r="D234" s="6"/>
      <c r="E234" s="6"/>
      <c r="F234" s="25"/>
      <c r="G234" s="25" t="str">
        <f>IF(A234="","",SUMIFS(Paradas_Detalhadas!$I:$I,Paradas_Detalhadas!$A:$A,A234,Paradas_Detalhadas!$B:$B,B234,Paradas_Detalhadas!$C:$C,C234,Paradas_Detalhadas!$D:$D,E234))</f>
        <v/>
      </c>
      <c r="H234" s="26" t="str">
        <f t="shared" si="15"/>
        <v/>
      </c>
      <c r="I234" s="10"/>
      <c r="J234" s="10"/>
      <c r="K234" s="10" t="str">
        <f t="shared" si="16"/>
        <v/>
      </c>
      <c r="L234" s="10" t="str">
        <f t="shared" si="17"/>
        <v/>
      </c>
      <c r="M234" s="10" t="str">
        <f t="shared" si="18"/>
        <v/>
      </c>
      <c r="N234" s="10" t="str">
        <f t="shared" si="19"/>
        <v/>
      </c>
      <c r="O234" s="6"/>
      <c r="P234" s="6"/>
    </row>
    <row r="235" spans="1:16" x14ac:dyDescent="0.3">
      <c r="A235" s="6"/>
      <c r="B235" s="7"/>
      <c r="C235" s="6"/>
      <c r="D235" s="6"/>
      <c r="E235" s="6"/>
      <c r="F235" s="25"/>
      <c r="G235" s="25" t="str">
        <f>IF(A235="","",SUMIFS(Paradas_Detalhadas!$I:$I,Paradas_Detalhadas!$A:$A,A235,Paradas_Detalhadas!$B:$B,B235,Paradas_Detalhadas!$C:$C,C235,Paradas_Detalhadas!$D:$D,E235))</f>
        <v/>
      </c>
      <c r="H235" s="26" t="str">
        <f t="shared" si="15"/>
        <v/>
      </c>
      <c r="I235" s="10"/>
      <c r="J235" s="10"/>
      <c r="K235" s="10" t="str">
        <f t="shared" si="16"/>
        <v/>
      </c>
      <c r="L235" s="10" t="str">
        <f t="shared" si="17"/>
        <v/>
      </c>
      <c r="M235" s="10" t="str">
        <f t="shared" si="18"/>
        <v/>
      </c>
      <c r="N235" s="10" t="str">
        <f t="shared" si="19"/>
        <v/>
      </c>
      <c r="O235" s="6"/>
      <c r="P235" s="6"/>
    </row>
    <row r="236" spans="1:16" x14ac:dyDescent="0.3">
      <c r="A236" s="6"/>
      <c r="B236" s="7"/>
      <c r="C236" s="6"/>
      <c r="D236" s="6"/>
      <c r="E236" s="6"/>
      <c r="F236" s="25"/>
      <c r="G236" s="25" t="str">
        <f>IF(A236="","",SUMIFS(Paradas_Detalhadas!$I:$I,Paradas_Detalhadas!$A:$A,A236,Paradas_Detalhadas!$B:$B,B236,Paradas_Detalhadas!$C:$C,C236,Paradas_Detalhadas!$D:$D,E236))</f>
        <v/>
      </c>
      <c r="H236" s="26" t="str">
        <f t="shared" si="15"/>
        <v/>
      </c>
      <c r="I236" s="10"/>
      <c r="J236" s="10"/>
      <c r="K236" s="10" t="str">
        <f t="shared" si="16"/>
        <v/>
      </c>
      <c r="L236" s="10" t="str">
        <f t="shared" si="17"/>
        <v/>
      </c>
      <c r="M236" s="10" t="str">
        <f t="shared" si="18"/>
        <v/>
      </c>
      <c r="N236" s="10" t="str">
        <f t="shared" si="19"/>
        <v/>
      </c>
      <c r="O236" s="6"/>
      <c r="P236" s="6"/>
    </row>
    <row r="237" spans="1:16" x14ac:dyDescent="0.3">
      <c r="A237" s="6"/>
      <c r="B237" s="7"/>
      <c r="C237" s="6"/>
      <c r="D237" s="6"/>
      <c r="E237" s="6"/>
      <c r="F237" s="25"/>
      <c r="G237" s="25" t="str">
        <f>IF(A237="","",SUMIFS(Paradas_Detalhadas!$I:$I,Paradas_Detalhadas!$A:$A,A237,Paradas_Detalhadas!$B:$B,B237,Paradas_Detalhadas!$C:$C,C237,Paradas_Detalhadas!$D:$D,E237))</f>
        <v/>
      </c>
      <c r="H237" s="26" t="str">
        <f t="shared" si="15"/>
        <v/>
      </c>
      <c r="I237" s="10"/>
      <c r="J237" s="10"/>
      <c r="K237" s="10" t="str">
        <f t="shared" si="16"/>
        <v/>
      </c>
      <c r="L237" s="10" t="str">
        <f t="shared" si="17"/>
        <v/>
      </c>
      <c r="M237" s="10" t="str">
        <f t="shared" si="18"/>
        <v/>
      </c>
      <c r="N237" s="10" t="str">
        <f t="shared" si="19"/>
        <v/>
      </c>
      <c r="O237" s="6"/>
      <c r="P237" s="6"/>
    </row>
    <row r="238" spans="1:16" x14ac:dyDescent="0.3">
      <c r="A238" s="6"/>
      <c r="B238" s="7"/>
      <c r="C238" s="6"/>
      <c r="D238" s="6"/>
      <c r="E238" s="6"/>
      <c r="F238" s="25"/>
      <c r="G238" s="25" t="str">
        <f>IF(A238="","",SUMIFS(Paradas_Detalhadas!$I:$I,Paradas_Detalhadas!$A:$A,A238,Paradas_Detalhadas!$B:$B,B238,Paradas_Detalhadas!$C:$C,C238,Paradas_Detalhadas!$D:$D,E238))</f>
        <v/>
      </c>
      <c r="H238" s="26" t="str">
        <f t="shared" ref="H238:H301" si="20">IF(OR(F238="",G238=""),"",MAX(F238-G238,0))</f>
        <v/>
      </c>
      <c r="I238" s="10"/>
      <c r="J238" s="10"/>
      <c r="K238" s="10" t="str">
        <f t="shared" ref="K238:K301" si="21">IF(AND(I238="",J238=""),"",SUM(I238:J238))</f>
        <v/>
      </c>
      <c r="L238" s="10" t="str">
        <f t="shared" ref="L238:L301" si="22">IFERROR(K238/H238,"")</f>
        <v/>
      </c>
      <c r="M238" s="10" t="str">
        <f t="shared" ref="M238:M301" si="23">IFERROR(I238/H238,"")</f>
        <v/>
      </c>
      <c r="N238" s="10" t="str">
        <f t="shared" ref="N238:N301" si="24">IFERROR(J238/H238,"")</f>
        <v/>
      </c>
      <c r="O238" s="6"/>
      <c r="P238" s="6"/>
    </row>
    <row r="239" spans="1:16" x14ac:dyDescent="0.3">
      <c r="A239" s="6"/>
      <c r="B239" s="7"/>
      <c r="C239" s="6"/>
      <c r="D239" s="6"/>
      <c r="E239" s="6"/>
      <c r="F239" s="25"/>
      <c r="G239" s="25" t="str">
        <f>IF(A239="","",SUMIFS(Paradas_Detalhadas!$I:$I,Paradas_Detalhadas!$A:$A,A239,Paradas_Detalhadas!$B:$B,B239,Paradas_Detalhadas!$C:$C,C239,Paradas_Detalhadas!$D:$D,E239))</f>
        <v/>
      </c>
      <c r="H239" s="26" t="str">
        <f t="shared" si="20"/>
        <v/>
      </c>
      <c r="I239" s="10"/>
      <c r="J239" s="10"/>
      <c r="K239" s="10" t="str">
        <f t="shared" si="21"/>
        <v/>
      </c>
      <c r="L239" s="10" t="str">
        <f t="shared" si="22"/>
        <v/>
      </c>
      <c r="M239" s="10" t="str">
        <f t="shared" si="23"/>
        <v/>
      </c>
      <c r="N239" s="10" t="str">
        <f t="shared" si="24"/>
        <v/>
      </c>
      <c r="O239" s="6"/>
      <c r="P239" s="6"/>
    </row>
    <row r="240" spans="1:16" x14ac:dyDescent="0.3">
      <c r="A240" s="6"/>
      <c r="B240" s="7"/>
      <c r="C240" s="6"/>
      <c r="D240" s="6"/>
      <c r="E240" s="6"/>
      <c r="F240" s="25"/>
      <c r="G240" s="25" t="str">
        <f>IF(A240="","",SUMIFS(Paradas_Detalhadas!$I:$I,Paradas_Detalhadas!$A:$A,A240,Paradas_Detalhadas!$B:$B,B240,Paradas_Detalhadas!$C:$C,C240,Paradas_Detalhadas!$D:$D,E240))</f>
        <v/>
      </c>
      <c r="H240" s="26" t="str">
        <f t="shared" si="20"/>
        <v/>
      </c>
      <c r="I240" s="10"/>
      <c r="J240" s="10"/>
      <c r="K240" s="10" t="str">
        <f t="shared" si="21"/>
        <v/>
      </c>
      <c r="L240" s="10" t="str">
        <f t="shared" si="22"/>
        <v/>
      </c>
      <c r="M240" s="10" t="str">
        <f t="shared" si="23"/>
        <v/>
      </c>
      <c r="N240" s="10" t="str">
        <f t="shared" si="24"/>
        <v/>
      </c>
      <c r="O240" s="6"/>
      <c r="P240" s="6"/>
    </row>
    <row r="241" spans="1:16" x14ac:dyDescent="0.3">
      <c r="A241" s="6"/>
      <c r="B241" s="7"/>
      <c r="C241" s="6"/>
      <c r="D241" s="6"/>
      <c r="E241" s="6"/>
      <c r="F241" s="25"/>
      <c r="G241" s="25" t="str">
        <f>IF(A241="","",SUMIFS(Paradas_Detalhadas!$I:$I,Paradas_Detalhadas!$A:$A,A241,Paradas_Detalhadas!$B:$B,B241,Paradas_Detalhadas!$C:$C,C241,Paradas_Detalhadas!$D:$D,E241))</f>
        <v/>
      </c>
      <c r="H241" s="26" t="str">
        <f t="shared" si="20"/>
        <v/>
      </c>
      <c r="I241" s="10"/>
      <c r="J241" s="10"/>
      <c r="K241" s="10" t="str">
        <f t="shared" si="21"/>
        <v/>
      </c>
      <c r="L241" s="10" t="str">
        <f t="shared" si="22"/>
        <v/>
      </c>
      <c r="M241" s="10" t="str">
        <f t="shared" si="23"/>
        <v/>
      </c>
      <c r="N241" s="10" t="str">
        <f t="shared" si="24"/>
        <v/>
      </c>
      <c r="O241" s="6"/>
      <c r="P241" s="6"/>
    </row>
    <row r="242" spans="1:16" x14ac:dyDescent="0.3">
      <c r="A242" s="6"/>
      <c r="B242" s="7"/>
      <c r="C242" s="6"/>
      <c r="D242" s="6"/>
      <c r="E242" s="6"/>
      <c r="F242" s="25"/>
      <c r="G242" s="25" t="str">
        <f>IF(A242="","",SUMIFS(Paradas_Detalhadas!$I:$I,Paradas_Detalhadas!$A:$A,A242,Paradas_Detalhadas!$B:$B,B242,Paradas_Detalhadas!$C:$C,C242,Paradas_Detalhadas!$D:$D,E242))</f>
        <v/>
      </c>
      <c r="H242" s="26" t="str">
        <f t="shared" si="20"/>
        <v/>
      </c>
      <c r="I242" s="10"/>
      <c r="J242" s="10"/>
      <c r="K242" s="10" t="str">
        <f t="shared" si="21"/>
        <v/>
      </c>
      <c r="L242" s="10" t="str">
        <f t="shared" si="22"/>
        <v/>
      </c>
      <c r="M242" s="10" t="str">
        <f t="shared" si="23"/>
        <v/>
      </c>
      <c r="N242" s="10" t="str">
        <f t="shared" si="24"/>
        <v/>
      </c>
      <c r="O242" s="6"/>
      <c r="P242" s="6"/>
    </row>
    <row r="243" spans="1:16" x14ac:dyDescent="0.3">
      <c r="A243" s="6"/>
      <c r="B243" s="7"/>
      <c r="C243" s="6"/>
      <c r="D243" s="6"/>
      <c r="E243" s="6"/>
      <c r="F243" s="25"/>
      <c r="G243" s="25" t="str">
        <f>IF(A243="","",SUMIFS(Paradas_Detalhadas!$I:$I,Paradas_Detalhadas!$A:$A,A243,Paradas_Detalhadas!$B:$B,B243,Paradas_Detalhadas!$C:$C,C243,Paradas_Detalhadas!$D:$D,E243))</f>
        <v/>
      </c>
      <c r="H243" s="26" t="str">
        <f t="shared" si="20"/>
        <v/>
      </c>
      <c r="I243" s="10"/>
      <c r="J243" s="10"/>
      <c r="K243" s="10" t="str">
        <f t="shared" si="21"/>
        <v/>
      </c>
      <c r="L243" s="10" t="str">
        <f t="shared" si="22"/>
        <v/>
      </c>
      <c r="M243" s="10" t="str">
        <f t="shared" si="23"/>
        <v/>
      </c>
      <c r="N243" s="10" t="str">
        <f t="shared" si="24"/>
        <v/>
      </c>
      <c r="O243" s="6"/>
      <c r="P243" s="6"/>
    </row>
    <row r="244" spans="1:16" x14ac:dyDescent="0.3">
      <c r="A244" s="6"/>
      <c r="B244" s="7"/>
      <c r="C244" s="6"/>
      <c r="D244" s="6"/>
      <c r="E244" s="6"/>
      <c r="F244" s="25"/>
      <c r="G244" s="25" t="str">
        <f>IF(A244="","",SUMIFS(Paradas_Detalhadas!$I:$I,Paradas_Detalhadas!$A:$A,A244,Paradas_Detalhadas!$B:$B,B244,Paradas_Detalhadas!$C:$C,C244,Paradas_Detalhadas!$D:$D,E244))</f>
        <v/>
      </c>
      <c r="H244" s="26" t="str">
        <f t="shared" si="20"/>
        <v/>
      </c>
      <c r="I244" s="10"/>
      <c r="J244" s="10"/>
      <c r="K244" s="10" t="str">
        <f t="shared" si="21"/>
        <v/>
      </c>
      <c r="L244" s="10" t="str">
        <f t="shared" si="22"/>
        <v/>
      </c>
      <c r="M244" s="10" t="str">
        <f t="shared" si="23"/>
        <v/>
      </c>
      <c r="N244" s="10" t="str">
        <f t="shared" si="24"/>
        <v/>
      </c>
      <c r="O244" s="6"/>
      <c r="P244" s="6"/>
    </row>
    <row r="245" spans="1:16" x14ac:dyDescent="0.3">
      <c r="A245" s="6"/>
      <c r="B245" s="7"/>
      <c r="C245" s="6"/>
      <c r="D245" s="6"/>
      <c r="E245" s="6"/>
      <c r="F245" s="25"/>
      <c r="G245" s="25" t="str">
        <f>IF(A245="","",SUMIFS(Paradas_Detalhadas!$I:$I,Paradas_Detalhadas!$A:$A,A245,Paradas_Detalhadas!$B:$B,B245,Paradas_Detalhadas!$C:$C,C245,Paradas_Detalhadas!$D:$D,E245))</f>
        <v/>
      </c>
      <c r="H245" s="26" t="str">
        <f t="shared" si="20"/>
        <v/>
      </c>
      <c r="I245" s="10"/>
      <c r="J245" s="10"/>
      <c r="K245" s="10" t="str">
        <f t="shared" si="21"/>
        <v/>
      </c>
      <c r="L245" s="10" t="str">
        <f t="shared" si="22"/>
        <v/>
      </c>
      <c r="M245" s="10" t="str">
        <f t="shared" si="23"/>
        <v/>
      </c>
      <c r="N245" s="10" t="str">
        <f t="shared" si="24"/>
        <v/>
      </c>
      <c r="O245" s="6"/>
      <c r="P245" s="6"/>
    </row>
    <row r="246" spans="1:16" x14ac:dyDescent="0.3">
      <c r="A246" s="6"/>
      <c r="B246" s="7"/>
      <c r="C246" s="6"/>
      <c r="D246" s="6"/>
      <c r="E246" s="6"/>
      <c r="F246" s="25"/>
      <c r="G246" s="25" t="str">
        <f>IF(A246="","",SUMIFS(Paradas_Detalhadas!$I:$I,Paradas_Detalhadas!$A:$A,A246,Paradas_Detalhadas!$B:$B,B246,Paradas_Detalhadas!$C:$C,C246,Paradas_Detalhadas!$D:$D,E246))</f>
        <v/>
      </c>
      <c r="H246" s="26" t="str">
        <f t="shared" si="20"/>
        <v/>
      </c>
      <c r="I246" s="10"/>
      <c r="J246" s="10"/>
      <c r="K246" s="10" t="str">
        <f t="shared" si="21"/>
        <v/>
      </c>
      <c r="L246" s="10" t="str">
        <f t="shared" si="22"/>
        <v/>
      </c>
      <c r="M246" s="10" t="str">
        <f t="shared" si="23"/>
        <v/>
      </c>
      <c r="N246" s="10" t="str">
        <f t="shared" si="24"/>
        <v/>
      </c>
      <c r="O246" s="6"/>
      <c r="P246" s="6"/>
    </row>
    <row r="247" spans="1:16" x14ac:dyDescent="0.3">
      <c r="A247" s="6"/>
      <c r="B247" s="7"/>
      <c r="C247" s="6"/>
      <c r="D247" s="6"/>
      <c r="E247" s="6"/>
      <c r="F247" s="25"/>
      <c r="G247" s="25" t="str">
        <f>IF(A247="","",SUMIFS(Paradas_Detalhadas!$I:$I,Paradas_Detalhadas!$A:$A,A247,Paradas_Detalhadas!$B:$B,B247,Paradas_Detalhadas!$C:$C,C247,Paradas_Detalhadas!$D:$D,E247))</f>
        <v/>
      </c>
      <c r="H247" s="26" t="str">
        <f t="shared" si="20"/>
        <v/>
      </c>
      <c r="I247" s="10"/>
      <c r="J247" s="10"/>
      <c r="K247" s="10" t="str">
        <f t="shared" si="21"/>
        <v/>
      </c>
      <c r="L247" s="10" t="str">
        <f t="shared" si="22"/>
        <v/>
      </c>
      <c r="M247" s="10" t="str">
        <f t="shared" si="23"/>
        <v/>
      </c>
      <c r="N247" s="10" t="str">
        <f t="shared" si="24"/>
        <v/>
      </c>
      <c r="O247" s="6"/>
      <c r="P247" s="6"/>
    </row>
    <row r="248" spans="1:16" x14ac:dyDescent="0.3">
      <c r="A248" s="6"/>
      <c r="B248" s="7"/>
      <c r="C248" s="6"/>
      <c r="D248" s="6"/>
      <c r="E248" s="6"/>
      <c r="F248" s="25"/>
      <c r="G248" s="25" t="str">
        <f>IF(A248="","",SUMIFS(Paradas_Detalhadas!$I:$I,Paradas_Detalhadas!$A:$A,A248,Paradas_Detalhadas!$B:$B,B248,Paradas_Detalhadas!$C:$C,C248,Paradas_Detalhadas!$D:$D,E248))</f>
        <v/>
      </c>
      <c r="H248" s="26" t="str">
        <f t="shared" si="20"/>
        <v/>
      </c>
      <c r="I248" s="10"/>
      <c r="J248" s="10"/>
      <c r="K248" s="10" t="str">
        <f t="shared" si="21"/>
        <v/>
      </c>
      <c r="L248" s="10" t="str">
        <f t="shared" si="22"/>
        <v/>
      </c>
      <c r="M248" s="10" t="str">
        <f t="shared" si="23"/>
        <v/>
      </c>
      <c r="N248" s="10" t="str">
        <f t="shared" si="24"/>
        <v/>
      </c>
      <c r="O248" s="6"/>
      <c r="P248" s="6"/>
    </row>
    <row r="249" spans="1:16" x14ac:dyDescent="0.3">
      <c r="A249" s="6"/>
      <c r="B249" s="7"/>
      <c r="C249" s="6"/>
      <c r="D249" s="6"/>
      <c r="E249" s="6"/>
      <c r="F249" s="25"/>
      <c r="G249" s="25" t="str">
        <f>IF(A249="","",SUMIFS(Paradas_Detalhadas!$I:$I,Paradas_Detalhadas!$A:$A,A249,Paradas_Detalhadas!$B:$B,B249,Paradas_Detalhadas!$C:$C,C249,Paradas_Detalhadas!$D:$D,E249))</f>
        <v/>
      </c>
      <c r="H249" s="26" t="str">
        <f t="shared" si="20"/>
        <v/>
      </c>
      <c r="I249" s="10"/>
      <c r="J249" s="10"/>
      <c r="K249" s="10" t="str">
        <f t="shared" si="21"/>
        <v/>
      </c>
      <c r="L249" s="10" t="str">
        <f t="shared" si="22"/>
        <v/>
      </c>
      <c r="M249" s="10" t="str">
        <f t="shared" si="23"/>
        <v/>
      </c>
      <c r="N249" s="10" t="str">
        <f t="shared" si="24"/>
        <v/>
      </c>
      <c r="O249" s="6"/>
      <c r="P249" s="6"/>
    </row>
    <row r="250" spans="1:16" x14ac:dyDescent="0.3">
      <c r="A250" s="6"/>
      <c r="B250" s="7"/>
      <c r="C250" s="6"/>
      <c r="D250" s="6"/>
      <c r="E250" s="6"/>
      <c r="F250" s="25"/>
      <c r="G250" s="25" t="str">
        <f>IF(A250="","",SUMIFS(Paradas_Detalhadas!$I:$I,Paradas_Detalhadas!$A:$A,A250,Paradas_Detalhadas!$B:$B,B250,Paradas_Detalhadas!$C:$C,C250,Paradas_Detalhadas!$D:$D,E250))</f>
        <v/>
      </c>
      <c r="H250" s="26" t="str">
        <f t="shared" si="20"/>
        <v/>
      </c>
      <c r="I250" s="10"/>
      <c r="J250" s="10"/>
      <c r="K250" s="10" t="str">
        <f t="shared" si="21"/>
        <v/>
      </c>
      <c r="L250" s="10" t="str">
        <f t="shared" si="22"/>
        <v/>
      </c>
      <c r="M250" s="10" t="str">
        <f t="shared" si="23"/>
        <v/>
      </c>
      <c r="N250" s="10" t="str">
        <f t="shared" si="24"/>
        <v/>
      </c>
      <c r="O250" s="6"/>
      <c r="P250" s="6"/>
    </row>
    <row r="251" spans="1:16" x14ac:dyDescent="0.3">
      <c r="A251" s="6"/>
      <c r="B251" s="7"/>
      <c r="C251" s="6"/>
      <c r="D251" s="6"/>
      <c r="E251" s="6"/>
      <c r="F251" s="25"/>
      <c r="G251" s="25" t="str">
        <f>IF(A251="","",SUMIFS(Paradas_Detalhadas!$I:$I,Paradas_Detalhadas!$A:$A,A251,Paradas_Detalhadas!$B:$B,B251,Paradas_Detalhadas!$C:$C,C251,Paradas_Detalhadas!$D:$D,E251))</f>
        <v/>
      </c>
      <c r="H251" s="26" t="str">
        <f t="shared" si="20"/>
        <v/>
      </c>
      <c r="I251" s="10"/>
      <c r="J251" s="10"/>
      <c r="K251" s="10" t="str">
        <f t="shared" si="21"/>
        <v/>
      </c>
      <c r="L251" s="10" t="str">
        <f t="shared" si="22"/>
        <v/>
      </c>
      <c r="M251" s="10" t="str">
        <f t="shared" si="23"/>
        <v/>
      </c>
      <c r="N251" s="10" t="str">
        <f t="shared" si="24"/>
        <v/>
      </c>
      <c r="O251" s="6"/>
      <c r="P251" s="6"/>
    </row>
    <row r="252" spans="1:16" x14ac:dyDescent="0.3">
      <c r="A252" s="6"/>
      <c r="B252" s="7"/>
      <c r="C252" s="6"/>
      <c r="D252" s="6"/>
      <c r="E252" s="6"/>
      <c r="F252" s="25"/>
      <c r="G252" s="25" t="str">
        <f>IF(A252="","",SUMIFS(Paradas_Detalhadas!$I:$I,Paradas_Detalhadas!$A:$A,A252,Paradas_Detalhadas!$B:$B,B252,Paradas_Detalhadas!$C:$C,C252,Paradas_Detalhadas!$D:$D,E252))</f>
        <v/>
      </c>
      <c r="H252" s="26" t="str">
        <f t="shared" si="20"/>
        <v/>
      </c>
      <c r="I252" s="10"/>
      <c r="J252" s="10"/>
      <c r="K252" s="10" t="str">
        <f t="shared" si="21"/>
        <v/>
      </c>
      <c r="L252" s="10" t="str">
        <f t="shared" si="22"/>
        <v/>
      </c>
      <c r="M252" s="10" t="str">
        <f t="shared" si="23"/>
        <v/>
      </c>
      <c r="N252" s="10" t="str">
        <f t="shared" si="24"/>
        <v/>
      </c>
      <c r="O252" s="6"/>
      <c r="P252" s="6"/>
    </row>
    <row r="253" spans="1:16" x14ac:dyDescent="0.3">
      <c r="A253" s="6"/>
      <c r="B253" s="7"/>
      <c r="C253" s="6"/>
      <c r="D253" s="6"/>
      <c r="E253" s="6"/>
      <c r="F253" s="25"/>
      <c r="G253" s="25" t="str">
        <f>IF(A253="","",SUMIFS(Paradas_Detalhadas!$I:$I,Paradas_Detalhadas!$A:$A,A253,Paradas_Detalhadas!$B:$B,B253,Paradas_Detalhadas!$C:$C,C253,Paradas_Detalhadas!$D:$D,E253))</f>
        <v/>
      </c>
      <c r="H253" s="26" t="str">
        <f t="shared" si="20"/>
        <v/>
      </c>
      <c r="I253" s="10"/>
      <c r="J253" s="10"/>
      <c r="K253" s="10" t="str">
        <f t="shared" si="21"/>
        <v/>
      </c>
      <c r="L253" s="10" t="str">
        <f t="shared" si="22"/>
        <v/>
      </c>
      <c r="M253" s="10" t="str">
        <f t="shared" si="23"/>
        <v/>
      </c>
      <c r="N253" s="10" t="str">
        <f t="shared" si="24"/>
        <v/>
      </c>
      <c r="O253" s="6"/>
      <c r="P253" s="6"/>
    </row>
    <row r="254" spans="1:16" x14ac:dyDescent="0.3">
      <c r="A254" s="6"/>
      <c r="B254" s="7"/>
      <c r="C254" s="6"/>
      <c r="D254" s="6"/>
      <c r="E254" s="6"/>
      <c r="F254" s="25"/>
      <c r="G254" s="25" t="str">
        <f>IF(A254="","",SUMIFS(Paradas_Detalhadas!$I:$I,Paradas_Detalhadas!$A:$A,A254,Paradas_Detalhadas!$B:$B,B254,Paradas_Detalhadas!$C:$C,C254,Paradas_Detalhadas!$D:$D,E254))</f>
        <v/>
      </c>
      <c r="H254" s="26" t="str">
        <f t="shared" si="20"/>
        <v/>
      </c>
      <c r="I254" s="10"/>
      <c r="J254" s="10"/>
      <c r="K254" s="10" t="str">
        <f t="shared" si="21"/>
        <v/>
      </c>
      <c r="L254" s="10" t="str">
        <f t="shared" si="22"/>
        <v/>
      </c>
      <c r="M254" s="10" t="str">
        <f t="shared" si="23"/>
        <v/>
      </c>
      <c r="N254" s="10" t="str">
        <f t="shared" si="24"/>
        <v/>
      </c>
      <c r="O254" s="6"/>
      <c r="P254" s="6"/>
    </row>
    <row r="255" spans="1:16" x14ac:dyDescent="0.3">
      <c r="A255" s="6"/>
      <c r="B255" s="7"/>
      <c r="C255" s="6"/>
      <c r="D255" s="6"/>
      <c r="E255" s="6"/>
      <c r="F255" s="25"/>
      <c r="G255" s="25" t="str">
        <f>IF(A255="","",SUMIFS(Paradas_Detalhadas!$I:$I,Paradas_Detalhadas!$A:$A,A255,Paradas_Detalhadas!$B:$B,B255,Paradas_Detalhadas!$C:$C,C255,Paradas_Detalhadas!$D:$D,E255))</f>
        <v/>
      </c>
      <c r="H255" s="26" t="str">
        <f t="shared" si="20"/>
        <v/>
      </c>
      <c r="I255" s="10"/>
      <c r="J255" s="10"/>
      <c r="K255" s="10" t="str">
        <f t="shared" si="21"/>
        <v/>
      </c>
      <c r="L255" s="10" t="str">
        <f t="shared" si="22"/>
        <v/>
      </c>
      <c r="M255" s="10" t="str">
        <f t="shared" si="23"/>
        <v/>
      </c>
      <c r="N255" s="10" t="str">
        <f t="shared" si="24"/>
        <v/>
      </c>
      <c r="O255" s="6"/>
      <c r="P255" s="6"/>
    </row>
    <row r="256" spans="1:16" x14ac:dyDescent="0.3">
      <c r="A256" s="6"/>
      <c r="B256" s="7"/>
      <c r="C256" s="6"/>
      <c r="D256" s="6"/>
      <c r="E256" s="6"/>
      <c r="F256" s="25"/>
      <c r="G256" s="25" t="str">
        <f>IF(A256="","",SUMIFS(Paradas_Detalhadas!$I:$I,Paradas_Detalhadas!$A:$A,A256,Paradas_Detalhadas!$B:$B,B256,Paradas_Detalhadas!$C:$C,C256,Paradas_Detalhadas!$D:$D,E256))</f>
        <v/>
      </c>
      <c r="H256" s="26" t="str">
        <f t="shared" si="20"/>
        <v/>
      </c>
      <c r="I256" s="10"/>
      <c r="J256" s="10"/>
      <c r="K256" s="10" t="str">
        <f t="shared" si="21"/>
        <v/>
      </c>
      <c r="L256" s="10" t="str">
        <f t="shared" si="22"/>
        <v/>
      </c>
      <c r="M256" s="10" t="str">
        <f t="shared" si="23"/>
        <v/>
      </c>
      <c r="N256" s="10" t="str">
        <f t="shared" si="24"/>
        <v/>
      </c>
      <c r="O256" s="6"/>
      <c r="P256" s="6"/>
    </row>
    <row r="257" spans="1:16" x14ac:dyDescent="0.3">
      <c r="A257" s="6"/>
      <c r="B257" s="7"/>
      <c r="C257" s="6"/>
      <c r="D257" s="6"/>
      <c r="E257" s="6"/>
      <c r="F257" s="25"/>
      <c r="G257" s="25" t="str">
        <f>IF(A257="","",SUMIFS(Paradas_Detalhadas!$I:$I,Paradas_Detalhadas!$A:$A,A257,Paradas_Detalhadas!$B:$B,B257,Paradas_Detalhadas!$C:$C,C257,Paradas_Detalhadas!$D:$D,E257))</f>
        <v/>
      </c>
      <c r="H257" s="26" t="str">
        <f t="shared" si="20"/>
        <v/>
      </c>
      <c r="I257" s="10"/>
      <c r="J257" s="10"/>
      <c r="K257" s="10" t="str">
        <f t="shared" si="21"/>
        <v/>
      </c>
      <c r="L257" s="10" t="str">
        <f t="shared" si="22"/>
        <v/>
      </c>
      <c r="M257" s="10" t="str">
        <f t="shared" si="23"/>
        <v/>
      </c>
      <c r="N257" s="10" t="str">
        <f t="shared" si="24"/>
        <v/>
      </c>
      <c r="O257" s="6"/>
      <c r="P257" s="6"/>
    </row>
    <row r="258" spans="1:16" x14ac:dyDescent="0.3">
      <c r="A258" s="6"/>
      <c r="B258" s="7"/>
      <c r="C258" s="6"/>
      <c r="D258" s="6"/>
      <c r="E258" s="6"/>
      <c r="F258" s="25"/>
      <c r="G258" s="25" t="str">
        <f>IF(A258="","",SUMIFS(Paradas_Detalhadas!$I:$I,Paradas_Detalhadas!$A:$A,A258,Paradas_Detalhadas!$B:$B,B258,Paradas_Detalhadas!$C:$C,C258,Paradas_Detalhadas!$D:$D,E258))</f>
        <v/>
      </c>
      <c r="H258" s="26" t="str">
        <f t="shared" si="20"/>
        <v/>
      </c>
      <c r="I258" s="10"/>
      <c r="J258" s="10"/>
      <c r="K258" s="10" t="str">
        <f t="shared" si="21"/>
        <v/>
      </c>
      <c r="L258" s="10" t="str">
        <f t="shared" si="22"/>
        <v/>
      </c>
      <c r="M258" s="10" t="str">
        <f t="shared" si="23"/>
        <v/>
      </c>
      <c r="N258" s="10" t="str">
        <f t="shared" si="24"/>
        <v/>
      </c>
      <c r="O258" s="6"/>
      <c r="P258" s="6"/>
    </row>
    <row r="259" spans="1:16" x14ac:dyDescent="0.3">
      <c r="A259" s="6"/>
      <c r="B259" s="7"/>
      <c r="C259" s="6"/>
      <c r="D259" s="6"/>
      <c r="E259" s="6"/>
      <c r="F259" s="25"/>
      <c r="G259" s="25" t="str">
        <f>IF(A259="","",SUMIFS(Paradas_Detalhadas!$I:$I,Paradas_Detalhadas!$A:$A,A259,Paradas_Detalhadas!$B:$B,B259,Paradas_Detalhadas!$C:$C,C259,Paradas_Detalhadas!$D:$D,E259))</f>
        <v/>
      </c>
      <c r="H259" s="26" t="str">
        <f t="shared" si="20"/>
        <v/>
      </c>
      <c r="I259" s="10"/>
      <c r="J259" s="10"/>
      <c r="K259" s="10" t="str">
        <f t="shared" si="21"/>
        <v/>
      </c>
      <c r="L259" s="10" t="str">
        <f t="shared" si="22"/>
        <v/>
      </c>
      <c r="M259" s="10" t="str">
        <f t="shared" si="23"/>
        <v/>
      </c>
      <c r="N259" s="10" t="str">
        <f t="shared" si="24"/>
        <v/>
      </c>
      <c r="O259" s="6"/>
      <c r="P259" s="6"/>
    </row>
    <row r="260" spans="1:16" x14ac:dyDescent="0.3">
      <c r="A260" s="6"/>
      <c r="B260" s="7"/>
      <c r="C260" s="6"/>
      <c r="D260" s="6"/>
      <c r="E260" s="6"/>
      <c r="F260" s="25"/>
      <c r="G260" s="25" t="str">
        <f>IF(A260="","",SUMIFS(Paradas_Detalhadas!$I:$I,Paradas_Detalhadas!$A:$A,A260,Paradas_Detalhadas!$B:$B,B260,Paradas_Detalhadas!$C:$C,C260,Paradas_Detalhadas!$D:$D,E260))</f>
        <v/>
      </c>
      <c r="H260" s="26" t="str">
        <f t="shared" si="20"/>
        <v/>
      </c>
      <c r="I260" s="10"/>
      <c r="J260" s="10"/>
      <c r="K260" s="10" t="str">
        <f t="shared" si="21"/>
        <v/>
      </c>
      <c r="L260" s="10" t="str">
        <f t="shared" si="22"/>
        <v/>
      </c>
      <c r="M260" s="10" t="str">
        <f t="shared" si="23"/>
        <v/>
      </c>
      <c r="N260" s="10" t="str">
        <f t="shared" si="24"/>
        <v/>
      </c>
      <c r="O260" s="6"/>
      <c r="P260" s="6"/>
    </row>
    <row r="261" spans="1:16" x14ac:dyDescent="0.3">
      <c r="A261" s="6"/>
      <c r="B261" s="7"/>
      <c r="C261" s="6"/>
      <c r="D261" s="6"/>
      <c r="E261" s="6"/>
      <c r="F261" s="25"/>
      <c r="G261" s="25" t="str">
        <f>IF(A261="","",SUMIFS(Paradas_Detalhadas!$I:$I,Paradas_Detalhadas!$A:$A,A261,Paradas_Detalhadas!$B:$B,B261,Paradas_Detalhadas!$C:$C,C261,Paradas_Detalhadas!$D:$D,E261))</f>
        <v/>
      </c>
      <c r="H261" s="26" t="str">
        <f t="shared" si="20"/>
        <v/>
      </c>
      <c r="I261" s="10"/>
      <c r="J261" s="10"/>
      <c r="K261" s="10" t="str">
        <f t="shared" si="21"/>
        <v/>
      </c>
      <c r="L261" s="10" t="str">
        <f t="shared" si="22"/>
        <v/>
      </c>
      <c r="M261" s="10" t="str">
        <f t="shared" si="23"/>
        <v/>
      </c>
      <c r="N261" s="10" t="str">
        <f t="shared" si="24"/>
        <v/>
      </c>
      <c r="O261" s="6"/>
      <c r="P261" s="6"/>
    </row>
    <row r="262" spans="1:16" x14ac:dyDescent="0.3">
      <c r="A262" s="6"/>
      <c r="B262" s="7"/>
      <c r="C262" s="6"/>
      <c r="D262" s="6"/>
      <c r="E262" s="6"/>
      <c r="F262" s="25"/>
      <c r="G262" s="25" t="str">
        <f>IF(A262="","",SUMIFS(Paradas_Detalhadas!$I:$I,Paradas_Detalhadas!$A:$A,A262,Paradas_Detalhadas!$B:$B,B262,Paradas_Detalhadas!$C:$C,C262,Paradas_Detalhadas!$D:$D,E262))</f>
        <v/>
      </c>
      <c r="H262" s="26" t="str">
        <f t="shared" si="20"/>
        <v/>
      </c>
      <c r="I262" s="10"/>
      <c r="J262" s="10"/>
      <c r="K262" s="10" t="str">
        <f t="shared" si="21"/>
        <v/>
      </c>
      <c r="L262" s="10" t="str">
        <f t="shared" si="22"/>
        <v/>
      </c>
      <c r="M262" s="10" t="str">
        <f t="shared" si="23"/>
        <v/>
      </c>
      <c r="N262" s="10" t="str">
        <f t="shared" si="24"/>
        <v/>
      </c>
      <c r="O262" s="6"/>
      <c r="P262" s="6"/>
    </row>
    <row r="263" spans="1:16" x14ac:dyDescent="0.3">
      <c r="A263" s="6"/>
      <c r="B263" s="7"/>
      <c r="C263" s="6"/>
      <c r="D263" s="6"/>
      <c r="E263" s="6"/>
      <c r="F263" s="25"/>
      <c r="G263" s="25" t="str">
        <f>IF(A263="","",SUMIFS(Paradas_Detalhadas!$I:$I,Paradas_Detalhadas!$A:$A,A263,Paradas_Detalhadas!$B:$B,B263,Paradas_Detalhadas!$C:$C,C263,Paradas_Detalhadas!$D:$D,E263))</f>
        <v/>
      </c>
      <c r="H263" s="26" t="str">
        <f t="shared" si="20"/>
        <v/>
      </c>
      <c r="I263" s="10"/>
      <c r="J263" s="10"/>
      <c r="K263" s="10" t="str">
        <f t="shared" si="21"/>
        <v/>
      </c>
      <c r="L263" s="10" t="str">
        <f t="shared" si="22"/>
        <v/>
      </c>
      <c r="M263" s="10" t="str">
        <f t="shared" si="23"/>
        <v/>
      </c>
      <c r="N263" s="10" t="str">
        <f t="shared" si="24"/>
        <v/>
      </c>
      <c r="O263" s="6"/>
      <c r="P263" s="6"/>
    </row>
    <row r="264" spans="1:16" x14ac:dyDescent="0.3">
      <c r="A264" s="6"/>
      <c r="B264" s="7"/>
      <c r="C264" s="6"/>
      <c r="D264" s="6"/>
      <c r="E264" s="6"/>
      <c r="F264" s="25"/>
      <c r="G264" s="25" t="str">
        <f>IF(A264="","",SUMIFS(Paradas_Detalhadas!$I:$I,Paradas_Detalhadas!$A:$A,A264,Paradas_Detalhadas!$B:$B,B264,Paradas_Detalhadas!$C:$C,C264,Paradas_Detalhadas!$D:$D,E264))</f>
        <v/>
      </c>
      <c r="H264" s="26" t="str">
        <f t="shared" si="20"/>
        <v/>
      </c>
      <c r="I264" s="10"/>
      <c r="J264" s="10"/>
      <c r="K264" s="10" t="str">
        <f t="shared" si="21"/>
        <v/>
      </c>
      <c r="L264" s="10" t="str">
        <f t="shared" si="22"/>
        <v/>
      </c>
      <c r="M264" s="10" t="str">
        <f t="shared" si="23"/>
        <v/>
      </c>
      <c r="N264" s="10" t="str">
        <f t="shared" si="24"/>
        <v/>
      </c>
      <c r="O264" s="6"/>
      <c r="P264" s="6"/>
    </row>
    <row r="265" spans="1:16" x14ac:dyDescent="0.3">
      <c r="A265" s="6"/>
      <c r="B265" s="7"/>
      <c r="C265" s="6"/>
      <c r="D265" s="6"/>
      <c r="E265" s="6"/>
      <c r="F265" s="25"/>
      <c r="G265" s="25" t="str">
        <f>IF(A265="","",SUMIFS(Paradas_Detalhadas!$I:$I,Paradas_Detalhadas!$A:$A,A265,Paradas_Detalhadas!$B:$B,B265,Paradas_Detalhadas!$C:$C,C265,Paradas_Detalhadas!$D:$D,E265))</f>
        <v/>
      </c>
      <c r="H265" s="26" t="str">
        <f t="shared" si="20"/>
        <v/>
      </c>
      <c r="I265" s="10"/>
      <c r="J265" s="10"/>
      <c r="K265" s="10" t="str">
        <f t="shared" si="21"/>
        <v/>
      </c>
      <c r="L265" s="10" t="str">
        <f t="shared" si="22"/>
        <v/>
      </c>
      <c r="M265" s="10" t="str">
        <f t="shared" si="23"/>
        <v/>
      </c>
      <c r="N265" s="10" t="str">
        <f t="shared" si="24"/>
        <v/>
      </c>
      <c r="O265" s="6"/>
      <c r="P265" s="6"/>
    </row>
    <row r="266" spans="1:16" x14ac:dyDescent="0.3">
      <c r="A266" s="6"/>
      <c r="B266" s="7"/>
      <c r="C266" s="6"/>
      <c r="D266" s="6"/>
      <c r="E266" s="6"/>
      <c r="F266" s="25"/>
      <c r="G266" s="25" t="str">
        <f>IF(A266="","",SUMIFS(Paradas_Detalhadas!$I:$I,Paradas_Detalhadas!$A:$A,A266,Paradas_Detalhadas!$B:$B,B266,Paradas_Detalhadas!$C:$C,C266,Paradas_Detalhadas!$D:$D,E266))</f>
        <v/>
      </c>
      <c r="H266" s="26" t="str">
        <f t="shared" si="20"/>
        <v/>
      </c>
      <c r="I266" s="10"/>
      <c r="J266" s="10"/>
      <c r="K266" s="10" t="str">
        <f t="shared" si="21"/>
        <v/>
      </c>
      <c r="L266" s="10" t="str">
        <f t="shared" si="22"/>
        <v/>
      </c>
      <c r="M266" s="10" t="str">
        <f t="shared" si="23"/>
        <v/>
      </c>
      <c r="N266" s="10" t="str">
        <f t="shared" si="24"/>
        <v/>
      </c>
      <c r="O266" s="6"/>
      <c r="P266" s="6"/>
    </row>
    <row r="267" spans="1:16" x14ac:dyDescent="0.3">
      <c r="A267" s="6"/>
      <c r="B267" s="7"/>
      <c r="C267" s="6"/>
      <c r="D267" s="6"/>
      <c r="E267" s="6"/>
      <c r="F267" s="25"/>
      <c r="G267" s="25" t="str">
        <f>IF(A267="","",SUMIFS(Paradas_Detalhadas!$I:$I,Paradas_Detalhadas!$A:$A,A267,Paradas_Detalhadas!$B:$B,B267,Paradas_Detalhadas!$C:$C,C267,Paradas_Detalhadas!$D:$D,E267))</f>
        <v/>
      </c>
      <c r="H267" s="26" t="str">
        <f t="shared" si="20"/>
        <v/>
      </c>
      <c r="I267" s="10"/>
      <c r="J267" s="10"/>
      <c r="K267" s="10" t="str">
        <f t="shared" si="21"/>
        <v/>
      </c>
      <c r="L267" s="10" t="str">
        <f t="shared" si="22"/>
        <v/>
      </c>
      <c r="M267" s="10" t="str">
        <f t="shared" si="23"/>
        <v/>
      </c>
      <c r="N267" s="10" t="str">
        <f t="shared" si="24"/>
        <v/>
      </c>
      <c r="O267" s="6"/>
      <c r="P267" s="6"/>
    </row>
    <row r="268" spans="1:16" x14ac:dyDescent="0.3">
      <c r="A268" s="6"/>
      <c r="B268" s="7"/>
      <c r="C268" s="6"/>
      <c r="D268" s="6"/>
      <c r="E268" s="6"/>
      <c r="F268" s="25"/>
      <c r="G268" s="25" t="str">
        <f>IF(A268="","",SUMIFS(Paradas_Detalhadas!$I:$I,Paradas_Detalhadas!$A:$A,A268,Paradas_Detalhadas!$B:$B,B268,Paradas_Detalhadas!$C:$C,C268,Paradas_Detalhadas!$D:$D,E268))</f>
        <v/>
      </c>
      <c r="H268" s="26" t="str">
        <f t="shared" si="20"/>
        <v/>
      </c>
      <c r="I268" s="10"/>
      <c r="J268" s="10"/>
      <c r="K268" s="10" t="str">
        <f t="shared" si="21"/>
        <v/>
      </c>
      <c r="L268" s="10" t="str">
        <f t="shared" si="22"/>
        <v/>
      </c>
      <c r="M268" s="10" t="str">
        <f t="shared" si="23"/>
        <v/>
      </c>
      <c r="N268" s="10" t="str">
        <f t="shared" si="24"/>
        <v/>
      </c>
      <c r="O268" s="6"/>
      <c r="P268" s="6"/>
    </row>
    <row r="269" spans="1:16" x14ac:dyDescent="0.3">
      <c r="A269" s="6"/>
      <c r="B269" s="7"/>
      <c r="C269" s="6"/>
      <c r="D269" s="6"/>
      <c r="E269" s="6"/>
      <c r="F269" s="25"/>
      <c r="G269" s="25" t="str">
        <f>IF(A269="","",SUMIFS(Paradas_Detalhadas!$I:$I,Paradas_Detalhadas!$A:$A,A269,Paradas_Detalhadas!$B:$B,B269,Paradas_Detalhadas!$C:$C,C269,Paradas_Detalhadas!$D:$D,E269))</f>
        <v/>
      </c>
      <c r="H269" s="26" t="str">
        <f t="shared" si="20"/>
        <v/>
      </c>
      <c r="I269" s="10"/>
      <c r="J269" s="10"/>
      <c r="K269" s="10" t="str">
        <f t="shared" si="21"/>
        <v/>
      </c>
      <c r="L269" s="10" t="str">
        <f t="shared" si="22"/>
        <v/>
      </c>
      <c r="M269" s="10" t="str">
        <f t="shared" si="23"/>
        <v/>
      </c>
      <c r="N269" s="10" t="str">
        <f t="shared" si="24"/>
        <v/>
      </c>
      <c r="O269" s="6"/>
      <c r="P269" s="6"/>
    </row>
    <row r="270" spans="1:16" x14ac:dyDescent="0.3">
      <c r="A270" s="6"/>
      <c r="B270" s="7"/>
      <c r="C270" s="6"/>
      <c r="D270" s="6"/>
      <c r="E270" s="6"/>
      <c r="F270" s="25"/>
      <c r="G270" s="25" t="str">
        <f>IF(A270="","",SUMIFS(Paradas_Detalhadas!$I:$I,Paradas_Detalhadas!$A:$A,A270,Paradas_Detalhadas!$B:$B,B270,Paradas_Detalhadas!$C:$C,C270,Paradas_Detalhadas!$D:$D,E270))</f>
        <v/>
      </c>
      <c r="H270" s="26" t="str">
        <f t="shared" si="20"/>
        <v/>
      </c>
      <c r="I270" s="10"/>
      <c r="J270" s="10"/>
      <c r="K270" s="10" t="str">
        <f t="shared" si="21"/>
        <v/>
      </c>
      <c r="L270" s="10" t="str">
        <f t="shared" si="22"/>
        <v/>
      </c>
      <c r="M270" s="10" t="str">
        <f t="shared" si="23"/>
        <v/>
      </c>
      <c r="N270" s="10" t="str">
        <f t="shared" si="24"/>
        <v/>
      </c>
      <c r="O270" s="6"/>
      <c r="P270" s="6"/>
    </row>
    <row r="271" spans="1:16" x14ac:dyDescent="0.3">
      <c r="A271" s="6"/>
      <c r="B271" s="7"/>
      <c r="C271" s="6"/>
      <c r="D271" s="6"/>
      <c r="E271" s="6"/>
      <c r="F271" s="25"/>
      <c r="G271" s="25" t="str">
        <f>IF(A271="","",SUMIFS(Paradas_Detalhadas!$I:$I,Paradas_Detalhadas!$A:$A,A271,Paradas_Detalhadas!$B:$B,B271,Paradas_Detalhadas!$C:$C,C271,Paradas_Detalhadas!$D:$D,E271))</f>
        <v/>
      </c>
      <c r="H271" s="26" t="str">
        <f t="shared" si="20"/>
        <v/>
      </c>
      <c r="I271" s="10"/>
      <c r="J271" s="10"/>
      <c r="K271" s="10" t="str">
        <f t="shared" si="21"/>
        <v/>
      </c>
      <c r="L271" s="10" t="str">
        <f t="shared" si="22"/>
        <v/>
      </c>
      <c r="M271" s="10" t="str">
        <f t="shared" si="23"/>
        <v/>
      </c>
      <c r="N271" s="10" t="str">
        <f t="shared" si="24"/>
        <v/>
      </c>
      <c r="O271" s="6"/>
      <c r="P271" s="6"/>
    </row>
    <row r="272" spans="1:16" x14ac:dyDescent="0.3">
      <c r="A272" s="6"/>
      <c r="B272" s="7"/>
      <c r="C272" s="6"/>
      <c r="D272" s="6"/>
      <c r="E272" s="6"/>
      <c r="F272" s="25"/>
      <c r="G272" s="25" t="str">
        <f>IF(A272="","",SUMIFS(Paradas_Detalhadas!$I:$I,Paradas_Detalhadas!$A:$A,A272,Paradas_Detalhadas!$B:$B,B272,Paradas_Detalhadas!$C:$C,C272,Paradas_Detalhadas!$D:$D,E272))</f>
        <v/>
      </c>
      <c r="H272" s="26" t="str">
        <f t="shared" si="20"/>
        <v/>
      </c>
      <c r="I272" s="10"/>
      <c r="J272" s="10"/>
      <c r="K272" s="10" t="str">
        <f t="shared" si="21"/>
        <v/>
      </c>
      <c r="L272" s="10" t="str">
        <f t="shared" si="22"/>
        <v/>
      </c>
      <c r="M272" s="10" t="str">
        <f t="shared" si="23"/>
        <v/>
      </c>
      <c r="N272" s="10" t="str">
        <f t="shared" si="24"/>
        <v/>
      </c>
      <c r="O272" s="6"/>
      <c r="P272" s="6"/>
    </row>
    <row r="273" spans="1:16" x14ac:dyDescent="0.3">
      <c r="A273" s="6"/>
      <c r="B273" s="7"/>
      <c r="C273" s="6"/>
      <c r="D273" s="6"/>
      <c r="E273" s="6"/>
      <c r="F273" s="25"/>
      <c r="G273" s="25" t="str">
        <f>IF(A273="","",SUMIFS(Paradas_Detalhadas!$I:$I,Paradas_Detalhadas!$A:$A,A273,Paradas_Detalhadas!$B:$B,B273,Paradas_Detalhadas!$C:$C,C273,Paradas_Detalhadas!$D:$D,E273))</f>
        <v/>
      </c>
      <c r="H273" s="26" t="str">
        <f t="shared" si="20"/>
        <v/>
      </c>
      <c r="I273" s="10"/>
      <c r="J273" s="10"/>
      <c r="K273" s="10" t="str">
        <f t="shared" si="21"/>
        <v/>
      </c>
      <c r="L273" s="10" t="str">
        <f t="shared" si="22"/>
        <v/>
      </c>
      <c r="M273" s="10" t="str">
        <f t="shared" si="23"/>
        <v/>
      </c>
      <c r="N273" s="10" t="str">
        <f t="shared" si="24"/>
        <v/>
      </c>
      <c r="O273" s="6"/>
      <c r="P273" s="6"/>
    </row>
    <row r="274" spans="1:16" x14ac:dyDescent="0.3">
      <c r="A274" s="6"/>
      <c r="B274" s="7"/>
      <c r="C274" s="6"/>
      <c r="D274" s="6"/>
      <c r="E274" s="6"/>
      <c r="F274" s="25"/>
      <c r="G274" s="25" t="str">
        <f>IF(A274="","",SUMIFS(Paradas_Detalhadas!$I:$I,Paradas_Detalhadas!$A:$A,A274,Paradas_Detalhadas!$B:$B,B274,Paradas_Detalhadas!$C:$C,C274,Paradas_Detalhadas!$D:$D,E274))</f>
        <v/>
      </c>
      <c r="H274" s="26" t="str">
        <f t="shared" si="20"/>
        <v/>
      </c>
      <c r="I274" s="10"/>
      <c r="J274" s="10"/>
      <c r="K274" s="10" t="str">
        <f t="shared" si="21"/>
        <v/>
      </c>
      <c r="L274" s="10" t="str">
        <f t="shared" si="22"/>
        <v/>
      </c>
      <c r="M274" s="10" t="str">
        <f t="shared" si="23"/>
        <v/>
      </c>
      <c r="N274" s="10" t="str">
        <f t="shared" si="24"/>
        <v/>
      </c>
      <c r="O274" s="6"/>
      <c r="P274" s="6"/>
    </row>
    <row r="275" spans="1:16" x14ac:dyDescent="0.3">
      <c r="A275" s="6"/>
      <c r="B275" s="7"/>
      <c r="C275" s="6"/>
      <c r="D275" s="6"/>
      <c r="E275" s="6"/>
      <c r="F275" s="25"/>
      <c r="G275" s="25" t="str">
        <f>IF(A275="","",SUMIFS(Paradas_Detalhadas!$I:$I,Paradas_Detalhadas!$A:$A,A275,Paradas_Detalhadas!$B:$B,B275,Paradas_Detalhadas!$C:$C,C275,Paradas_Detalhadas!$D:$D,E275))</f>
        <v/>
      </c>
      <c r="H275" s="26" t="str">
        <f t="shared" si="20"/>
        <v/>
      </c>
      <c r="I275" s="10"/>
      <c r="J275" s="10"/>
      <c r="K275" s="10" t="str">
        <f t="shared" si="21"/>
        <v/>
      </c>
      <c r="L275" s="10" t="str">
        <f t="shared" si="22"/>
        <v/>
      </c>
      <c r="M275" s="10" t="str">
        <f t="shared" si="23"/>
        <v/>
      </c>
      <c r="N275" s="10" t="str">
        <f t="shared" si="24"/>
        <v/>
      </c>
      <c r="O275" s="6"/>
      <c r="P275" s="6"/>
    </row>
    <row r="276" spans="1:16" x14ac:dyDescent="0.3">
      <c r="A276" s="6"/>
      <c r="B276" s="7"/>
      <c r="C276" s="6"/>
      <c r="D276" s="6"/>
      <c r="E276" s="6"/>
      <c r="F276" s="25"/>
      <c r="G276" s="25" t="str">
        <f>IF(A276="","",SUMIFS(Paradas_Detalhadas!$I:$I,Paradas_Detalhadas!$A:$A,A276,Paradas_Detalhadas!$B:$B,B276,Paradas_Detalhadas!$C:$C,C276,Paradas_Detalhadas!$D:$D,E276))</f>
        <v/>
      </c>
      <c r="H276" s="26" t="str">
        <f t="shared" si="20"/>
        <v/>
      </c>
      <c r="I276" s="10"/>
      <c r="J276" s="10"/>
      <c r="K276" s="10" t="str">
        <f t="shared" si="21"/>
        <v/>
      </c>
      <c r="L276" s="10" t="str">
        <f t="shared" si="22"/>
        <v/>
      </c>
      <c r="M276" s="10" t="str">
        <f t="shared" si="23"/>
        <v/>
      </c>
      <c r="N276" s="10" t="str">
        <f t="shared" si="24"/>
        <v/>
      </c>
      <c r="O276" s="6"/>
      <c r="P276" s="6"/>
    </row>
    <row r="277" spans="1:16" x14ac:dyDescent="0.3">
      <c r="A277" s="6"/>
      <c r="B277" s="7"/>
      <c r="C277" s="6"/>
      <c r="D277" s="6"/>
      <c r="E277" s="6"/>
      <c r="F277" s="25"/>
      <c r="G277" s="25" t="str">
        <f>IF(A277="","",SUMIFS(Paradas_Detalhadas!$I:$I,Paradas_Detalhadas!$A:$A,A277,Paradas_Detalhadas!$B:$B,B277,Paradas_Detalhadas!$C:$C,C277,Paradas_Detalhadas!$D:$D,E277))</f>
        <v/>
      </c>
      <c r="H277" s="26" t="str">
        <f t="shared" si="20"/>
        <v/>
      </c>
      <c r="I277" s="10"/>
      <c r="J277" s="10"/>
      <c r="K277" s="10" t="str">
        <f t="shared" si="21"/>
        <v/>
      </c>
      <c r="L277" s="10" t="str">
        <f t="shared" si="22"/>
        <v/>
      </c>
      <c r="M277" s="10" t="str">
        <f t="shared" si="23"/>
        <v/>
      </c>
      <c r="N277" s="10" t="str">
        <f t="shared" si="24"/>
        <v/>
      </c>
      <c r="O277" s="6"/>
      <c r="P277" s="6"/>
    </row>
    <row r="278" spans="1:16" x14ac:dyDescent="0.3">
      <c r="A278" s="6"/>
      <c r="B278" s="7"/>
      <c r="C278" s="6"/>
      <c r="D278" s="6"/>
      <c r="E278" s="6"/>
      <c r="F278" s="25"/>
      <c r="G278" s="25" t="str">
        <f>IF(A278="","",SUMIFS(Paradas_Detalhadas!$I:$I,Paradas_Detalhadas!$A:$A,A278,Paradas_Detalhadas!$B:$B,B278,Paradas_Detalhadas!$C:$C,C278,Paradas_Detalhadas!$D:$D,E278))</f>
        <v/>
      </c>
      <c r="H278" s="26" t="str">
        <f t="shared" si="20"/>
        <v/>
      </c>
      <c r="I278" s="10"/>
      <c r="J278" s="10"/>
      <c r="K278" s="10" t="str">
        <f t="shared" si="21"/>
        <v/>
      </c>
      <c r="L278" s="10" t="str">
        <f t="shared" si="22"/>
        <v/>
      </c>
      <c r="M278" s="10" t="str">
        <f t="shared" si="23"/>
        <v/>
      </c>
      <c r="N278" s="10" t="str">
        <f t="shared" si="24"/>
        <v/>
      </c>
      <c r="O278" s="6"/>
      <c r="P278" s="6"/>
    </row>
    <row r="279" spans="1:16" x14ac:dyDescent="0.3">
      <c r="A279" s="6"/>
      <c r="B279" s="7"/>
      <c r="C279" s="6"/>
      <c r="D279" s="6"/>
      <c r="E279" s="6"/>
      <c r="F279" s="25"/>
      <c r="G279" s="25" t="str">
        <f>IF(A279="","",SUMIFS(Paradas_Detalhadas!$I:$I,Paradas_Detalhadas!$A:$A,A279,Paradas_Detalhadas!$B:$B,B279,Paradas_Detalhadas!$C:$C,C279,Paradas_Detalhadas!$D:$D,E279))</f>
        <v/>
      </c>
      <c r="H279" s="26" t="str">
        <f t="shared" si="20"/>
        <v/>
      </c>
      <c r="I279" s="10"/>
      <c r="J279" s="10"/>
      <c r="K279" s="10" t="str">
        <f t="shared" si="21"/>
        <v/>
      </c>
      <c r="L279" s="10" t="str">
        <f t="shared" si="22"/>
        <v/>
      </c>
      <c r="M279" s="10" t="str">
        <f t="shared" si="23"/>
        <v/>
      </c>
      <c r="N279" s="10" t="str">
        <f t="shared" si="24"/>
        <v/>
      </c>
      <c r="O279" s="6"/>
      <c r="P279" s="6"/>
    </row>
    <row r="280" spans="1:16" x14ac:dyDescent="0.3">
      <c r="A280" s="6"/>
      <c r="B280" s="7"/>
      <c r="C280" s="6"/>
      <c r="D280" s="6"/>
      <c r="E280" s="6"/>
      <c r="F280" s="25"/>
      <c r="G280" s="25" t="str">
        <f>IF(A280="","",SUMIFS(Paradas_Detalhadas!$I:$I,Paradas_Detalhadas!$A:$A,A280,Paradas_Detalhadas!$B:$B,B280,Paradas_Detalhadas!$C:$C,C280,Paradas_Detalhadas!$D:$D,E280))</f>
        <v/>
      </c>
      <c r="H280" s="26" t="str">
        <f t="shared" si="20"/>
        <v/>
      </c>
      <c r="I280" s="10"/>
      <c r="J280" s="10"/>
      <c r="K280" s="10" t="str">
        <f t="shared" si="21"/>
        <v/>
      </c>
      <c r="L280" s="10" t="str">
        <f t="shared" si="22"/>
        <v/>
      </c>
      <c r="M280" s="10" t="str">
        <f t="shared" si="23"/>
        <v/>
      </c>
      <c r="N280" s="10" t="str">
        <f t="shared" si="24"/>
        <v/>
      </c>
      <c r="O280" s="6"/>
      <c r="P280" s="6"/>
    </row>
    <row r="281" spans="1:16" x14ac:dyDescent="0.3">
      <c r="A281" s="6"/>
      <c r="B281" s="7"/>
      <c r="C281" s="6"/>
      <c r="D281" s="6"/>
      <c r="E281" s="6"/>
      <c r="F281" s="25"/>
      <c r="G281" s="25" t="str">
        <f>IF(A281="","",SUMIFS(Paradas_Detalhadas!$I:$I,Paradas_Detalhadas!$A:$A,A281,Paradas_Detalhadas!$B:$B,B281,Paradas_Detalhadas!$C:$C,C281,Paradas_Detalhadas!$D:$D,E281))</f>
        <v/>
      </c>
      <c r="H281" s="26" t="str">
        <f t="shared" si="20"/>
        <v/>
      </c>
      <c r="I281" s="10"/>
      <c r="J281" s="10"/>
      <c r="K281" s="10" t="str">
        <f t="shared" si="21"/>
        <v/>
      </c>
      <c r="L281" s="10" t="str">
        <f t="shared" si="22"/>
        <v/>
      </c>
      <c r="M281" s="10" t="str">
        <f t="shared" si="23"/>
        <v/>
      </c>
      <c r="N281" s="10" t="str">
        <f t="shared" si="24"/>
        <v/>
      </c>
      <c r="O281" s="6"/>
      <c r="P281" s="6"/>
    </row>
    <row r="282" spans="1:16" x14ac:dyDescent="0.3">
      <c r="A282" s="6"/>
      <c r="B282" s="7"/>
      <c r="C282" s="6"/>
      <c r="D282" s="6"/>
      <c r="E282" s="6"/>
      <c r="F282" s="25"/>
      <c r="G282" s="25" t="str">
        <f>IF(A282="","",SUMIFS(Paradas_Detalhadas!$I:$I,Paradas_Detalhadas!$A:$A,A282,Paradas_Detalhadas!$B:$B,B282,Paradas_Detalhadas!$C:$C,C282,Paradas_Detalhadas!$D:$D,E282))</f>
        <v/>
      </c>
      <c r="H282" s="26" t="str">
        <f t="shared" si="20"/>
        <v/>
      </c>
      <c r="I282" s="10"/>
      <c r="J282" s="10"/>
      <c r="K282" s="10" t="str">
        <f t="shared" si="21"/>
        <v/>
      </c>
      <c r="L282" s="10" t="str">
        <f t="shared" si="22"/>
        <v/>
      </c>
      <c r="M282" s="10" t="str">
        <f t="shared" si="23"/>
        <v/>
      </c>
      <c r="N282" s="10" t="str">
        <f t="shared" si="24"/>
        <v/>
      </c>
      <c r="O282" s="6"/>
      <c r="P282" s="6"/>
    </row>
    <row r="283" spans="1:16" x14ac:dyDescent="0.3">
      <c r="A283" s="6"/>
      <c r="B283" s="7"/>
      <c r="C283" s="6"/>
      <c r="D283" s="6"/>
      <c r="E283" s="6"/>
      <c r="F283" s="25"/>
      <c r="G283" s="25" t="str">
        <f>IF(A283="","",SUMIFS(Paradas_Detalhadas!$I:$I,Paradas_Detalhadas!$A:$A,A283,Paradas_Detalhadas!$B:$B,B283,Paradas_Detalhadas!$C:$C,C283,Paradas_Detalhadas!$D:$D,E283))</f>
        <v/>
      </c>
      <c r="H283" s="26" t="str">
        <f t="shared" si="20"/>
        <v/>
      </c>
      <c r="I283" s="10"/>
      <c r="J283" s="10"/>
      <c r="K283" s="10" t="str">
        <f t="shared" si="21"/>
        <v/>
      </c>
      <c r="L283" s="10" t="str">
        <f t="shared" si="22"/>
        <v/>
      </c>
      <c r="M283" s="10" t="str">
        <f t="shared" si="23"/>
        <v/>
      </c>
      <c r="N283" s="10" t="str">
        <f t="shared" si="24"/>
        <v/>
      </c>
      <c r="O283" s="6"/>
      <c r="P283" s="6"/>
    </row>
    <row r="284" spans="1:16" x14ac:dyDescent="0.3">
      <c r="A284" s="6"/>
      <c r="B284" s="7"/>
      <c r="C284" s="6"/>
      <c r="D284" s="6"/>
      <c r="E284" s="6"/>
      <c r="F284" s="25"/>
      <c r="G284" s="25" t="str">
        <f>IF(A284="","",SUMIFS(Paradas_Detalhadas!$I:$I,Paradas_Detalhadas!$A:$A,A284,Paradas_Detalhadas!$B:$B,B284,Paradas_Detalhadas!$C:$C,C284,Paradas_Detalhadas!$D:$D,E284))</f>
        <v/>
      </c>
      <c r="H284" s="26" t="str">
        <f t="shared" si="20"/>
        <v/>
      </c>
      <c r="I284" s="10"/>
      <c r="J284" s="10"/>
      <c r="K284" s="10" t="str">
        <f t="shared" si="21"/>
        <v/>
      </c>
      <c r="L284" s="10" t="str">
        <f t="shared" si="22"/>
        <v/>
      </c>
      <c r="M284" s="10" t="str">
        <f t="shared" si="23"/>
        <v/>
      </c>
      <c r="N284" s="10" t="str">
        <f t="shared" si="24"/>
        <v/>
      </c>
      <c r="O284" s="6"/>
      <c r="P284" s="6"/>
    </row>
    <row r="285" spans="1:16" x14ac:dyDescent="0.3">
      <c r="A285" s="6"/>
      <c r="B285" s="7"/>
      <c r="C285" s="6"/>
      <c r="D285" s="6"/>
      <c r="E285" s="6"/>
      <c r="F285" s="25"/>
      <c r="G285" s="25" t="str">
        <f>IF(A285="","",SUMIFS(Paradas_Detalhadas!$I:$I,Paradas_Detalhadas!$A:$A,A285,Paradas_Detalhadas!$B:$B,B285,Paradas_Detalhadas!$C:$C,C285,Paradas_Detalhadas!$D:$D,E285))</f>
        <v/>
      </c>
      <c r="H285" s="26" t="str">
        <f t="shared" si="20"/>
        <v/>
      </c>
      <c r="I285" s="10"/>
      <c r="J285" s="10"/>
      <c r="K285" s="10" t="str">
        <f t="shared" si="21"/>
        <v/>
      </c>
      <c r="L285" s="10" t="str">
        <f t="shared" si="22"/>
        <v/>
      </c>
      <c r="M285" s="10" t="str">
        <f t="shared" si="23"/>
        <v/>
      </c>
      <c r="N285" s="10" t="str">
        <f t="shared" si="24"/>
        <v/>
      </c>
      <c r="O285" s="6"/>
      <c r="P285" s="6"/>
    </row>
    <row r="286" spans="1:16" x14ac:dyDescent="0.3">
      <c r="A286" s="6"/>
      <c r="B286" s="7"/>
      <c r="C286" s="6"/>
      <c r="D286" s="6"/>
      <c r="E286" s="6"/>
      <c r="F286" s="25"/>
      <c r="G286" s="25" t="str">
        <f>IF(A286="","",SUMIFS(Paradas_Detalhadas!$I:$I,Paradas_Detalhadas!$A:$A,A286,Paradas_Detalhadas!$B:$B,B286,Paradas_Detalhadas!$C:$C,C286,Paradas_Detalhadas!$D:$D,E286))</f>
        <v/>
      </c>
      <c r="H286" s="26" t="str">
        <f t="shared" si="20"/>
        <v/>
      </c>
      <c r="I286" s="10"/>
      <c r="J286" s="10"/>
      <c r="K286" s="10" t="str">
        <f t="shared" si="21"/>
        <v/>
      </c>
      <c r="L286" s="10" t="str">
        <f t="shared" si="22"/>
        <v/>
      </c>
      <c r="M286" s="10" t="str">
        <f t="shared" si="23"/>
        <v/>
      </c>
      <c r="N286" s="10" t="str">
        <f t="shared" si="24"/>
        <v/>
      </c>
      <c r="O286" s="6"/>
      <c r="P286" s="6"/>
    </row>
    <row r="287" spans="1:16" x14ac:dyDescent="0.3">
      <c r="A287" s="6"/>
      <c r="B287" s="7"/>
      <c r="C287" s="6"/>
      <c r="D287" s="6"/>
      <c r="E287" s="6"/>
      <c r="F287" s="25"/>
      <c r="G287" s="25" t="str">
        <f>IF(A287="","",SUMIFS(Paradas_Detalhadas!$I:$I,Paradas_Detalhadas!$A:$A,A287,Paradas_Detalhadas!$B:$B,B287,Paradas_Detalhadas!$C:$C,C287,Paradas_Detalhadas!$D:$D,E287))</f>
        <v/>
      </c>
      <c r="H287" s="26" t="str">
        <f t="shared" si="20"/>
        <v/>
      </c>
      <c r="I287" s="10"/>
      <c r="J287" s="10"/>
      <c r="K287" s="10" t="str">
        <f t="shared" si="21"/>
        <v/>
      </c>
      <c r="L287" s="10" t="str">
        <f t="shared" si="22"/>
        <v/>
      </c>
      <c r="M287" s="10" t="str">
        <f t="shared" si="23"/>
        <v/>
      </c>
      <c r="N287" s="10" t="str">
        <f t="shared" si="24"/>
        <v/>
      </c>
      <c r="O287" s="6"/>
      <c r="P287" s="6"/>
    </row>
    <row r="288" spans="1:16" x14ac:dyDescent="0.3">
      <c r="A288" s="6"/>
      <c r="B288" s="7"/>
      <c r="C288" s="6"/>
      <c r="D288" s="6"/>
      <c r="E288" s="6"/>
      <c r="F288" s="25"/>
      <c r="G288" s="25" t="str">
        <f>IF(A288="","",SUMIFS(Paradas_Detalhadas!$I:$I,Paradas_Detalhadas!$A:$A,A288,Paradas_Detalhadas!$B:$B,B288,Paradas_Detalhadas!$C:$C,C288,Paradas_Detalhadas!$D:$D,E288))</f>
        <v/>
      </c>
      <c r="H288" s="26" t="str">
        <f t="shared" si="20"/>
        <v/>
      </c>
      <c r="I288" s="10"/>
      <c r="J288" s="10"/>
      <c r="K288" s="10" t="str">
        <f t="shared" si="21"/>
        <v/>
      </c>
      <c r="L288" s="10" t="str">
        <f t="shared" si="22"/>
        <v/>
      </c>
      <c r="M288" s="10" t="str">
        <f t="shared" si="23"/>
        <v/>
      </c>
      <c r="N288" s="10" t="str">
        <f t="shared" si="24"/>
        <v/>
      </c>
      <c r="O288" s="6"/>
      <c r="P288" s="6"/>
    </row>
    <row r="289" spans="1:16" x14ac:dyDescent="0.3">
      <c r="A289" s="6"/>
      <c r="B289" s="7"/>
      <c r="C289" s="6"/>
      <c r="D289" s="6"/>
      <c r="E289" s="6"/>
      <c r="F289" s="25"/>
      <c r="G289" s="25" t="str">
        <f>IF(A289="","",SUMIFS(Paradas_Detalhadas!$I:$I,Paradas_Detalhadas!$A:$A,A289,Paradas_Detalhadas!$B:$B,B289,Paradas_Detalhadas!$C:$C,C289,Paradas_Detalhadas!$D:$D,E289))</f>
        <v/>
      </c>
      <c r="H289" s="26" t="str">
        <f t="shared" si="20"/>
        <v/>
      </c>
      <c r="I289" s="10"/>
      <c r="J289" s="10"/>
      <c r="K289" s="10" t="str">
        <f t="shared" si="21"/>
        <v/>
      </c>
      <c r="L289" s="10" t="str">
        <f t="shared" si="22"/>
        <v/>
      </c>
      <c r="M289" s="10" t="str">
        <f t="shared" si="23"/>
        <v/>
      </c>
      <c r="N289" s="10" t="str">
        <f t="shared" si="24"/>
        <v/>
      </c>
      <c r="O289" s="6"/>
      <c r="P289" s="6"/>
    </row>
    <row r="290" spans="1:16" x14ac:dyDescent="0.3">
      <c r="A290" s="6"/>
      <c r="B290" s="7"/>
      <c r="C290" s="6"/>
      <c r="D290" s="6"/>
      <c r="E290" s="6"/>
      <c r="F290" s="25"/>
      <c r="G290" s="25" t="str">
        <f>IF(A290="","",SUMIFS(Paradas_Detalhadas!$I:$I,Paradas_Detalhadas!$A:$A,A290,Paradas_Detalhadas!$B:$B,B290,Paradas_Detalhadas!$C:$C,C290,Paradas_Detalhadas!$D:$D,E290))</f>
        <v/>
      </c>
      <c r="H290" s="26" t="str">
        <f t="shared" si="20"/>
        <v/>
      </c>
      <c r="I290" s="10"/>
      <c r="J290" s="10"/>
      <c r="K290" s="10" t="str">
        <f t="shared" si="21"/>
        <v/>
      </c>
      <c r="L290" s="10" t="str">
        <f t="shared" si="22"/>
        <v/>
      </c>
      <c r="M290" s="10" t="str">
        <f t="shared" si="23"/>
        <v/>
      </c>
      <c r="N290" s="10" t="str">
        <f t="shared" si="24"/>
        <v/>
      </c>
      <c r="O290" s="6"/>
      <c r="P290" s="6"/>
    </row>
    <row r="291" spans="1:16" x14ac:dyDescent="0.3">
      <c r="A291" s="6"/>
      <c r="B291" s="7"/>
      <c r="C291" s="6"/>
      <c r="D291" s="6"/>
      <c r="E291" s="6"/>
      <c r="F291" s="25"/>
      <c r="G291" s="25" t="str">
        <f>IF(A291="","",SUMIFS(Paradas_Detalhadas!$I:$I,Paradas_Detalhadas!$A:$A,A291,Paradas_Detalhadas!$B:$B,B291,Paradas_Detalhadas!$C:$C,C291,Paradas_Detalhadas!$D:$D,E291))</f>
        <v/>
      </c>
      <c r="H291" s="26" t="str">
        <f t="shared" si="20"/>
        <v/>
      </c>
      <c r="I291" s="10"/>
      <c r="J291" s="10"/>
      <c r="K291" s="10" t="str">
        <f t="shared" si="21"/>
        <v/>
      </c>
      <c r="L291" s="10" t="str">
        <f t="shared" si="22"/>
        <v/>
      </c>
      <c r="M291" s="10" t="str">
        <f t="shared" si="23"/>
        <v/>
      </c>
      <c r="N291" s="10" t="str">
        <f t="shared" si="24"/>
        <v/>
      </c>
      <c r="O291" s="6"/>
      <c r="P291" s="6"/>
    </row>
    <row r="292" spans="1:16" x14ac:dyDescent="0.3">
      <c r="A292" s="6"/>
      <c r="B292" s="7"/>
      <c r="C292" s="6"/>
      <c r="D292" s="6"/>
      <c r="E292" s="6"/>
      <c r="F292" s="25"/>
      <c r="G292" s="25" t="str">
        <f>IF(A292="","",SUMIFS(Paradas_Detalhadas!$I:$I,Paradas_Detalhadas!$A:$A,A292,Paradas_Detalhadas!$B:$B,B292,Paradas_Detalhadas!$C:$C,C292,Paradas_Detalhadas!$D:$D,E292))</f>
        <v/>
      </c>
      <c r="H292" s="26" t="str">
        <f t="shared" si="20"/>
        <v/>
      </c>
      <c r="I292" s="10"/>
      <c r="J292" s="10"/>
      <c r="K292" s="10" t="str">
        <f t="shared" si="21"/>
        <v/>
      </c>
      <c r="L292" s="10" t="str">
        <f t="shared" si="22"/>
        <v/>
      </c>
      <c r="M292" s="10" t="str">
        <f t="shared" si="23"/>
        <v/>
      </c>
      <c r="N292" s="10" t="str">
        <f t="shared" si="24"/>
        <v/>
      </c>
      <c r="O292" s="6"/>
      <c r="P292" s="6"/>
    </row>
    <row r="293" spans="1:16" x14ac:dyDescent="0.3">
      <c r="A293" s="6"/>
      <c r="B293" s="7"/>
      <c r="C293" s="6"/>
      <c r="D293" s="6"/>
      <c r="E293" s="6"/>
      <c r="F293" s="25"/>
      <c r="G293" s="25" t="str">
        <f>IF(A293="","",SUMIFS(Paradas_Detalhadas!$I:$I,Paradas_Detalhadas!$A:$A,A293,Paradas_Detalhadas!$B:$B,B293,Paradas_Detalhadas!$C:$C,C293,Paradas_Detalhadas!$D:$D,E293))</f>
        <v/>
      </c>
      <c r="H293" s="26" t="str">
        <f t="shared" si="20"/>
        <v/>
      </c>
      <c r="I293" s="10"/>
      <c r="J293" s="10"/>
      <c r="K293" s="10" t="str">
        <f t="shared" si="21"/>
        <v/>
      </c>
      <c r="L293" s="10" t="str">
        <f t="shared" si="22"/>
        <v/>
      </c>
      <c r="M293" s="10" t="str">
        <f t="shared" si="23"/>
        <v/>
      </c>
      <c r="N293" s="10" t="str">
        <f t="shared" si="24"/>
        <v/>
      </c>
      <c r="O293" s="6"/>
      <c r="P293" s="6"/>
    </row>
    <row r="294" spans="1:16" x14ac:dyDescent="0.3">
      <c r="A294" s="6"/>
      <c r="B294" s="7"/>
      <c r="C294" s="6"/>
      <c r="D294" s="6"/>
      <c r="E294" s="6"/>
      <c r="F294" s="25"/>
      <c r="G294" s="25" t="str">
        <f>IF(A294="","",SUMIFS(Paradas_Detalhadas!$I:$I,Paradas_Detalhadas!$A:$A,A294,Paradas_Detalhadas!$B:$B,B294,Paradas_Detalhadas!$C:$C,C294,Paradas_Detalhadas!$D:$D,E294))</f>
        <v/>
      </c>
      <c r="H294" s="26" t="str">
        <f t="shared" si="20"/>
        <v/>
      </c>
      <c r="I294" s="10"/>
      <c r="J294" s="10"/>
      <c r="K294" s="10" t="str">
        <f t="shared" si="21"/>
        <v/>
      </c>
      <c r="L294" s="10" t="str">
        <f t="shared" si="22"/>
        <v/>
      </c>
      <c r="M294" s="10" t="str">
        <f t="shared" si="23"/>
        <v/>
      </c>
      <c r="N294" s="10" t="str">
        <f t="shared" si="24"/>
        <v/>
      </c>
      <c r="O294" s="6"/>
      <c r="P294" s="6"/>
    </row>
    <row r="295" spans="1:16" x14ac:dyDescent="0.3">
      <c r="A295" s="6"/>
      <c r="B295" s="7"/>
      <c r="C295" s="6"/>
      <c r="D295" s="6"/>
      <c r="E295" s="6"/>
      <c r="F295" s="25"/>
      <c r="G295" s="25" t="str">
        <f>IF(A295="","",SUMIFS(Paradas_Detalhadas!$I:$I,Paradas_Detalhadas!$A:$A,A295,Paradas_Detalhadas!$B:$B,B295,Paradas_Detalhadas!$C:$C,C295,Paradas_Detalhadas!$D:$D,E295))</f>
        <v/>
      </c>
      <c r="H295" s="26" t="str">
        <f t="shared" si="20"/>
        <v/>
      </c>
      <c r="I295" s="10"/>
      <c r="J295" s="10"/>
      <c r="K295" s="10" t="str">
        <f t="shared" si="21"/>
        <v/>
      </c>
      <c r="L295" s="10" t="str">
        <f t="shared" si="22"/>
        <v/>
      </c>
      <c r="M295" s="10" t="str">
        <f t="shared" si="23"/>
        <v/>
      </c>
      <c r="N295" s="10" t="str">
        <f t="shared" si="24"/>
        <v/>
      </c>
      <c r="O295" s="6"/>
      <c r="P295" s="6"/>
    </row>
    <row r="296" spans="1:16" x14ac:dyDescent="0.3">
      <c r="A296" s="6"/>
      <c r="B296" s="7"/>
      <c r="C296" s="6"/>
      <c r="D296" s="6"/>
      <c r="E296" s="6"/>
      <c r="F296" s="25"/>
      <c r="G296" s="25" t="str">
        <f>IF(A296="","",SUMIFS(Paradas_Detalhadas!$I:$I,Paradas_Detalhadas!$A:$A,A296,Paradas_Detalhadas!$B:$B,B296,Paradas_Detalhadas!$C:$C,C296,Paradas_Detalhadas!$D:$D,E296))</f>
        <v/>
      </c>
      <c r="H296" s="26" t="str">
        <f t="shared" si="20"/>
        <v/>
      </c>
      <c r="I296" s="10"/>
      <c r="J296" s="10"/>
      <c r="K296" s="10" t="str">
        <f t="shared" si="21"/>
        <v/>
      </c>
      <c r="L296" s="10" t="str">
        <f t="shared" si="22"/>
        <v/>
      </c>
      <c r="M296" s="10" t="str">
        <f t="shared" si="23"/>
        <v/>
      </c>
      <c r="N296" s="10" t="str">
        <f t="shared" si="24"/>
        <v/>
      </c>
      <c r="O296" s="6"/>
      <c r="P296" s="6"/>
    </row>
    <row r="297" spans="1:16" x14ac:dyDescent="0.3">
      <c r="A297" s="6"/>
      <c r="B297" s="7"/>
      <c r="C297" s="6"/>
      <c r="D297" s="6"/>
      <c r="E297" s="6"/>
      <c r="F297" s="25"/>
      <c r="G297" s="25" t="str">
        <f>IF(A297="","",SUMIFS(Paradas_Detalhadas!$I:$I,Paradas_Detalhadas!$A:$A,A297,Paradas_Detalhadas!$B:$B,B297,Paradas_Detalhadas!$C:$C,C297,Paradas_Detalhadas!$D:$D,E297))</f>
        <v/>
      </c>
      <c r="H297" s="26" t="str">
        <f t="shared" si="20"/>
        <v/>
      </c>
      <c r="I297" s="10"/>
      <c r="J297" s="10"/>
      <c r="K297" s="10" t="str">
        <f t="shared" si="21"/>
        <v/>
      </c>
      <c r="L297" s="10" t="str">
        <f t="shared" si="22"/>
        <v/>
      </c>
      <c r="M297" s="10" t="str">
        <f t="shared" si="23"/>
        <v/>
      </c>
      <c r="N297" s="10" t="str">
        <f t="shared" si="24"/>
        <v/>
      </c>
      <c r="O297" s="6"/>
      <c r="P297" s="6"/>
    </row>
    <row r="298" spans="1:16" x14ac:dyDescent="0.3">
      <c r="A298" s="6"/>
      <c r="B298" s="7"/>
      <c r="C298" s="6"/>
      <c r="D298" s="6"/>
      <c r="E298" s="6"/>
      <c r="F298" s="25"/>
      <c r="G298" s="25" t="str">
        <f>IF(A298="","",SUMIFS(Paradas_Detalhadas!$I:$I,Paradas_Detalhadas!$A:$A,A298,Paradas_Detalhadas!$B:$B,B298,Paradas_Detalhadas!$C:$C,C298,Paradas_Detalhadas!$D:$D,E298))</f>
        <v/>
      </c>
      <c r="H298" s="26" t="str">
        <f t="shared" si="20"/>
        <v/>
      </c>
      <c r="I298" s="10"/>
      <c r="J298" s="10"/>
      <c r="K298" s="10" t="str">
        <f t="shared" si="21"/>
        <v/>
      </c>
      <c r="L298" s="10" t="str">
        <f t="shared" si="22"/>
        <v/>
      </c>
      <c r="M298" s="10" t="str">
        <f t="shared" si="23"/>
        <v/>
      </c>
      <c r="N298" s="10" t="str">
        <f t="shared" si="24"/>
        <v/>
      </c>
      <c r="O298" s="6"/>
      <c r="P298" s="6"/>
    </row>
    <row r="299" spans="1:16" x14ac:dyDescent="0.3">
      <c r="A299" s="6"/>
      <c r="B299" s="7"/>
      <c r="C299" s="6"/>
      <c r="D299" s="6"/>
      <c r="E299" s="6"/>
      <c r="F299" s="25"/>
      <c r="G299" s="25" t="str">
        <f>IF(A299="","",SUMIFS(Paradas_Detalhadas!$I:$I,Paradas_Detalhadas!$A:$A,A299,Paradas_Detalhadas!$B:$B,B299,Paradas_Detalhadas!$C:$C,C299,Paradas_Detalhadas!$D:$D,E299))</f>
        <v/>
      </c>
      <c r="H299" s="26" t="str">
        <f t="shared" si="20"/>
        <v/>
      </c>
      <c r="I299" s="10"/>
      <c r="J299" s="10"/>
      <c r="K299" s="10" t="str">
        <f t="shared" si="21"/>
        <v/>
      </c>
      <c r="L299" s="10" t="str">
        <f t="shared" si="22"/>
        <v/>
      </c>
      <c r="M299" s="10" t="str">
        <f t="shared" si="23"/>
        <v/>
      </c>
      <c r="N299" s="10" t="str">
        <f t="shared" si="24"/>
        <v/>
      </c>
      <c r="O299" s="6"/>
      <c r="P299" s="6"/>
    </row>
    <row r="300" spans="1:16" x14ac:dyDescent="0.3">
      <c r="A300" s="6"/>
      <c r="B300" s="7"/>
      <c r="C300" s="6"/>
      <c r="D300" s="6"/>
      <c r="E300" s="6"/>
      <c r="F300" s="25"/>
      <c r="G300" s="25" t="str">
        <f>IF(A300="","",SUMIFS(Paradas_Detalhadas!$I:$I,Paradas_Detalhadas!$A:$A,A300,Paradas_Detalhadas!$B:$B,B300,Paradas_Detalhadas!$C:$C,C300,Paradas_Detalhadas!$D:$D,E300))</f>
        <v/>
      </c>
      <c r="H300" s="26" t="str">
        <f t="shared" si="20"/>
        <v/>
      </c>
      <c r="I300" s="10"/>
      <c r="J300" s="10"/>
      <c r="K300" s="10" t="str">
        <f t="shared" si="21"/>
        <v/>
      </c>
      <c r="L300" s="10" t="str">
        <f t="shared" si="22"/>
        <v/>
      </c>
      <c r="M300" s="10" t="str">
        <f t="shared" si="23"/>
        <v/>
      </c>
      <c r="N300" s="10" t="str">
        <f t="shared" si="24"/>
        <v/>
      </c>
      <c r="O300" s="6"/>
      <c r="P300" s="6"/>
    </row>
    <row r="301" spans="1:16" x14ac:dyDescent="0.3">
      <c r="A301" s="6"/>
      <c r="B301" s="7"/>
      <c r="C301" s="6"/>
      <c r="D301" s="6"/>
      <c r="E301" s="6"/>
      <c r="F301" s="25"/>
      <c r="G301" s="25" t="str">
        <f>IF(A301="","",SUMIFS(Paradas_Detalhadas!$I:$I,Paradas_Detalhadas!$A:$A,A301,Paradas_Detalhadas!$B:$B,B301,Paradas_Detalhadas!$C:$C,C301,Paradas_Detalhadas!$D:$D,E301))</f>
        <v/>
      </c>
      <c r="H301" s="26" t="str">
        <f t="shared" si="20"/>
        <v/>
      </c>
      <c r="I301" s="10"/>
      <c r="J301" s="10"/>
      <c r="K301" s="10" t="str">
        <f t="shared" si="21"/>
        <v/>
      </c>
      <c r="L301" s="10" t="str">
        <f t="shared" si="22"/>
        <v/>
      </c>
      <c r="M301" s="10" t="str">
        <f t="shared" si="23"/>
        <v/>
      </c>
      <c r="N301" s="10" t="str">
        <f t="shared" si="24"/>
        <v/>
      </c>
      <c r="O301" s="6"/>
      <c r="P301" s="6"/>
    </row>
    <row r="302" spans="1:16" x14ac:dyDescent="0.3">
      <c r="A302" s="6"/>
      <c r="B302" s="7"/>
      <c r="C302" s="6"/>
      <c r="D302" s="6"/>
      <c r="E302" s="6"/>
      <c r="F302" s="25"/>
      <c r="G302" s="25" t="str">
        <f>IF(A302="","",SUMIFS(Paradas_Detalhadas!$I:$I,Paradas_Detalhadas!$A:$A,A302,Paradas_Detalhadas!$B:$B,B302,Paradas_Detalhadas!$C:$C,C302,Paradas_Detalhadas!$D:$D,E302))</f>
        <v/>
      </c>
      <c r="H302" s="26" t="str">
        <f t="shared" ref="H302:H365" si="25">IF(OR(F302="",G302=""),"",MAX(F302-G302,0))</f>
        <v/>
      </c>
      <c r="I302" s="10"/>
      <c r="J302" s="10"/>
      <c r="K302" s="10" t="str">
        <f t="shared" ref="K302:K365" si="26">IF(AND(I302="",J302=""),"",SUM(I302:J302))</f>
        <v/>
      </c>
      <c r="L302" s="10" t="str">
        <f t="shared" ref="L302:L365" si="27">IFERROR(K302/H302,"")</f>
        <v/>
      </c>
      <c r="M302" s="10" t="str">
        <f t="shared" ref="M302:M365" si="28">IFERROR(I302/H302,"")</f>
        <v/>
      </c>
      <c r="N302" s="10" t="str">
        <f t="shared" ref="N302:N365" si="29">IFERROR(J302/H302,"")</f>
        <v/>
      </c>
      <c r="O302" s="6"/>
      <c r="P302" s="6"/>
    </row>
    <row r="303" spans="1:16" x14ac:dyDescent="0.3">
      <c r="A303" s="6"/>
      <c r="B303" s="7"/>
      <c r="C303" s="6"/>
      <c r="D303" s="6"/>
      <c r="E303" s="6"/>
      <c r="F303" s="25"/>
      <c r="G303" s="25" t="str">
        <f>IF(A303="","",SUMIFS(Paradas_Detalhadas!$I:$I,Paradas_Detalhadas!$A:$A,A303,Paradas_Detalhadas!$B:$B,B303,Paradas_Detalhadas!$C:$C,C303,Paradas_Detalhadas!$D:$D,E303))</f>
        <v/>
      </c>
      <c r="H303" s="26" t="str">
        <f t="shared" si="25"/>
        <v/>
      </c>
      <c r="I303" s="10"/>
      <c r="J303" s="10"/>
      <c r="K303" s="10" t="str">
        <f t="shared" si="26"/>
        <v/>
      </c>
      <c r="L303" s="10" t="str">
        <f t="shared" si="27"/>
        <v/>
      </c>
      <c r="M303" s="10" t="str">
        <f t="shared" si="28"/>
        <v/>
      </c>
      <c r="N303" s="10" t="str">
        <f t="shared" si="29"/>
        <v/>
      </c>
      <c r="O303" s="6"/>
      <c r="P303" s="6"/>
    </row>
    <row r="304" spans="1:16" x14ac:dyDescent="0.3">
      <c r="A304" s="6"/>
      <c r="B304" s="7"/>
      <c r="C304" s="6"/>
      <c r="D304" s="6"/>
      <c r="E304" s="6"/>
      <c r="F304" s="25"/>
      <c r="G304" s="25" t="str">
        <f>IF(A304="","",SUMIFS(Paradas_Detalhadas!$I:$I,Paradas_Detalhadas!$A:$A,A304,Paradas_Detalhadas!$B:$B,B304,Paradas_Detalhadas!$C:$C,C304,Paradas_Detalhadas!$D:$D,E304))</f>
        <v/>
      </c>
      <c r="H304" s="26" t="str">
        <f t="shared" si="25"/>
        <v/>
      </c>
      <c r="I304" s="10"/>
      <c r="J304" s="10"/>
      <c r="K304" s="10" t="str">
        <f t="shared" si="26"/>
        <v/>
      </c>
      <c r="L304" s="10" t="str">
        <f t="shared" si="27"/>
        <v/>
      </c>
      <c r="M304" s="10" t="str">
        <f t="shared" si="28"/>
        <v/>
      </c>
      <c r="N304" s="10" t="str">
        <f t="shared" si="29"/>
        <v/>
      </c>
      <c r="O304" s="6"/>
      <c r="P304" s="6"/>
    </row>
    <row r="305" spans="1:16" x14ac:dyDescent="0.3">
      <c r="A305" s="6"/>
      <c r="B305" s="7"/>
      <c r="C305" s="6"/>
      <c r="D305" s="6"/>
      <c r="E305" s="6"/>
      <c r="F305" s="25"/>
      <c r="G305" s="25" t="str">
        <f>IF(A305="","",SUMIFS(Paradas_Detalhadas!$I:$I,Paradas_Detalhadas!$A:$A,A305,Paradas_Detalhadas!$B:$B,B305,Paradas_Detalhadas!$C:$C,C305,Paradas_Detalhadas!$D:$D,E305))</f>
        <v/>
      </c>
      <c r="H305" s="26" t="str">
        <f t="shared" si="25"/>
        <v/>
      </c>
      <c r="I305" s="10"/>
      <c r="J305" s="10"/>
      <c r="K305" s="10" t="str">
        <f t="shared" si="26"/>
        <v/>
      </c>
      <c r="L305" s="10" t="str">
        <f t="shared" si="27"/>
        <v/>
      </c>
      <c r="M305" s="10" t="str">
        <f t="shared" si="28"/>
        <v/>
      </c>
      <c r="N305" s="10" t="str">
        <f t="shared" si="29"/>
        <v/>
      </c>
      <c r="O305" s="6"/>
      <c r="P305" s="6"/>
    </row>
    <row r="306" spans="1:16" x14ac:dyDescent="0.3">
      <c r="A306" s="6"/>
      <c r="B306" s="7"/>
      <c r="C306" s="6"/>
      <c r="D306" s="6"/>
      <c r="E306" s="6"/>
      <c r="F306" s="25"/>
      <c r="G306" s="25" t="str">
        <f>IF(A306="","",SUMIFS(Paradas_Detalhadas!$I:$I,Paradas_Detalhadas!$A:$A,A306,Paradas_Detalhadas!$B:$B,B306,Paradas_Detalhadas!$C:$C,C306,Paradas_Detalhadas!$D:$D,E306))</f>
        <v/>
      </c>
      <c r="H306" s="26" t="str">
        <f t="shared" si="25"/>
        <v/>
      </c>
      <c r="I306" s="10"/>
      <c r="J306" s="10"/>
      <c r="K306" s="10" t="str">
        <f t="shared" si="26"/>
        <v/>
      </c>
      <c r="L306" s="10" t="str">
        <f t="shared" si="27"/>
        <v/>
      </c>
      <c r="M306" s="10" t="str">
        <f t="shared" si="28"/>
        <v/>
      </c>
      <c r="N306" s="10" t="str">
        <f t="shared" si="29"/>
        <v/>
      </c>
      <c r="O306" s="6"/>
      <c r="P306" s="6"/>
    </row>
    <row r="307" spans="1:16" x14ac:dyDescent="0.3">
      <c r="A307" s="6"/>
      <c r="B307" s="7"/>
      <c r="C307" s="6"/>
      <c r="D307" s="6"/>
      <c r="E307" s="6"/>
      <c r="F307" s="25"/>
      <c r="G307" s="25" t="str">
        <f>IF(A307="","",SUMIFS(Paradas_Detalhadas!$I:$I,Paradas_Detalhadas!$A:$A,A307,Paradas_Detalhadas!$B:$B,B307,Paradas_Detalhadas!$C:$C,C307,Paradas_Detalhadas!$D:$D,E307))</f>
        <v/>
      </c>
      <c r="H307" s="26" t="str">
        <f t="shared" si="25"/>
        <v/>
      </c>
      <c r="I307" s="10"/>
      <c r="J307" s="10"/>
      <c r="K307" s="10" t="str">
        <f t="shared" si="26"/>
        <v/>
      </c>
      <c r="L307" s="10" t="str">
        <f t="shared" si="27"/>
        <v/>
      </c>
      <c r="M307" s="10" t="str">
        <f t="shared" si="28"/>
        <v/>
      </c>
      <c r="N307" s="10" t="str">
        <f t="shared" si="29"/>
        <v/>
      </c>
      <c r="O307" s="6"/>
      <c r="P307" s="6"/>
    </row>
    <row r="308" spans="1:16" x14ac:dyDescent="0.3">
      <c r="A308" s="6"/>
      <c r="B308" s="7"/>
      <c r="C308" s="6"/>
      <c r="D308" s="6"/>
      <c r="E308" s="6"/>
      <c r="F308" s="25"/>
      <c r="G308" s="25" t="str">
        <f>IF(A308="","",SUMIFS(Paradas_Detalhadas!$I:$I,Paradas_Detalhadas!$A:$A,A308,Paradas_Detalhadas!$B:$B,B308,Paradas_Detalhadas!$C:$C,C308,Paradas_Detalhadas!$D:$D,E308))</f>
        <v/>
      </c>
      <c r="H308" s="26" t="str">
        <f t="shared" si="25"/>
        <v/>
      </c>
      <c r="I308" s="10"/>
      <c r="J308" s="10"/>
      <c r="K308" s="10" t="str">
        <f t="shared" si="26"/>
        <v/>
      </c>
      <c r="L308" s="10" t="str">
        <f t="shared" si="27"/>
        <v/>
      </c>
      <c r="M308" s="10" t="str">
        <f t="shared" si="28"/>
        <v/>
      </c>
      <c r="N308" s="10" t="str">
        <f t="shared" si="29"/>
        <v/>
      </c>
      <c r="O308" s="6"/>
      <c r="P308" s="6"/>
    </row>
    <row r="309" spans="1:16" x14ac:dyDescent="0.3">
      <c r="A309" s="6"/>
      <c r="B309" s="7"/>
      <c r="C309" s="6"/>
      <c r="D309" s="6"/>
      <c r="E309" s="6"/>
      <c r="F309" s="25"/>
      <c r="G309" s="25" t="str">
        <f>IF(A309="","",SUMIFS(Paradas_Detalhadas!$I:$I,Paradas_Detalhadas!$A:$A,A309,Paradas_Detalhadas!$B:$B,B309,Paradas_Detalhadas!$C:$C,C309,Paradas_Detalhadas!$D:$D,E309))</f>
        <v/>
      </c>
      <c r="H309" s="26" t="str">
        <f t="shared" si="25"/>
        <v/>
      </c>
      <c r="I309" s="10"/>
      <c r="J309" s="10"/>
      <c r="K309" s="10" t="str">
        <f t="shared" si="26"/>
        <v/>
      </c>
      <c r="L309" s="10" t="str">
        <f t="shared" si="27"/>
        <v/>
      </c>
      <c r="M309" s="10" t="str">
        <f t="shared" si="28"/>
        <v/>
      </c>
      <c r="N309" s="10" t="str">
        <f t="shared" si="29"/>
        <v/>
      </c>
      <c r="O309" s="6"/>
      <c r="P309" s="6"/>
    </row>
    <row r="310" spans="1:16" x14ac:dyDescent="0.3">
      <c r="A310" s="6"/>
      <c r="B310" s="7"/>
      <c r="C310" s="6"/>
      <c r="D310" s="6"/>
      <c r="E310" s="6"/>
      <c r="F310" s="25"/>
      <c r="G310" s="25" t="str">
        <f>IF(A310="","",SUMIFS(Paradas_Detalhadas!$I:$I,Paradas_Detalhadas!$A:$A,A310,Paradas_Detalhadas!$B:$B,B310,Paradas_Detalhadas!$C:$C,C310,Paradas_Detalhadas!$D:$D,E310))</f>
        <v/>
      </c>
      <c r="H310" s="26" t="str">
        <f t="shared" si="25"/>
        <v/>
      </c>
      <c r="I310" s="10"/>
      <c r="J310" s="10"/>
      <c r="K310" s="10" t="str">
        <f t="shared" si="26"/>
        <v/>
      </c>
      <c r="L310" s="10" t="str">
        <f t="shared" si="27"/>
        <v/>
      </c>
      <c r="M310" s="10" t="str">
        <f t="shared" si="28"/>
        <v/>
      </c>
      <c r="N310" s="10" t="str">
        <f t="shared" si="29"/>
        <v/>
      </c>
      <c r="O310" s="6"/>
      <c r="P310" s="6"/>
    </row>
    <row r="311" spans="1:16" x14ac:dyDescent="0.3">
      <c r="A311" s="6"/>
      <c r="B311" s="7"/>
      <c r="C311" s="6"/>
      <c r="D311" s="6"/>
      <c r="E311" s="6"/>
      <c r="F311" s="25"/>
      <c r="G311" s="25" t="str">
        <f>IF(A311="","",SUMIFS(Paradas_Detalhadas!$I:$I,Paradas_Detalhadas!$A:$A,A311,Paradas_Detalhadas!$B:$B,B311,Paradas_Detalhadas!$C:$C,C311,Paradas_Detalhadas!$D:$D,E311))</f>
        <v/>
      </c>
      <c r="H311" s="26" t="str">
        <f t="shared" si="25"/>
        <v/>
      </c>
      <c r="I311" s="10"/>
      <c r="J311" s="10"/>
      <c r="K311" s="10" t="str">
        <f t="shared" si="26"/>
        <v/>
      </c>
      <c r="L311" s="10" t="str">
        <f t="shared" si="27"/>
        <v/>
      </c>
      <c r="M311" s="10" t="str">
        <f t="shared" si="28"/>
        <v/>
      </c>
      <c r="N311" s="10" t="str">
        <f t="shared" si="29"/>
        <v/>
      </c>
      <c r="O311" s="6"/>
      <c r="P311" s="6"/>
    </row>
    <row r="312" spans="1:16" x14ac:dyDescent="0.3">
      <c r="A312" s="6"/>
      <c r="B312" s="7"/>
      <c r="C312" s="6"/>
      <c r="D312" s="6"/>
      <c r="E312" s="6"/>
      <c r="F312" s="25"/>
      <c r="G312" s="25" t="str">
        <f>IF(A312="","",SUMIFS(Paradas_Detalhadas!$I:$I,Paradas_Detalhadas!$A:$A,A312,Paradas_Detalhadas!$B:$B,B312,Paradas_Detalhadas!$C:$C,C312,Paradas_Detalhadas!$D:$D,E312))</f>
        <v/>
      </c>
      <c r="H312" s="26" t="str">
        <f t="shared" si="25"/>
        <v/>
      </c>
      <c r="I312" s="10"/>
      <c r="J312" s="10"/>
      <c r="K312" s="10" t="str">
        <f t="shared" si="26"/>
        <v/>
      </c>
      <c r="L312" s="10" t="str">
        <f t="shared" si="27"/>
        <v/>
      </c>
      <c r="M312" s="10" t="str">
        <f t="shared" si="28"/>
        <v/>
      </c>
      <c r="N312" s="10" t="str">
        <f t="shared" si="29"/>
        <v/>
      </c>
      <c r="O312" s="6"/>
      <c r="P312" s="6"/>
    </row>
    <row r="313" spans="1:16" x14ac:dyDescent="0.3">
      <c r="A313" s="6"/>
      <c r="B313" s="7"/>
      <c r="C313" s="6"/>
      <c r="D313" s="6"/>
      <c r="E313" s="6"/>
      <c r="F313" s="25"/>
      <c r="G313" s="25" t="str">
        <f>IF(A313="","",SUMIFS(Paradas_Detalhadas!$I:$I,Paradas_Detalhadas!$A:$A,A313,Paradas_Detalhadas!$B:$B,B313,Paradas_Detalhadas!$C:$C,C313,Paradas_Detalhadas!$D:$D,E313))</f>
        <v/>
      </c>
      <c r="H313" s="26" t="str">
        <f t="shared" si="25"/>
        <v/>
      </c>
      <c r="I313" s="10"/>
      <c r="J313" s="10"/>
      <c r="K313" s="10" t="str">
        <f t="shared" si="26"/>
        <v/>
      </c>
      <c r="L313" s="10" t="str">
        <f t="shared" si="27"/>
        <v/>
      </c>
      <c r="M313" s="10" t="str">
        <f t="shared" si="28"/>
        <v/>
      </c>
      <c r="N313" s="10" t="str">
        <f t="shared" si="29"/>
        <v/>
      </c>
      <c r="O313" s="6"/>
      <c r="P313" s="6"/>
    </row>
    <row r="314" spans="1:16" x14ac:dyDescent="0.3">
      <c r="A314" s="6"/>
      <c r="B314" s="7"/>
      <c r="C314" s="6"/>
      <c r="D314" s="6"/>
      <c r="E314" s="6"/>
      <c r="F314" s="25"/>
      <c r="G314" s="25" t="str">
        <f>IF(A314="","",SUMIFS(Paradas_Detalhadas!$I:$I,Paradas_Detalhadas!$A:$A,A314,Paradas_Detalhadas!$B:$B,B314,Paradas_Detalhadas!$C:$C,C314,Paradas_Detalhadas!$D:$D,E314))</f>
        <v/>
      </c>
      <c r="H314" s="26" t="str">
        <f t="shared" si="25"/>
        <v/>
      </c>
      <c r="I314" s="10"/>
      <c r="J314" s="10"/>
      <c r="K314" s="10" t="str">
        <f t="shared" si="26"/>
        <v/>
      </c>
      <c r="L314" s="10" t="str">
        <f t="shared" si="27"/>
        <v/>
      </c>
      <c r="M314" s="10" t="str">
        <f t="shared" si="28"/>
        <v/>
      </c>
      <c r="N314" s="10" t="str">
        <f t="shared" si="29"/>
        <v/>
      </c>
      <c r="O314" s="6"/>
      <c r="P314" s="6"/>
    </row>
    <row r="315" spans="1:16" x14ac:dyDescent="0.3">
      <c r="A315" s="6"/>
      <c r="B315" s="7"/>
      <c r="C315" s="6"/>
      <c r="D315" s="6"/>
      <c r="E315" s="6"/>
      <c r="F315" s="25"/>
      <c r="G315" s="25" t="str">
        <f>IF(A315="","",SUMIFS(Paradas_Detalhadas!$I:$I,Paradas_Detalhadas!$A:$A,A315,Paradas_Detalhadas!$B:$B,B315,Paradas_Detalhadas!$C:$C,C315,Paradas_Detalhadas!$D:$D,E315))</f>
        <v/>
      </c>
      <c r="H315" s="26" t="str">
        <f t="shared" si="25"/>
        <v/>
      </c>
      <c r="I315" s="10"/>
      <c r="J315" s="10"/>
      <c r="K315" s="10" t="str">
        <f t="shared" si="26"/>
        <v/>
      </c>
      <c r="L315" s="10" t="str">
        <f t="shared" si="27"/>
        <v/>
      </c>
      <c r="M315" s="10" t="str">
        <f t="shared" si="28"/>
        <v/>
      </c>
      <c r="N315" s="10" t="str">
        <f t="shared" si="29"/>
        <v/>
      </c>
      <c r="O315" s="6"/>
      <c r="P315" s="6"/>
    </row>
    <row r="316" spans="1:16" x14ac:dyDescent="0.3">
      <c r="A316" s="6"/>
      <c r="B316" s="7"/>
      <c r="C316" s="6"/>
      <c r="D316" s="6"/>
      <c r="E316" s="6"/>
      <c r="F316" s="25"/>
      <c r="G316" s="25" t="str">
        <f>IF(A316="","",SUMIFS(Paradas_Detalhadas!$I:$I,Paradas_Detalhadas!$A:$A,A316,Paradas_Detalhadas!$B:$B,B316,Paradas_Detalhadas!$C:$C,C316,Paradas_Detalhadas!$D:$D,E316))</f>
        <v/>
      </c>
      <c r="H316" s="26" t="str">
        <f t="shared" si="25"/>
        <v/>
      </c>
      <c r="I316" s="10"/>
      <c r="J316" s="10"/>
      <c r="K316" s="10" t="str">
        <f t="shared" si="26"/>
        <v/>
      </c>
      <c r="L316" s="10" t="str">
        <f t="shared" si="27"/>
        <v/>
      </c>
      <c r="M316" s="10" t="str">
        <f t="shared" si="28"/>
        <v/>
      </c>
      <c r="N316" s="10" t="str">
        <f t="shared" si="29"/>
        <v/>
      </c>
      <c r="O316" s="6"/>
      <c r="P316" s="6"/>
    </row>
    <row r="317" spans="1:16" x14ac:dyDescent="0.3">
      <c r="A317" s="6"/>
      <c r="B317" s="7"/>
      <c r="C317" s="6"/>
      <c r="D317" s="6"/>
      <c r="E317" s="6"/>
      <c r="F317" s="25"/>
      <c r="G317" s="25" t="str">
        <f>IF(A317="","",SUMIFS(Paradas_Detalhadas!$I:$I,Paradas_Detalhadas!$A:$A,A317,Paradas_Detalhadas!$B:$B,B317,Paradas_Detalhadas!$C:$C,C317,Paradas_Detalhadas!$D:$D,E317))</f>
        <v/>
      </c>
      <c r="H317" s="26" t="str">
        <f t="shared" si="25"/>
        <v/>
      </c>
      <c r="I317" s="10"/>
      <c r="J317" s="10"/>
      <c r="K317" s="10" t="str">
        <f t="shared" si="26"/>
        <v/>
      </c>
      <c r="L317" s="10" t="str">
        <f t="shared" si="27"/>
        <v/>
      </c>
      <c r="M317" s="10" t="str">
        <f t="shared" si="28"/>
        <v/>
      </c>
      <c r="N317" s="10" t="str">
        <f t="shared" si="29"/>
        <v/>
      </c>
      <c r="O317" s="6"/>
      <c r="P317" s="6"/>
    </row>
    <row r="318" spans="1:16" x14ac:dyDescent="0.3">
      <c r="A318" s="6"/>
      <c r="B318" s="7"/>
      <c r="C318" s="6"/>
      <c r="D318" s="6"/>
      <c r="E318" s="6"/>
      <c r="F318" s="25"/>
      <c r="G318" s="25" t="str">
        <f>IF(A318="","",SUMIFS(Paradas_Detalhadas!$I:$I,Paradas_Detalhadas!$A:$A,A318,Paradas_Detalhadas!$B:$B,B318,Paradas_Detalhadas!$C:$C,C318,Paradas_Detalhadas!$D:$D,E318))</f>
        <v/>
      </c>
      <c r="H318" s="26" t="str">
        <f t="shared" si="25"/>
        <v/>
      </c>
      <c r="I318" s="10"/>
      <c r="J318" s="10"/>
      <c r="K318" s="10" t="str">
        <f t="shared" si="26"/>
        <v/>
      </c>
      <c r="L318" s="10" t="str">
        <f t="shared" si="27"/>
        <v/>
      </c>
      <c r="M318" s="10" t="str">
        <f t="shared" si="28"/>
        <v/>
      </c>
      <c r="N318" s="10" t="str">
        <f t="shared" si="29"/>
        <v/>
      </c>
      <c r="O318" s="6"/>
      <c r="P318" s="6"/>
    </row>
    <row r="319" spans="1:16" x14ac:dyDescent="0.3">
      <c r="A319" s="6"/>
      <c r="B319" s="7"/>
      <c r="C319" s="6"/>
      <c r="D319" s="6"/>
      <c r="E319" s="6"/>
      <c r="F319" s="25"/>
      <c r="G319" s="25" t="str">
        <f>IF(A319="","",SUMIFS(Paradas_Detalhadas!$I:$I,Paradas_Detalhadas!$A:$A,A319,Paradas_Detalhadas!$B:$B,B319,Paradas_Detalhadas!$C:$C,C319,Paradas_Detalhadas!$D:$D,E319))</f>
        <v/>
      </c>
      <c r="H319" s="26" t="str">
        <f t="shared" si="25"/>
        <v/>
      </c>
      <c r="I319" s="10"/>
      <c r="J319" s="10"/>
      <c r="K319" s="10" t="str">
        <f t="shared" si="26"/>
        <v/>
      </c>
      <c r="L319" s="10" t="str">
        <f t="shared" si="27"/>
        <v/>
      </c>
      <c r="M319" s="10" t="str">
        <f t="shared" si="28"/>
        <v/>
      </c>
      <c r="N319" s="10" t="str">
        <f t="shared" si="29"/>
        <v/>
      </c>
      <c r="O319" s="6"/>
      <c r="P319" s="6"/>
    </row>
    <row r="320" spans="1:16" x14ac:dyDescent="0.3">
      <c r="A320" s="6"/>
      <c r="B320" s="7"/>
      <c r="C320" s="6"/>
      <c r="D320" s="6"/>
      <c r="E320" s="6"/>
      <c r="F320" s="25"/>
      <c r="G320" s="25" t="str">
        <f>IF(A320="","",SUMIFS(Paradas_Detalhadas!$I:$I,Paradas_Detalhadas!$A:$A,A320,Paradas_Detalhadas!$B:$B,B320,Paradas_Detalhadas!$C:$C,C320,Paradas_Detalhadas!$D:$D,E320))</f>
        <v/>
      </c>
      <c r="H320" s="26" t="str">
        <f t="shared" si="25"/>
        <v/>
      </c>
      <c r="I320" s="10"/>
      <c r="J320" s="10"/>
      <c r="K320" s="10" t="str">
        <f t="shared" si="26"/>
        <v/>
      </c>
      <c r="L320" s="10" t="str">
        <f t="shared" si="27"/>
        <v/>
      </c>
      <c r="M320" s="10" t="str">
        <f t="shared" si="28"/>
        <v/>
      </c>
      <c r="N320" s="10" t="str">
        <f t="shared" si="29"/>
        <v/>
      </c>
      <c r="O320" s="6"/>
      <c r="P320" s="6"/>
    </row>
    <row r="321" spans="1:16" x14ac:dyDescent="0.3">
      <c r="A321" s="6"/>
      <c r="B321" s="7"/>
      <c r="C321" s="6"/>
      <c r="D321" s="6"/>
      <c r="E321" s="6"/>
      <c r="F321" s="25"/>
      <c r="G321" s="25" t="str">
        <f>IF(A321="","",SUMIFS(Paradas_Detalhadas!$I:$I,Paradas_Detalhadas!$A:$A,A321,Paradas_Detalhadas!$B:$B,B321,Paradas_Detalhadas!$C:$C,C321,Paradas_Detalhadas!$D:$D,E321))</f>
        <v/>
      </c>
      <c r="H321" s="26" t="str">
        <f t="shared" si="25"/>
        <v/>
      </c>
      <c r="I321" s="10"/>
      <c r="J321" s="10"/>
      <c r="K321" s="10" t="str">
        <f t="shared" si="26"/>
        <v/>
      </c>
      <c r="L321" s="10" t="str">
        <f t="shared" si="27"/>
        <v/>
      </c>
      <c r="M321" s="10" t="str">
        <f t="shared" si="28"/>
        <v/>
      </c>
      <c r="N321" s="10" t="str">
        <f t="shared" si="29"/>
        <v/>
      </c>
      <c r="O321" s="6"/>
      <c r="P321" s="6"/>
    </row>
    <row r="322" spans="1:16" x14ac:dyDescent="0.3">
      <c r="A322" s="6"/>
      <c r="B322" s="7"/>
      <c r="C322" s="6"/>
      <c r="D322" s="6"/>
      <c r="E322" s="6"/>
      <c r="F322" s="25"/>
      <c r="G322" s="25" t="str">
        <f>IF(A322="","",SUMIFS(Paradas_Detalhadas!$I:$I,Paradas_Detalhadas!$A:$A,A322,Paradas_Detalhadas!$B:$B,B322,Paradas_Detalhadas!$C:$C,C322,Paradas_Detalhadas!$D:$D,E322))</f>
        <v/>
      </c>
      <c r="H322" s="26" t="str">
        <f t="shared" si="25"/>
        <v/>
      </c>
      <c r="I322" s="10"/>
      <c r="J322" s="10"/>
      <c r="K322" s="10" t="str">
        <f t="shared" si="26"/>
        <v/>
      </c>
      <c r="L322" s="10" t="str">
        <f t="shared" si="27"/>
        <v/>
      </c>
      <c r="M322" s="10" t="str">
        <f t="shared" si="28"/>
        <v/>
      </c>
      <c r="N322" s="10" t="str">
        <f t="shared" si="29"/>
        <v/>
      </c>
      <c r="O322" s="6"/>
      <c r="P322" s="6"/>
    </row>
    <row r="323" spans="1:16" x14ac:dyDescent="0.3">
      <c r="A323" s="6"/>
      <c r="B323" s="7"/>
      <c r="C323" s="6"/>
      <c r="D323" s="6"/>
      <c r="E323" s="6"/>
      <c r="F323" s="25"/>
      <c r="G323" s="25" t="str">
        <f>IF(A323="","",SUMIFS(Paradas_Detalhadas!$I:$I,Paradas_Detalhadas!$A:$A,A323,Paradas_Detalhadas!$B:$B,B323,Paradas_Detalhadas!$C:$C,C323,Paradas_Detalhadas!$D:$D,E323))</f>
        <v/>
      </c>
      <c r="H323" s="26" t="str">
        <f t="shared" si="25"/>
        <v/>
      </c>
      <c r="I323" s="10"/>
      <c r="J323" s="10"/>
      <c r="K323" s="10" t="str">
        <f t="shared" si="26"/>
        <v/>
      </c>
      <c r="L323" s="10" t="str">
        <f t="shared" si="27"/>
        <v/>
      </c>
      <c r="M323" s="10" t="str">
        <f t="shared" si="28"/>
        <v/>
      </c>
      <c r="N323" s="10" t="str">
        <f t="shared" si="29"/>
        <v/>
      </c>
      <c r="O323" s="6"/>
      <c r="P323" s="6"/>
    </row>
    <row r="324" spans="1:16" x14ac:dyDescent="0.3">
      <c r="A324" s="6"/>
      <c r="B324" s="7"/>
      <c r="C324" s="6"/>
      <c r="D324" s="6"/>
      <c r="E324" s="6"/>
      <c r="F324" s="25"/>
      <c r="G324" s="25" t="str">
        <f>IF(A324="","",SUMIFS(Paradas_Detalhadas!$I:$I,Paradas_Detalhadas!$A:$A,A324,Paradas_Detalhadas!$B:$B,B324,Paradas_Detalhadas!$C:$C,C324,Paradas_Detalhadas!$D:$D,E324))</f>
        <v/>
      </c>
      <c r="H324" s="26" t="str">
        <f t="shared" si="25"/>
        <v/>
      </c>
      <c r="I324" s="10"/>
      <c r="J324" s="10"/>
      <c r="K324" s="10" t="str">
        <f t="shared" si="26"/>
        <v/>
      </c>
      <c r="L324" s="10" t="str">
        <f t="shared" si="27"/>
        <v/>
      </c>
      <c r="M324" s="10" t="str">
        <f t="shared" si="28"/>
        <v/>
      </c>
      <c r="N324" s="10" t="str">
        <f t="shared" si="29"/>
        <v/>
      </c>
      <c r="O324" s="6"/>
      <c r="P324" s="6"/>
    </row>
    <row r="325" spans="1:16" x14ac:dyDescent="0.3">
      <c r="A325" s="6"/>
      <c r="B325" s="7"/>
      <c r="C325" s="6"/>
      <c r="D325" s="6"/>
      <c r="E325" s="6"/>
      <c r="F325" s="25"/>
      <c r="G325" s="25" t="str">
        <f>IF(A325="","",SUMIFS(Paradas_Detalhadas!$I:$I,Paradas_Detalhadas!$A:$A,A325,Paradas_Detalhadas!$B:$B,B325,Paradas_Detalhadas!$C:$C,C325,Paradas_Detalhadas!$D:$D,E325))</f>
        <v/>
      </c>
      <c r="H325" s="26" t="str">
        <f t="shared" si="25"/>
        <v/>
      </c>
      <c r="I325" s="10"/>
      <c r="J325" s="10"/>
      <c r="K325" s="10" t="str">
        <f t="shared" si="26"/>
        <v/>
      </c>
      <c r="L325" s="10" t="str">
        <f t="shared" si="27"/>
        <v/>
      </c>
      <c r="M325" s="10" t="str">
        <f t="shared" si="28"/>
        <v/>
      </c>
      <c r="N325" s="10" t="str">
        <f t="shared" si="29"/>
        <v/>
      </c>
      <c r="O325" s="6"/>
      <c r="P325" s="6"/>
    </row>
    <row r="326" spans="1:16" x14ac:dyDescent="0.3">
      <c r="A326" s="6"/>
      <c r="B326" s="7"/>
      <c r="C326" s="6"/>
      <c r="D326" s="6"/>
      <c r="E326" s="6"/>
      <c r="F326" s="25"/>
      <c r="G326" s="25" t="str">
        <f>IF(A326="","",SUMIFS(Paradas_Detalhadas!$I:$I,Paradas_Detalhadas!$A:$A,A326,Paradas_Detalhadas!$B:$B,B326,Paradas_Detalhadas!$C:$C,C326,Paradas_Detalhadas!$D:$D,E326))</f>
        <v/>
      </c>
      <c r="H326" s="26" t="str">
        <f t="shared" si="25"/>
        <v/>
      </c>
      <c r="I326" s="10"/>
      <c r="J326" s="10"/>
      <c r="K326" s="10" t="str">
        <f t="shared" si="26"/>
        <v/>
      </c>
      <c r="L326" s="10" t="str">
        <f t="shared" si="27"/>
        <v/>
      </c>
      <c r="M326" s="10" t="str">
        <f t="shared" si="28"/>
        <v/>
      </c>
      <c r="N326" s="10" t="str">
        <f t="shared" si="29"/>
        <v/>
      </c>
      <c r="O326" s="6"/>
      <c r="P326" s="6"/>
    </row>
    <row r="327" spans="1:16" x14ac:dyDescent="0.3">
      <c r="A327" s="6"/>
      <c r="B327" s="7"/>
      <c r="C327" s="6"/>
      <c r="D327" s="6"/>
      <c r="E327" s="6"/>
      <c r="F327" s="25"/>
      <c r="G327" s="25" t="str">
        <f>IF(A327="","",SUMIFS(Paradas_Detalhadas!$I:$I,Paradas_Detalhadas!$A:$A,A327,Paradas_Detalhadas!$B:$B,B327,Paradas_Detalhadas!$C:$C,C327,Paradas_Detalhadas!$D:$D,E327))</f>
        <v/>
      </c>
      <c r="H327" s="26" t="str">
        <f t="shared" si="25"/>
        <v/>
      </c>
      <c r="I327" s="10"/>
      <c r="J327" s="10"/>
      <c r="K327" s="10" t="str">
        <f t="shared" si="26"/>
        <v/>
      </c>
      <c r="L327" s="10" t="str">
        <f t="shared" si="27"/>
        <v/>
      </c>
      <c r="M327" s="10" t="str">
        <f t="shared" si="28"/>
        <v/>
      </c>
      <c r="N327" s="10" t="str">
        <f t="shared" si="29"/>
        <v/>
      </c>
      <c r="O327" s="6"/>
      <c r="P327" s="6"/>
    </row>
    <row r="328" spans="1:16" x14ac:dyDescent="0.3">
      <c r="A328" s="6"/>
      <c r="B328" s="7"/>
      <c r="C328" s="6"/>
      <c r="D328" s="6"/>
      <c r="E328" s="6"/>
      <c r="F328" s="25"/>
      <c r="G328" s="25" t="str">
        <f>IF(A328="","",SUMIFS(Paradas_Detalhadas!$I:$I,Paradas_Detalhadas!$A:$A,A328,Paradas_Detalhadas!$B:$B,B328,Paradas_Detalhadas!$C:$C,C328,Paradas_Detalhadas!$D:$D,E328))</f>
        <v/>
      </c>
      <c r="H328" s="26" t="str">
        <f t="shared" si="25"/>
        <v/>
      </c>
      <c r="I328" s="10"/>
      <c r="J328" s="10"/>
      <c r="K328" s="10" t="str">
        <f t="shared" si="26"/>
        <v/>
      </c>
      <c r="L328" s="10" t="str">
        <f t="shared" si="27"/>
        <v/>
      </c>
      <c r="M328" s="10" t="str">
        <f t="shared" si="28"/>
        <v/>
      </c>
      <c r="N328" s="10" t="str">
        <f t="shared" si="29"/>
        <v/>
      </c>
      <c r="O328" s="6"/>
      <c r="P328" s="6"/>
    </row>
    <row r="329" spans="1:16" x14ac:dyDescent="0.3">
      <c r="A329" s="6"/>
      <c r="B329" s="7"/>
      <c r="C329" s="6"/>
      <c r="D329" s="6"/>
      <c r="E329" s="6"/>
      <c r="F329" s="25"/>
      <c r="G329" s="25" t="str">
        <f>IF(A329="","",SUMIFS(Paradas_Detalhadas!$I:$I,Paradas_Detalhadas!$A:$A,A329,Paradas_Detalhadas!$B:$B,B329,Paradas_Detalhadas!$C:$C,C329,Paradas_Detalhadas!$D:$D,E329))</f>
        <v/>
      </c>
      <c r="H329" s="26" t="str">
        <f t="shared" si="25"/>
        <v/>
      </c>
      <c r="I329" s="10"/>
      <c r="J329" s="10"/>
      <c r="K329" s="10" t="str">
        <f t="shared" si="26"/>
        <v/>
      </c>
      <c r="L329" s="10" t="str">
        <f t="shared" si="27"/>
        <v/>
      </c>
      <c r="M329" s="10" t="str">
        <f t="shared" si="28"/>
        <v/>
      </c>
      <c r="N329" s="10" t="str">
        <f t="shared" si="29"/>
        <v/>
      </c>
      <c r="O329" s="6"/>
      <c r="P329" s="6"/>
    </row>
    <row r="330" spans="1:16" x14ac:dyDescent="0.3">
      <c r="A330" s="6"/>
      <c r="B330" s="7"/>
      <c r="C330" s="6"/>
      <c r="D330" s="6"/>
      <c r="E330" s="6"/>
      <c r="F330" s="25"/>
      <c r="G330" s="25" t="str">
        <f>IF(A330="","",SUMIFS(Paradas_Detalhadas!$I:$I,Paradas_Detalhadas!$A:$A,A330,Paradas_Detalhadas!$B:$B,B330,Paradas_Detalhadas!$C:$C,C330,Paradas_Detalhadas!$D:$D,E330))</f>
        <v/>
      </c>
      <c r="H330" s="26" t="str">
        <f t="shared" si="25"/>
        <v/>
      </c>
      <c r="I330" s="10"/>
      <c r="J330" s="10"/>
      <c r="K330" s="10" t="str">
        <f t="shared" si="26"/>
        <v/>
      </c>
      <c r="L330" s="10" t="str">
        <f t="shared" si="27"/>
        <v/>
      </c>
      <c r="M330" s="10" t="str">
        <f t="shared" si="28"/>
        <v/>
      </c>
      <c r="N330" s="10" t="str">
        <f t="shared" si="29"/>
        <v/>
      </c>
      <c r="O330" s="6"/>
      <c r="P330" s="6"/>
    </row>
    <row r="331" spans="1:16" x14ac:dyDescent="0.3">
      <c r="A331" s="6"/>
      <c r="B331" s="7"/>
      <c r="C331" s="6"/>
      <c r="D331" s="6"/>
      <c r="E331" s="6"/>
      <c r="F331" s="25"/>
      <c r="G331" s="25" t="str">
        <f>IF(A331="","",SUMIFS(Paradas_Detalhadas!$I:$I,Paradas_Detalhadas!$A:$A,A331,Paradas_Detalhadas!$B:$B,B331,Paradas_Detalhadas!$C:$C,C331,Paradas_Detalhadas!$D:$D,E331))</f>
        <v/>
      </c>
      <c r="H331" s="26" t="str">
        <f t="shared" si="25"/>
        <v/>
      </c>
      <c r="I331" s="10"/>
      <c r="J331" s="10"/>
      <c r="K331" s="10" t="str">
        <f t="shared" si="26"/>
        <v/>
      </c>
      <c r="L331" s="10" t="str">
        <f t="shared" si="27"/>
        <v/>
      </c>
      <c r="M331" s="10" t="str">
        <f t="shared" si="28"/>
        <v/>
      </c>
      <c r="N331" s="10" t="str">
        <f t="shared" si="29"/>
        <v/>
      </c>
      <c r="O331" s="6"/>
      <c r="P331" s="6"/>
    </row>
    <row r="332" spans="1:16" x14ac:dyDescent="0.3">
      <c r="A332" s="6"/>
      <c r="B332" s="7"/>
      <c r="C332" s="6"/>
      <c r="D332" s="6"/>
      <c r="E332" s="6"/>
      <c r="F332" s="25"/>
      <c r="G332" s="25" t="str">
        <f>IF(A332="","",SUMIFS(Paradas_Detalhadas!$I:$I,Paradas_Detalhadas!$A:$A,A332,Paradas_Detalhadas!$B:$B,B332,Paradas_Detalhadas!$C:$C,C332,Paradas_Detalhadas!$D:$D,E332))</f>
        <v/>
      </c>
      <c r="H332" s="26" t="str">
        <f t="shared" si="25"/>
        <v/>
      </c>
      <c r="I332" s="10"/>
      <c r="J332" s="10"/>
      <c r="K332" s="10" t="str">
        <f t="shared" si="26"/>
        <v/>
      </c>
      <c r="L332" s="10" t="str">
        <f t="shared" si="27"/>
        <v/>
      </c>
      <c r="M332" s="10" t="str">
        <f t="shared" si="28"/>
        <v/>
      </c>
      <c r="N332" s="10" t="str">
        <f t="shared" si="29"/>
        <v/>
      </c>
      <c r="O332" s="6"/>
      <c r="P332" s="6"/>
    </row>
    <row r="333" spans="1:16" x14ac:dyDescent="0.3">
      <c r="A333" s="6"/>
      <c r="B333" s="7"/>
      <c r="C333" s="6"/>
      <c r="D333" s="6"/>
      <c r="E333" s="6"/>
      <c r="F333" s="25"/>
      <c r="G333" s="25" t="str">
        <f>IF(A333="","",SUMIFS(Paradas_Detalhadas!$I:$I,Paradas_Detalhadas!$A:$A,A333,Paradas_Detalhadas!$B:$B,B333,Paradas_Detalhadas!$C:$C,C333,Paradas_Detalhadas!$D:$D,E333))</f>
        <v/>
      </c>
      <c r="H333" s="26" t="str">
        <f t="shared" si="25"/>
        <v/>
      </c>
      <c r="I333" s="10"/>
      <c r="J333" s="10"/>
      <c r="K333" s="10" t="str">
        <f t="shared" si="26"/>
        <v/>
      </c>
      <c r="L333" s="10" t="str">
        <f t="shared" si="27"/>
        <v/>
      </c>
      <c r="M333" s="10" t="str">
        <f t="shared" si="28"/>
        <v/>
      </c>
      <c r="N333" s="10" t="str">
        <f t="shared" si="29"/>
        <v/>
      </c>
      <c r="O333" s="6"/>
      <c r="P333" s="6"/>
    </row>
    <row r="334" spans="1:16" x14ac:dyDescent="0.3">
      <c r="A334" s="6"/>
      <c r="B334" s="7"/>
      <c r="C334" s="6"/>
      <c r="D334" s="6"/>
      <c r="E334" s="6"/>
      <c r="F334" s="25"/>
      <c r="G334" s="25" t="str">
        <f>IF(A334="","",SUMIFS(Paradas_Detalhadas!$I:$I,Paradas_Detalhadas!$A:$A,A334,Paradas_Detalhadas!$B:$B,B334,Paradas_Detalhadas!$C:$C,C334,Paradas_Detalhadas!$D:$D,E334))</f>
        <v/>
      </c>
      <c r="H334" s="26" t="str">
        <f t="shared" si="25"/>
        <v/>
      </c>
      <c r="I334" s="10"/>
      <c r="J334" s="10"/>
      <c r="K334" s="10" t="str">
        <f t="shared" si="26"/>
        <v/>
      </c>
      <c r="L334" s="10" t="str">
        <f t="shared" si="27"/>
        <v/>
      </c>
      <c r="M334" s="10" t="str">
        <f t="shared" si="28"/>
        <v/>
      </c>
      <c r="N334" s="10" t="str">
        <f t="shared" si="29"/>
        <v/>
      </c>
      <c r="O334" s="6"/>
      <c r="P334" s="6"/>
    </row>
    <row r="335" spans="1:16" x14ac:dyDescent="0.3">
      <c r="A335" s="6"/>
      <c r="B335" s="7"/>
      <c r="C335" s="6"/>
      <c r="D335" s="6"/>
      <c r="E335" s="6"/>
      <c r="F335" s="25"/>
      <c r="G335" s="25" t="str">
        <f>IF(A335="","",SUMIFS(Paradas_Detalhadas!$I:$I,Paradas_Detalhadas!$A:$A,A335,Paradas_Detalhadas!$B:$B,B335,Paradas_Detalhadas!$C:$C,C335,Paradas_Detalhadas!$D:$D,E335))</f>
        <v/>
      </c>
      <c r="H335" s="26" t="str">
        <f t="shared" si="25"/>
        <v/>
      </c>
      <c r="I335" s="10"/>
      <c r="J335" s="10"/>
      <c r="K335" s="10" t="str">
        <f t="shared" si="26"/>
        <v/>
      </c>
      <c r="L335" s="10" t="str">
        <f t="shared" si="27"/>
        <v/>
      </c>
      <c r="M335" s="10" t="str">
        <f t="shared" si="28"/>
        <v/>
      </c>
      <c r="N335" s="10" t="str">
        <f t="shared" si="29"/>
        <v/>
      </c>
      <c r="O335" s="6"/>
      <c r="P335" s="6"/>
    </row>
    <row r="336" spans="1:16" x14ac:dyDescent="0.3">
      <c r="A336" s="6"/>
      <c r="B336" s="7"/>
      <c r="C336" s="6"/>
      <c r="D336" s="6"/>
      <c r="E336" s="6"/>
      <c r="F336" s="25"/>
      <c r="G336" s="25" t="str">
        <f>IF(A336="","",SUMIFS(Paradas_Detalhadas!$I:$I,Paradas_Detalhadas!$A:$A,A336,Paradas_Detalhadas!$B:$B,B336,Paradas_Detalhadas!$C:$C,C336,Paradas_Detalhadas!$D:$D,E336))</f>
        <v/>
      </c>
      <c r="H336" s="26" t="str">
        <f t="shared" si="25"/>
        <v/>
      </c>
      <c r="I336" s="10"/>
      <c r="J336" s="10"/>
      <c r="K336" s="10" t="str">
        <f t="shared" si="26"/>
        <v/>
      </c>
      <c r="L336" s="10" t="str">
        <f t="shared" si="27"/>
        <v/>
      </c>
      <c r="M336" s="10" t="str">
        <f t="shared" si="28"/>
        <v/>
      </c>
      <c r="N336" s="10" t="str">
        <f t="shared" si="29"/>
        <v/>
      </c>
      <c r="O336" s="6"/>
      <c r="P336" s="6"/>
    </row>
    <row r="337" spans="1:16" x14ac:dyDescent="0.3">
      <c r="A337" s="6"/>
      <c r="B337" s="7"/>
      <c r="C337" s="6"/>
      <c r="D337" s="6"/>
      <c r="E337" s="6"/>
      <c r="F337" s="25"/>
      <c r="G337" s="25" t="str">
        <f>IF(A337="","",SUMIFS(Paradas_Detalhadas!$I:$I,Paradas_Detalhadas!$A:$A,A337,Paradas_Detalhadas!$B:$B,B337,Paradas_Detalhadas!$C:$C,C337,Paradas_Detalhadas!$D:$D,E337))</f>
        <v/>
      </c>
      <c r="H337" s="26" t="str">
        <f t="shared" si="25"/>
        <v/>
      </c>
      <c r="I337" s="10"/>
      <c r="J337" s="10"/>
      <c r="K337" s="10" t="str">
        <f t="shared" si="26"/>
        <v/>
      </c>
      <c r="L337" s="10" t="str">
        <f t="shared" si="27"/>
        <v/>
      </c>
      <c r="M337" s="10" t="str">
        <f t="shared" si="28"/>
        <v/>
      </c>
      <c r="N337" s="10" t="str">
        <f t="shared" si="29"/>
        <v/>
      </c>
      <c r="O337" s="6"/>
      <c r="P337" s="6"/>
    </row>
    <row r="338" spans="1:16" x14ac:dyDescent="0.3">
      <c r="A338" s="6"/>
      <c r="B338" s="7"/>
      <c r="C338" s="6"/>
      <c r="D338" s="6"/>
      <c r="E338" s="6"/>
      <c r="F338" s="25"/>
      <c r="G338" s="25" t="str">
        <f>IF(A338="","",SUMIFS(Paradas_Detalhadas!$I:$I,Paradas_Detalhadas!$A:$A,A338,Paradas_Detalhadas!$B:$B,B338,Paradas_Detalhadas!$C:$C,C338,Paradas_Detalhadas!$D:$D,E338))</f>
        <v/>
      </c>
      <c r="H338" s="26" t="str">
        <f t="shared" si="25"/>
        <v/>
      </c>
      <c r="I338" s="10"/>
      <c r="J338" s="10"/>
      <c r="K338" s="10" t="str">
        <f t="shared" si="26"/>
        <v/>
      </c>
      <c r="L338" s="10" t="str">
        <f t="shared" si="27"/>
        <v/>
      </c>
      <c r="M338" s="10" t="str">
        <f t="shared" si="28"/>
        <v/>
      </c>
      <c r="N338" s="10" t="str">
        <f t="shared" si="29"/>
        <v/>
      </c>
      <c r="O338" s="6"/>
      <c r="P338" s="6"/>
    </row>
    <row r="339" spans="1:16" x14ac:dyDescent="0.3">
      <c r="A339" s="6"/>
      <c r="B339" s="7"/>
      <c r="C339" s="6"/>
      <c r="D339" s="6"/>
      <c r="E339" s="6"/>
      <c r="F339" s="25"/>
      <c r="G339" s="25" t="str">
        <f>IF(A339="","",SUMIFS(Paradas_Detalhadas!$I:$I,Paradas_Detalhadas!$A:$A,A339,Paradas_Detalhadas!$B:$B,B339,Paradas_Detalhadas!$C:$C,C339,Paradas_Detalhadas!$D:$D,E339))</f>
        <v/>
      </c>
      <c r="H339" s="26" t="str">
        <f t="shared" si="25"/>
        <v/>
      </c>
      <c r="I339" s="10"/>
      <c r="J339" s="10"/>
      <c r="K339" s="10" t="str">
        <f t="shared" si="26"/>
        <v/>
      </c>
      <c r="L339" s="10" t="str">
        <f t="shared" si="27"/>
        <v/>
      </c>
      <c r="M339" s="10" t="str">
        <f t="shared" si="28"/>
        <v/>
      </c>
      <c r="N339" s="10" t="str">
        <f t="shared" si="29"/>
        <v/>
      </c>
      <c r="O339" s="6"/>
      <c r="P339" s="6"/>
    </row>
    <row r="340" spans="1:16" x14ac:dyDescent="0.3">
      <c r="A340" s="6"/>
      <c r="B340" s="7"/>
      <c r="C340" s="6"/>
      <c r="D340" s="6"/>
      <c r="E340" s="6"/>
      <c r="F340" s="25"/>
      <c r="G340" s="25" t="str">
        <f>IF(A340="","",SUMIFS(Paradas_Detalhadas!$I:$I,Paradas_Detalhadas!$A:$A,A340,Paradas_Detalhadas!$B:$B,B340,Paradas_Detalhadas!$C:$C,C340,Paradas_Detalhadas!$D:$D,E340))</f>
        <v/>
      </c>
      <c r="H340" s="26" t="str">
        <f t="shared" si="25"/>
        <v/>
      </c>
      <c r="I340" s="10"/>
      <c r="J340" s="10"/>
      <c r="K340" s="10" t="str">
        <f t="shared" si="26"/>
        <v/>
      </c>
      <c r="L340" s="10" t="str">
        <f t="shared" si="27"/>
        <v/>
      </c>
      <c r="M340" s="10" t="str">
        <f t="shared" si="28"/>
        <v/>
      </c>
      <c r="N340" s="10" t="str">
        <f t="shared" si="29"/>
        <v/>
      </c>
      <c r="O340" s="6"/>
      <c r="P340" s="6"/>
    </row>
    <row r="341" spans="1:16" x14ac:dyDescent="0.3">
      <c r="A341" s="6"/>
      <c r="B341" s="7"/>
      <c r="C341" s="6"/>
      <c r="D341" s="6"/>
      <c r="E341" s="6"/>
      <c r="F341" s="25"/>
      <c r="G341" s="25" t="str">
        <f>IF(A341="","",SUMIFS(Paradas_Detalhadas!$I:$I,Paradas_Detalhadas!$A:$A,A341,Paradas_Detalhadas!$B:$B,B341,Paradas_Detalhadas!$C:$C,C341,Paradas_Detalhadas!$D:$D,E341))</f>
        <v/>
      </c>
      <c r="H341" s="26" t="str">
        <f t="shared" si="25"/>
        <v/>
      </c>
      <c r="I341" s="10"/>
      <c r="J341" s="10"/>
      <c r="K341" s="10" t="str">
        <f t="shared" si="26"/>
        <v/>
      </c>
      <c r="L341" s="10" t="str">
        <f t="shared" si="27"/>
        <v/>
      </c>
      <c r="M341" s="10" t="str">
        <f t="shared" si="28"/>
        <v/>
      </c>
      <c r="N341" s="10" t="str">
        <f t="shared" si="29"/>
        <v/>
      </c>
      <c r="O341" s="6"/>
      <c r="P341" s="6"/>
    </row>
    <row r="342" spans="1:16" x14ac:dyDescent="0.3">
      <c r="A342" s="6"/>
      <c r="B342" s="7"/>
      <c r="C342" s="6"/>
      <c r="D342" s="6"/>
      <c r="E342" s="6"/>
      <c r="F342" s="25"/>
      <c r="G342" s="25" t="str">
        <f>IF(A342="","",SUMIFS(Paradas_Detalhadas!$I:$I,Paradas_Detalhadas!$A:$A,A342,Paradas_Detalhadas!$B:$B,B342,Paradas_Detalhadas!$C:$C,C342,Paradas_Detalhadas!$D:$D,E342))</f>
        <v/>
      </c>
      <c r="H342" s="26" t="str">
        <f t="shared" si="25"/>
        <v/>
      </c>
      <c r="I342" s="10"/>
      <c r="J342" s="10"/>
      <c r="K342" s="10" t="str">
        <f t="shared" si="26"/>
        <v/>
      </c>
      <c r="L342" s="10" t="str">
        <f t="shared" si="27"/>
        <v/>
      </c>
      <c r="M342" s="10" t="str">
        <f t="shared" si="28"/>
        <v/>
      </c>
      <c r="N342" s="10" t="str">
        <f t="shared" si="29"/>
        <v/>
      </c>
      <c r="O342" s="6"/>
      <c r="P342" s="6"/>
    </row>
    <row r="343" spans="1:16" x14ac:dyDescent="0.3">
      <c r="A343" s="6"/>
      <c r="B343" s="7"/>
      <c r="C343" s="6"/>
      <c r="D343" s="6"/>
      <c r="E343" s="6"/>
      <c r="F343" s="25"/>
      <c r="G343" s="25" t="str">
        <f>IF(A343="","",SUMIFS(Paradas_Detalhadas!$I:$I,Paradas_Detalhadas!$A:$A,A343,Paradas_Detalhadas!$B:$B,B343,Paradas_Detalhadas!$C:$C,C343,Paradas_Detalhadas!$D:$D,E343))</f>
        <v/>
      </c>
      <c r="H343" s="26" t="str">
        <f t="shared" si="25"/>
        <v/>
      </c>
      <c r="I343" s="10"/>
      <c r="J343" s="10"/>
      <c r="K343" s="10" t="str">
        <f t="shared" si="26"/>
        <v/>
      </c>
      <c r="L343" s="10" t="str">
        <f t="shared" si="27"/>
        <v/>
      </c>
      <c r="M343" s="10" t="str">
        <f t="shared" si="28"/>
        <v/>
      </c>
      <c r="N343" s="10" t="str">
        <f t="shared" si="29"/>
        <v/>
      </c>
      <c r="O343" s="6"/>
      <c r="P343" s="6"/>
    </row>
    <row r="344" spans="1:16" x14ac:dyDescent="0.3">
      <c r="A344" s="6"/>
      <c r="B344" s="7"/>
      <c r="C344" s="6"/>
      <c r="D344" s="6"/>
      <c r="E344" s="6"/>
      <c r="F344" s="25"/>
      <c r="G344" s="25" t="str">
        <f>IF(A344="","",SUMIFS(Paradas_Detalhadas!$I:$I,Paradas_Detalhadas!$A:$A,A344,Paradas_Detalhadas!$B:$B,B344,Paradas_Detalhadas!$C:$C,C344,Paradas_Detalhadas!$D:$D,E344))</f>
        <v/>
      </c>
      <c r="H344" s="26" t="str">
        <f t="shared" si="25"/>
        <v/>
      </c>
      <c r="I344" s="10"/>
      <c r="J344" s="10"/>
      <c r="K344" s="10" t="str">
        <f t="shared" si="26"/>
        <v/>
      </c>
      <c r="L344" s="10" t="str">
        <f t="shared" si="27"/>
        <v/>
      </c>
      <c r="M344" s="10" t="str">
        <f t="shared" si="28"/>
        <v/>
      </c>
      <c r="N344" s="10" t="str">
        <f t="shared" si="29"/>
        <v/>
      </c>
      <c r="O344" s="6"/>
      <c r="P344" s="6"/>
    </row>
    <row r="345" spans="1:16" x14ac:dyDescent="0.3">
      <c r="A345" s="6"/>
      <c r="B345" s="7"/>
      <c r="C345" s="6"/>
      <c r="D345" s="6"/>
      <c r="E345" s="6"/>
      <c r="F345" s="25"/>
      <c r="G345" s="25" t="str">
        <f>IF(A345="","",SUMIFS(Paradas_Detalhadas!$I:$I,Paradas_Detalhadas!$A:$A,A345,Paradas_Detalhadas!$B:$B,B345,Paradas_Detalhadas!$C:$C,C345,Paradas_Detalhadas!$D:$D,E345))</f>
        <v/>
      </c>
      <c r="H345" s="26" t="str">
        <f t="shared" si="25"/>
        <v/>
      </c>
      <c r="I345" s="10"/>
      <c r="J345" s="10"/>
      <c r="K345" s="10" t="str">
        <f t="shared" si="26"/>
        <v/>
      </c>
      <c r="L345" s="10" t="str">
        <f t="shared" si="27"/>
        <v/>
      </c>
      <c r="M345" s="10" t="str">
        <f t="shared" si="28"/>
        <v/>
      </c>
      <c r="N345" s="10" t="str">
        <f t="shared" si="29"/>
        <v/>
      </c>
      <c r="O345" s="6"/>
      <c r="P345" s="6"/>
    </row>
    <row r="346" spans="1:16" x14ac:dyDescent="0.3">
      <c r="A346" s="6"/>
      <c r="B346" s="7"/>
      <c r="C346" s="6"/>
      <c r="D346" s="6"/>
      <c r="E346" s="6"/>
      <c r="F346" s="25"/>
      <c r="G346" s="25" t="str">
        <f>IF(A346="","",SUMIFS(Paradas_Detalhadas!$I:$I,Paradas_Detalhadas!$A:$A,A346,Paradas_Detalhadas!$B:$B,B346,Paradas_Detalhadas!$C:$C,C346,Paradas_Detalhadas!$D:$D,E346))</f>
        <v/>
      </c>
      <c r="H346" s="26" t="str">
        <f t="shared" si="25"/>
        <v/>
      </c>
      <c r="I346" s="10"/>
      <c r="J346" s="10"/>
      <c r="K346" s="10" t="str">
        <f t="shared" si="26"/>
        <v/>
      </c>
      <c r="L346" s="10" t="str">
        <f t="shared" si="27"/>
        <v/>
      </c>
      <c r="M346" s="10" t="str">
        <f t="shared" si="28"/>
        <v/>
      </c>
      <c r="N346" s="10" t="str">
        <f t="shared" si="29"/>
        <v/>
      </c>
      <c r="O346" s="6"/>
      <c r="P346" s="6"/>
    </row>
    <row r="347" spans="1:16" x14ac:dyDescent="0.3">
      <c r="A347" s="6"/>
      <c r="B347" s="7"/>
      <c r="C347" s="6"/>
      <c r="D347" s="6"/>
      <c r="E347" s="6"/>
      <c r="F347" s="25"/>
      <c r="G347" s="25" t="str">
        <f>IF(A347="","",SUMIFS(Paradas_Detalhadas!$I:$I,Paradas_Detalhadas!$A:$A,A347,Paradas_Detalhadas!$B:$B,B347,Paradas_Detalhadas!$C:$C,C347,Paradas_Detalhadas!$D:$D,E347))</f>
        <v/>
      </c>
      <c r="H347" s="26" t="str">
        <f t="shared" si="25"/>
        <v/>
      </c>
      <c r="I347" s="10"/>
      <c r="J347" s="10"/>
      <c r="K347" s="10" t="str">
        <f t="shared" si="26"/>
        <v/>
      </c>
      <c r="L347" s="10" t="str">
        <f t="shared" si="27"/>
        <v/>
      </c>
      <c r="M347" s="10" t="str">
        <f t="shared" si="28"/>
        <v/>
      </c>
      <c r="N347" s="10" t="str">
        <f t="shared" si="29"/>
        <v/>
      </c>
      <c r="O347" s="6"/>
      <c r="P347" s="6"/>
    </row>
    <row r="348" spans="1:16" x14ac:dyDescent="0.3">
      <c r="A348" s="6"/>
      <c r="B348" s="7"/>
      <c r="C348" s="6"/>
      <c r="D348" s="6"/>
      <c r="E348" s="6"/>
      <c r="F348" s="25"/>
      <c r="G348" s="25" t="str">
        <f>IF(A348="","",SUMIFS(Paradas_Detalhadas!$I:$I,Paradas_Detalhadas!$A:$A,A348,Paradas_Detalhadas!$B:$B,B348,Paradas_Detalhadas!$C:$C,C348,Paradas_Detalhadas!$D:$D,E348))</f>
        <v/>
      </c>
      <c r="H348" s="26" t="str">
        <f t="shared" si="25"/>
        <v/>
      </c>
      <c r="I348" s="10"/>
      <c r="J348" s="10"/>
      <c r="K348" s="10" t="str">
        <f t="shared" si="26"/>
        <v/>
      </c>
      <c r="L348" s="10" t="str">
        <f t="shared" si="27"/>
        <v/>
      </c>
      <c r="M348" s="10" t="str">
        <f t="shared" si="28"/>
        <v/>
      </c>
      <c r="N348" s="10" t="str">
        <f t="shared" si="29"/>
        <v/>
      </c>
      <c r="O348" s="6"/>
      <c r="P348" s="6"/>
    </row>
    <row r="349" spans="1:16" x14ac:dyDescent="0.3">
      <c r="A349" s="6"/>
      <c r="B349" s="7"/>
      <c r="C349" s="6"/>
      <c r="D349" s="6"/>
      <c r="E349" s="6"/>
      <c r="F349" s="25"/>
      <c r="G349" s="25" t="str">
        <f>IF(A349="","",SUMIFS(Paradas_Detalhadas!$I:$I,Paradas_Detalhadas!$A:$A,A349,Paradas_Detalhadas!$B:$B,B349,Paradas_Detalhadas!$C:$C,C349,Paradas_Detalhadas!$D:$D,E349))</f>
        <v/>
      </c>
      <c r="H349" s="26" t="str">
        <f t="shared" si="25"/>
        <v/>
      </c>
      <c r="I349" s="10"/>
      <c r="J349" s="10"/>
      <c r="K349" s="10" t="str">
        <f t="shared" si="26"/>
        <v/>
      </c>
      <c r="L349" s="10" t="str">
        <f t="shared" si="27"/>
        <v/>
      </c>
      <c r="M349" s="10" t="str">
        <f t="shared" si="28"/>
        <v/>
      </c>
      <c r="N349" s="10" t="str">
        <f t="shared" si="29"/>
        <v/>
      </c>
      <c r="O349" s="6"/>
      <c r="P349" s="6"/>
    </row>
    <row r="350" spans="1:16" x14ac:dyDescent="0.3">
      <c r="A350" s="6"/>
      <c r="B350" s="7"/>
      <c r="C350" s="6"/>
      <c r="D350" s="6"/>
      <c r="E350" s="6"/>
      <c r="F350" s="25"/>
      <c r="G350" s="25" t="str">
        <f>IF(A350="","",SUMIFS(Paradas_Detalhadas!$I:$I,Paradas_Detalhadas!$A:$A,A350,Paradas_Detalhadas!$B:$B,B350,Paradas_Detalhadas!$C:$C,C350,Paradas_Detalhadas!$D:$D,E350))</f>
        <v/>
      </c>
      <c r="H350" s="26" t="str">
        <f t="shared" si="25"/>
        <v/>
      </c>
      <c r="I350" s="10"/>
      <c r="J350" s="10"/>
      <c r="K350" s="10" t="str">
        <f t="shared" si="26"/>
        <v/>
      </c>
      <c r="L350" s="10" t="str">
        <f t="shared" si="27"/>
        <v/>
      </c>
      <c r="M350" s="10" t="str">
        <f t="shared" si="28"/>
        <v/>
      </c>
      <c r="N350" s="10" t="str">
        <f t="shared" si="29"/>
        <v/>
      </c>
      <c r="O350" s="6"/>
      <c r="P350" s="6"/>
    </row>
    <row r="351" spans="1:16" x14ac:dyDescent="0.3">
      <c r="A351" s="6"/>
      <c r="B351" s="7"/>
      <c r="C351" s="6"/>
      <c r="D351" s="6"/>
      <c r="E351" s="6"/>
      <c r="F351" s="25"/>
      <c r="G351" s="25" t="str">
        <f>IF(A351="","",SUMIFS(Paradas_Detalhadas!$I:$I,Paradas_Detalhadas!$A:$A,A351,Paradas_Detalhadas!$B:$B,B351,Paradas_Detalhadas!$C:$C,C351,Paradas_Detalhadas!$D:$D,E351))</f>
        <v/>
      </c>
      <c r="H351" s="26" t="str">
        <f t="shared" si="25"/>
        <v/>
      </c>
      <c r="I351" s="10"/>
      <c r="J351" s="10"/>
      <c r="K351" s="10" t="str">
        <f t="shared" si="26"/>
        <v/>
      </c>
      <c r="L351" s="10" t="str">
        <f t="shared" si="27"/>
        <v/>
      </c>
      <c r="M351" s="10" t="str">
        <f t="shared" si="28"/>
        <v/>
      </c>
      <c r="N351" s="10" t="str">
        <f t="shared" si="29"/>
        <v/>
      </c>
      <c r="O351" s="6"/>
      <c r="P351" s="6"/>
    </row>
    <row r="352" spans="1:16" x14ac:dyDescent="0.3">
      <c r="A352" s="6"/>
      <c r="B352" s="7"/>
      <c r="C352" s="6"/>
      <c r="D352" s="6"/>
      <c r="E352" s="6"/>
      <c r="F352" s="25"/>
      <c r="G352" s="25" t="str">
        <f>IF(A352="","",SUMIFS(Paradas_Detalhadas!$I:$I,Paradas_Detalhadas!$A:$A,A352,Paradas_Detalhadas!$B:$B,B352,Paradas_Detalhadas!$C:$C,C352,Paradas_Detalhadas!$D:$D,E352))</f>
        <v/>
      </c>
      <c r="H352" s="26" t="str">
        <f t="shared" si="25"/>
        <v/>
      </c>
      <c r="I352" s="10"/>
      <c r="J352" s="10"/>
      <c r="K352" s="10" t="str">
        <f t="shared" si="26"/>
        <v/>
      </c>
      <c r="L352" s="10" t="str">
        <f t="shared" si="27"/>
        <v/>
      </c>
      <c r="M352" s="10" t="str">
        <f t="shared" si="28"/>
        <v/>
      </c>
      <c r="N352" s="10" t="str">
        <f t="shared" si="29"/>
        <v/>
      </c>
      <c r="O352" s="6"/>
      <c r="P352" s="6"/>
    </row>
    <row r="353" spans="1:16" x14ac:dyDescent="0.3">
      <c r="A353" s="6"/>
      <c r="B353" s="7"/>
      <c r="C353" s="6"/>
      <c r="D353" s="6"/>
      <c r="E353" s="6"/>
      <c r="F353" s="25"/>
      <c r="G353" s="25" t="str">
        <f>IF(A353="","",SUMIFS(Paradas_Detalhadas!$I:$I,Paradas_Detalhadas!$A:$A,A353,Paradas_Detalhadas!$B:$B,B353,Paradas_Detalhadas!$C:$C,C353,Paradas_Detalhadas!$D:$D,E353))</f>
        <v/>
      </c>
      <c r="H353" s="26" t="str">
        <f t="shared" si="25"/>
        <v/>
      </c>
      <c r="I353" s="10"/>
      <c r="J353" s="10"/>
      <c r="K353" s="10" t="str">
        <f t="shared" si="26"/>
        <v/>
      </c>
      <c r="L353" s="10" t="str">
        <f t="shared" si="27"/>
        <v/>
      </c>
      <c r="M353" s="10" t="str">
        <f t="shared" si="28"/>
        <v/>
      </c>
      <c r="N353" s="10" t="str">
        <f t="shared" si="29"/>
        <v/>
      </c>
      <c r="O353" s="6"/>
      <c r="P353" s="6"/>
    </row>
    <row r="354" spans="1:16" x14ac:dyDescent="0.3">
      <c r="A354" s="6"/>
      <c r="B354" s="7"/>
      <c r="C354" s="6"/>
      <c r="D354" s="6"/>
      <c r="E354" s="6"/>
      <c r="F354" s="25"/>
      <c r="G354" s="25" t="str">
        <f>IF(A354="","",SUMIFS(Paradas_Detalhadas!$I:$I,Paradas_Detalhadas!$A:$A,A354,Paradas_Detalhadas!$B:$B,B354,Paradas_Detalhadas!$C:$C,C354,Paradas_Detalhadas!$D:$D,E354))</f>
        <v/>
      </c>
      <c r="H354" s="26" t="str">
        <f t="shared" si="25"/>
        <v/>
      </c>
      <c r="I354" s="10"/>
      <c r="J354" s="10"/>
      <c r="K354" s="10" t="str">
        <f t="shared" si="26"/>
        <v/>
      </c>
      <c r="L354" s="10" t="str">
        <f t="shared" si="27"/>
        <v/>
      </c>
      <c r="M354" s="10" t="str">
        <f t="shared" si="28"/>
        <v/>
      </c>
      <c r="N354" s="10" t="str">
        <f t="shared" si="29"/>
        <v/>
      </c>
      <c r="O354" s="6"/>
      <c r="P354" s="6"/>
    </row>
    <row r="355" spans="1:16" x14ac:dyDescent="0.3">
      <c r="A355" s="6"/>
      <c r="B355" s="7"/>
      <c r="C355" s="6"/>
      <c r="D355" s="6"/>
      <c r="E355" s="6"/>
      <c r="F355" s="25"/>
      <c r="G355" s="25" t="str">
        <f>IF(A355="","",SUMIFS(Paradas_Detalhadas!$I:$I,Paradas_Detalhadas!$A:$A,A355,Paradas_Detalhadas!$B:$B,B355,Paradas_Detalhadas!$C:$C,C355,Paradas_Detalhadas!$D:$D,E355))</f>
        <v/>
      </c>
      <c r="H355" s="26" t="str">
        <f t="shared" si="25"/>
        <v/>
      </c>
      <c r="I355" s="10"/>
      <c r="J355" s="10"/>
      <c r="K355" s="10" t="str">
        <f t="shared" si="26"/>
        <v/>
      </c>
      <c r="L355" s="10" t="str">
        <f t="shared" si="27"/>
        <v/>
      </c>
      <c r="M355" s="10" t="str">
        <f t="shared" si="28"/>
        <v/>
      </c>
      <c r="N355" s="10" t="str">
        <f t="shared" si="29"/>
        <v/>
      </c>
      <c r="O355" s="6"/>
      <c r="P355" s="6"/>
    </row>
    <row r="356" spans="1:16" x14ac:dyDescent="0.3">
      <c r="A356" s="6"/>
      <c r="B356" s="7"/>
      <c r="C356" s="6"/>
      <c r="D356" s="6"/>
      <c r="E356" s="6"/>
      <c r="F356" s="25"/>
      <c r="G356" s="25" t="str">
        <f>IF(A356="","",SUMIFS(Paradas_Detalhadas!$I:$I,Paradas_Detalhadas!$A:$A,A356,Paradas_Detalhadas!$B:$B,B356,Paradas_Detalhadas!$C:$C,C356,Paradas_Detalhadas!$D:$D,E356))</f>
        <v/>
      </c>
      <c r="H356" s="26" t="str">
        <f t="shared" si="25"/>
        <v/>
      </c>
      <c r="I356" s="10"/>
      <c r="J356" s="10"/>
      <c r="K356" s="10" t="str">
        <f t="shared" si="26"/>
        <v/>
      </c>
      <c r="L356" s="10" t="str">
        <f t="shared" si="27"/>
        <v/>
      </c>
      <c r="M356" s="10" t="str">
        <f t="shared" si="28"/>
        <v/>
      </c>
      <c r="N356" s="10" t="str">
        <f t="shared" si="29"/>
        <v/>
      </c>
      <c r="O356" s="6"/>
      <c r="P356" s="6"/>
    </row>
    <row r="357" spans="1:16" x14ac:dyDescent="0.3">
      <c r="A357" s="6"/>
      <c r="B357" s="7"/>
      <c r="C357" s="6"/>
      <c r="D357" s="6"/>
      <c r="E357" s="6"/>
      <c r="F357" s="25"/>
      <c r="G357" s="25" t="str">
        <f>IF(A357="","",SUMIFS(Paradas_Detalhadas!$I:$I,Paradas_Detalhadas!$A:$A,A357,Paradas_Detalhadas!$B:$B,B357,Paradas_Detalhadas!$C:$C,C357,Paradas_Detalhadas!$D:$D,E357))</f>
        <v/>
      </c>
      <c r="H357" s="26" t="str">
        <f t="shared" si="25"/>
        <v/>
      </c>
      <c r="I357" s="10"/>
      <c r="J357" s="10"/>
      <c r="K357" s="10" t="str">
        <f t="shared" si="26"/>
        <v/>
      </c>
      <c r="L357" s="10" t="str">
        <f t="shared" si="27"/>
        <v/>
      </c>
      <c r="M357" s="10" t="str">
        <f t="shared" si="28"/>
        <v/>
      </c>
      <c r="N357" s="10" t="str">
        <f t="shared" si="29"/>
        <v/>
      </c>
      <c r="O357" s="6"/>
      <c r="P357" s="6"/>
    </row>
    <row r="358" spans="1:16" x14ac:dyDescent="0.3">
      <c r="A358" s="6"/>
      <c r="B358" s="7"/>
      <c r="C358" s="6"/>
      <c r="D358" s="6"/>
      <c r="E358" s="6"/>
      <c r="F358" s="25"/>
      <c r="G358" s="25" t="str">
        <f>IF(A358="","",SUMIFS(Paradas_Detalhadas!$I:$I,Paradas_Detalhadas!$A:$A,A358,Paradas_Detalhadas!$B:$B,B358,Paradas_Detalhadas!$C:$C,C358,Paradas_Detalhadas!$D:$D,E358))</f>
        <v/>
      </c>
      <c r="H358" s="26" t="str">
        <f t="shared" si="25"/>
        <v/>
      </c>
      <c r="I358" s="10"/>
      <c r="J358" s="10"/>
      <c r="K358" s="10" t="str">
        <f t="shared" si="26"/>
        <v/>
      </c>
      <c r="L358" s="10" t="str">
        <f t="shared" si="27"/>
        <v/>
      </c>
      <c r="M358" s="10" t="str">
        <f t="shared" si="28"/>
        <v/>
      </c>
      <c r="N358" s="10" t="str">
        <f t="shared" si="29"/>
        <v/>
      </c>
      <c r="O358" s="6"/>
      <c r="P358" s="6"/>
    </row>
    <row r="359" spans="1:16" x14ac:dyDescent="0.3">
      <c r="A359" s="6"/>
      <c r="B359" s="7"/>
      <c r="C359" s="6"/>
      <c r="D359" s="6"/>
      <c r="E359" s="6"/>
      <c r="F359" s="25"/>
      <c r="G359" s="25" t="str">
        <f>IF(A359="","",SUMIFS(Paradas_Detalhadas!$I:$I,Paradas_Detalhadas!$A:$A,A359,Paradas_Detalhadas!$B:$B,B359,Paradas_Detalhadas!$C:$C,C359,Paradas_Detalhadas!$D:$D,E359))</f>
        <v/>
      </c>
      <c r="H359" s="26" t="str">
        <f t="shared" si="25"/>
        <v/>
      </c>
      <c r="I359" s="10"/>
      <c r="J359" s="10"/>
      <c r="K359" s="10" t="str">
        <f t="shared" si="26"/>
        <v/>
      </c>
      <c r="L359" s="10" t="str">
        <f t="shared" si="27"/>
        <v/>
      </c>
      <c r="M359" s="10" t="str">
        <f t="shared" si="28"/>
        <v/>
      </c>
      <c r="N359" s="10" t="str">
        <f t="shared" si="29"/>
        <v/>
      </c>
      <c r="O359" s="6"/>
      <c r="P359" s="6"/>
    </row>
    <row r="360" spans="1:16" x14ac:dyDescent="0.3">
      <c r="A360" s="6"/>
      <c r="B360" s="7"/>
      <c r="C360" s="6"/>
      <c r="D360" s="6"/>
      <c r="E360" s="6"/>
      <c r="F360" s="25"/>
      <c r="G360" s="25" t="str">
        <f>IF(A360="","",SUMIFS(Paradas_Detalhadas!$I:$I,Paradas_Detalhadas!$A:$A,A360,Paradas_Detalhadas!$B:$B,B360,Paradas_Detalhadas!$C:$C,C360,Paradas_Detalhadas!$D:$D,E360))</f>
        <v/>
      </c>
      <c r="H360" s="26" t="str">
        <f t="shared" si="25"/>
        <v/>
      </c>
      <c r="I360" s="10"/>
      <c r="J360" s="10"/>
      <c r="K360" s="10" t="str">
        <f t="shared" si="26"/>
        <v/>
      </c>
      <c r="L360" s="10" t="str">
        <f t="shared" si="27"/>
        <v/>
      </c>
      <c r="M360" s="10" t="str">
        <f t="shared" si="28"/>
        <v/>
      </c>
      <c r="N360" s="10" t="str">
        <f t="shared" si="29"/>
        <v/>
      </c>
      <c r="O360" s="6"/>
      <c r="P360" s="6"/>
    </row>
    <row r="361" spans="1:16" x14ac:dyDescent="0.3">
      <c r="A361" s="6"/>
      <c r="B361" s="7"/>
      <c r="C361" s="6"/>
      <c r="D361" s="6"/>
      <c r="E361" s="6"/>
      <c r="F361" s="25"/>
      <c r="G361" s="25" t="str">
        <f>IF(A361="","",SUMIFS(Paradas_Detalhadas!$I:$I,Paradas_Detalhadas!$A:$A,A361,Paradas_Detalhadas!$B:$B,B361,Paradas_Detalhadas!$C:$C,C361,Paradas_Detalhadas!$D:$D,E361))</f>
        <v/>
      </c>
      <c r="H361" s="26" t="str">
        <f t="shared" si="25"/>
        <v/>
      </c>
      <c r="I361" s="10"/>
      <c r="J361" s="10"/>
      <c r="K361" s="10" t="str">
        <f t="shared" si="26"/>
        <v/>
      </c>
      <c r="L361" s="10" t="str">
        <f t="shared" si="27"/>
        <v/>
      </c>
      <c r="M361" s="10" t="str">
        <f t="shared" si="28"/>
        <v/>
      </c>
      <c r="N361" s="10" t="str">
        <f t="shared" si="29"/>
        <v/>
      </c>
      <c r="O361" s="6"/>
      <c r="P361" s="6"/>
    </row>
    <row r="362" spans="1:16" x14ac:dyDescent="0.3">
      <c r="A362" s="6"/>
      <c r="B362" s="7"/>
      <c r="C362" s="6"/>
      <c r="D362" s="6"/>
      <c r="E362" s="6"/>
      <c r="F362" s="25"/>
      <c r="G362" s="25" t="str">
        <f>IF(A362="","",SUMIFS(Paradas_Detalhadas!$I:$I,Paradas_Detalhadas!$A:$A,A362,Paradas_Detalhadas!$B:$B,B362,Paradas_Detalhadas!$C:$C,C362,Paradas_Detalhadas!$D:$D,E362))</f>
        <v/>
      </c>
      <c r="H362" s="26" t="str">
        <f t="shared" si="25"/>
        <v/>
      </c>
      <c r="I362" s="10"/>
      <c r="J362" s="10"/>
      <c r="K362" s="10" t="str">
        <f t="shared" si="26"/>
        <v/>
      </c>
      <c r="L362" s="10" t="str">
        <f t="shared" si="27"/>
        <v/>
      </c>
      <c r="M362" s="10" t="str">
        <f t="shared" si="28"/>
        <v/>
      </c>
      <c r="N362" s="10" t="str">
        <f t="shared" si="29"/>
        <v/>
      </c>
      <c r="O362" s="6"/>
      <c r="P362" s="6"/>
    </row>
    <row r="363" spans="1:16" x14ac:dyDescent="0.3">
      <c r="A363" s="6"/>
      <c r="B363" s="7"/>
      <c r="C363" s="6"/>
      <c r="D363" s="6"/>
      <c r="E363" s="6"/>
      <c r="F363" s="25"/>
      <c r="G363" s="25" t="str">
        <f>IF(A363="","",SUMIFS(Paradas_Detalhadas!$I:$I,Paradas_Detalhadas!$A:$A,A363,Paradas_Detalhadas!$B:$B,B363,Paradas_Detalhadas!$C:$C,C363,Paradas_Detalhadas!$D:$D,E363))</f>
        <v/>
      </c>
      <c r="H363" s="26" t="str">
        <f t="shared" si="25"/>
        <v/>
      </c>
      <c r="I363" s="10"/>
      <c r="J363" s="10"/>
      <c r="K363" s="10" t="str">
        <f t="shared" si="26"/>
        <v/>
      </c>
      <c r="L363" s="10" t="str">
        <f t="shared" si="27"/>
        <v/>
      </c>
      <c r="M363" s="10" t="str">
        <f t="shared" si="28"/>
        <v/>
      </c>
      <c r="N363" s="10" t="str">
        <f t="shared" si="29"/>
        <v/>
      </c>
      <c r="O363" s="6"/>
      <c r="P363" s="6"/>
    </row>
    <row r="364" spans="1:16" x14ac:dyDescent="0.3">
      <c r="A364" s="6"/>
      <c r="B364" s="7"/>
      <c r="C364" s="6"/>
      <c r="D364" s="6"/>
      <c r="E364" s="6"/>
      <c r="F364" s="25"/>
      <c r="G364" s="25" t="str">
        <f>IF(A364="","",SUMIFS(Paradas_Detalhadas!$I:$I,Paradas_Detalhadas!$A:$A,A364,Paradas_Detalhadas!$B:$B,B364,Paradas_Detalhadas!$C:$C,C364,Paradas_Detalhadas!$D:$D,E364))</f>
        <v/>
      </c>
      <c r="H364" s="26" t="str">
        <f t="shared" si="25"/>
        <v/>
      </c>
      <c r="I364" s="10"/>
      <c r="J364" s="10"/>
      <c r="K364" s="10" t="str">
        <f t="shared" si="26"/>
        <v/>
      </c>
      <c r="L364" s="10" t="str">
        <f t="shared" si="27"/>
        <v/>
      </c>
      <c r="M364" s="10" t="str">
        <f t="shared" si="28"/>
        <v/>
      </c>
      <c r="N364" s="10" t="str">
        <f t="shared" si="29"/>
        <v/>
      </c>
      <c r="O364" s="6"/>
      <c r="P364" s="6"/>
    </row>
    <row r="365" spans="1:16" x14ac:dyDescent="0.3">
      <c r="A365" s="6"/>
      <c r="B365" s="7"/>
      <c r="C365" s="6"/>
      <c r="D365" s="6"/>
      <c r="E365" s="6"/>
      <c r="F365" s="25"/>
      <c r="G365" s="25" t="str">
        <f>IF(A365="","",SUMIFS(Paradas_Detalhadas!$I:$I,Paradas_Detalhadas!$A:$A,A365,Paradas_Detalhadas!$B:$B,B365,Paradas_Detalhadas!$C:$C,C365,Paradas_Detalhadas!$D:$D,E365))</f>
        <v/>
      </c>
      <c r="H365" s="26" t="str">
        <f t="shared" si="25"/>
        <v/>
      </c>
      <c r="I365" s="10"/>
      <c r="J365" s="10"/>
      <c r="K365" s="10" t="str">
        <f t="shared" si="26"/>
        <v/>
      </c>
      <c r="L365" s="10" t="str">
        <f t="shared" si="27"/>
        <v/>
      </c>
      <c r="M365" s="10" t="str">
        <f t="shared" si="28"/>
        <v/>
      </c>
      <c r="N365" s="10" t="str">
        <f t="shared" si="29"/>
        <v/>
      </c>
      <c r="O365" s="6"/>
      <c r="P365" s="6"/>
    </row>
    <row r="366" spans="1:16" x14ac:dyDescent="0.3">
      <c r="A366" s="6"/>
      <c r="B366" s="7"/>
      <c r="C366" s="6"/>
      <c r="D366" s="6"/>
      <c r="E366" s="6"/>
      <c r="F366" s="25"/>
      <c r="G366" s="25" t="str">
        <f>IF(A366="","",SUMIFS(Paradas_Detalhadas!$I:$I,Paradas_Detalhadas!$A:$A,A366,Paradas_Detalhadas!$B:$B,B366,Paradas_Detalhadas!$C:$C,C366,Paradas_Detalhadas!$D:$D,E366))</f>
        <v/>
      </c>
      <c r="H366" s="26" t="str">
        <f t="shared" ref="H366:H429" si="30">IF(OR(F366="",G366=""),"",MAX(F366-G366,0))</f>
        <v/>
      </c>
      <c r="I366" s="10"/>
      <c r="J366" s="10"/>
      <c r="K366" s="10" t="str">
        <f t="shared" ref="K366:K429" si="31">IF(AND(I366="",J366=""),"",SUM(I366:J366))</f>
        <v/>
      </c>
      <c r="L366" s="10" t="str">
        <f t="shared" ref="L366:L429" si="32">IFERROR(K366/H366,"")</f>
        <v/>
      </c>
      <c r="M366" s="10" t="str">
        <f t="shared" ref="M366:M429" si="33">IFERROR(I366/H366,"")</f>
        <v/>
      </c>
      <c r="N366" s="10" t="str">
        <f t="shared" ref="N366:N429" si="34">IFERROR(J366/H366,"")</f>
        <v/>
      </c>
      <c r="O366" s="6"/>
      <c r="P366" s="6"/>
    </row>
    <row r="367" spans="1:16" x14ac:dyDescent="0.3">
      <c r="A367" s="6"/>
      <c r="B367" s="7"/>
      <c r="C367" s="6"/>
      <c r="D367" s="6"/>
      <c r="E367" s="6"/>
      <c r="F367" s="25"/>
      <c r="G367" s="25" t="str">
        <f>IF(A367="","",SUMIFS(Paradas_Detalhadas!$I:$I,Paradas_Detalhadas!$A:$A,A367,Paradas_Detalhadas!$B:$B,B367,Paradas_Detalhadas!$C:$C,C367,Paradas_Detalhadas!$D:$D,E367))</f>
        <v/>
      </c>
      <c r="H367" s="26" t="str">
        <f t="shared" si="30"/>
        <v/>
      </c>
      <c r="I367" s="10"/>
      <c r="J367" s="10"/>
      <c r="K367" s="10" t="str">
        <f t="shared" si="31"/>
        <v/>
      </c>
      <c r="L367" s="10" t="str">
        <f t="shared" si="32"/>
        <v/>
      </c>
      <c r="M367" s="10" t="str">
        <f t="shared" si="33"/>
        <v/>
      </c>
      <c r="N367" s="10" t="str">
        <f t="shared" si="34"/>
        <v/>
      </c>
      <c r="O367" s="6"/>
      <c r="P367" s="6"/>
    </row>
    <row r="368" spans="1:16" x14ac:dyDescent="0.3">
      <c r="A368" s="6"/>
      <c r="B368" s="7"/>
      <c r="C368" s="6"/>
      <c r="D368" s="6"/>
      <c r="E368" s="6"/>
      <c r="F368" s="25"/>
      <c r="G368" s="25" t="str">
        <f>IF(A368="","",SUMIFS(Paradas_Detalhadas!$I:$I,Paradas_Detalhadas!$A:$A,A368,Paradas_Detalhadas!$B:$B,B368,Paradas_Detalhadas!$C:$C,C368,Paradas_Detalhadas!$D:$D,E368))</f>
        <v/>
      </c>
      <c r="H368" s="26" t="str">
        <f t="shared" si="30"/>
        <v/>
      </c>
      <c r="I368" s="10"/>
      <c r="J368" s="10"/>
      <c r="K368" s="10" t="str">
        <f t="shared" si="31"/>
        <v/>
      </c>
      <c r="L368" s="10" t="str">
        <f t="shared" si="32"/>
        <v/>
      </c>
      <c r="M368" s="10" t="str">
        <f t="shared" si="33"/>
        <v/>
      </c>
      <c r="N368" s="10" t="str">
        <f t="shared" si="34"/>
        <v/>
      </c>
      <c r="O368" s="6"/>
      <c r="P368" s="6"/>
    </row>
    <row r="369" spans="1:16" x14ac:dyDescent="0.3">
      <c r="A369" s="6"/>
      <c r="B369" s="7"/>
      <c r="C369" s="6"/>
      <c r="D369" s="6"/>
      <c r="E369" s="6"/>
      <c r="F369" s="25"/>
      <c r="G369" s="25" t="str">
        <f>IF(A369="","",SUMIFS(Paradas_Detalhadas!$I:$I,Paradas_Detalhadas!$A:$A,A369,Paradas_Detalhadas!$B:$B,B369,Paradas_Detalhadas!$C:$C,C369,Paradas_Detalhadas!$D:$D,E369))</f>
        <v/>
      </c>
      <c r="H369" s="26" t="str">
        <f t="shared" si="30"/>
        <v/>
      </c>
      <c r="I369" s="10"/>
      <c r="J369" s="10"/>
      <c r="K369" s="10" t="str">
        <f t="shared" si="31"/>
        <v/>
      </c>
      <c r="L369" s="10" t="str">
        <f t="shared" si="32"/>
        <v/>
      </c>
      <c r="M369" s="10" t="str">
        <f t="shared" si="33"/>
        <v/>
      </c>
      <c r="N369" s="10" t="str">
        <f t="shared" si="34"/>
        <v/>
      </c>
      <c r="O369" s="6"/>
      <c r="P369" s="6"/>
    </row>
    <row r="370" spans="1:16" x14ac:dyDescent="0.3">
      <c r="A370" s="6"/>
      <c r="B370" s="7"/>
      <c r="C370" s="6"/>
      <c r="D370" s="6"/>
      <c r="E370" s="6"/>
      <c r="F370" s="25"/>
      <c r="G370" s="25" t="str">
        <f>IF(A370="","",SUMIFS(Paradas_Detalhadas!$I:$I,Paradas_Detalhadas!$A:$A,A370,Paradas_Detalhadas!$B:$B,B370,Paradas_Detalhadas!$C:$C,C370,Paradas_Detalhadas!$D:$D,E370))</f>
        <v/>
      </c>
      <c r="H370" s="26" t="str">
        <f t="shared" si="30"/>
        <v/>
      </c>
      <c r="I370" s="10"/>
      <c r="J370" s="10"/>
      <c r="K370" s="10" t="str">
        <f t="shared" si="31"/>
        <v/>
      </c>
      <c r="L370" s="10" t="str">
        <f t="shared" si="32"/>
        <v/>
      </c>
      <c r="M370" s="10" t="str">
        <f t="shared" si="33"/>
        <v/>
      </c>
      <c r="N370" s="10" t="str">
        <f t="shared" si="34"/>
        <v/>
      </c>
      <c r="O370" s="6"/>
      <c r="P370" s="6"/>
    </row>
    <row r="371" spans="1:16" x14ac:dyDescent="0.3">
      <c r="A371" s="6"/>
      <c r="B371" s="7"/>
      <c r="C371" s="6"/>
      <c r="D371" s="6"/>
      <c r="E371" s="6"/>
      <c r="F371" s="25"/>
      <c r="G371" s="25" t="str">
        <f>IF(A371="","",SUMIFS(Paradas_Detalhadas!$I:$I,Paradas_Detalhadas!$A:$A,A371,Paradas_Detalhadas!$B:$B,B371,Paradas_Detalhadas!$C:$C,C371,Paradas_Detalhadas!$D:$D,E371))</f>
        <v/>
      </c>
      <c r="H371" s="26" t="str">
        <f t="shared" si="30"/>
        <v/>
      </c>
      <c r="I371" s="10"/>
      <c r="J371" s="10"/>
      <c r="K371" s="10" t="str">
        <f t="shared" si="31"/>
        <v/>
      </c>
      <c r="L371" s="10" t="str">
        <f t="shared" si="32"/>
        <v/>
      </c>
      <c r="M371" s="10" t="str">
        <f t="shared" si="33"/>
        <v/>
      </c>
      <c r="N371" s="10" t="str">
        <f t="shared" si="34"/>
        <v/>
      </c>
      <c r="O371" s="6"/>
      <c r="P371" s="6"/>
    </row>
    <row r="372" spans="1:16" x14ac:dyDescent="0.3">
      <c r="A372" s="6"/>
      <c r="B372" s="7"/>
      <c r="C372" s="6"/>
      <c r="D372" s="6"/>
      <c r="E372" s="6"/>
      <c r="F372" s="25"/>
      <c r="G372" s="25" t="str">
        <f>IF(A372="","",SUMIFS(Paradas_Detalhadas!$I:$I,Paradas_Detalhadas!$A:$A,A372,Paradas_Detalhadas!$B:$B,B372,Paradas_Detalhadas!$C:$C,C372,Paradas_Detalhadas!$D:$D,E372))</f>
        <v/>
      </c>
      <c r="H372" s="26" t="str">
        <f t="shared" si="30"/>
        <v/>
      </c>
      <c r="I372" s="10"/>
      <c r="J372" s="10"/>
      <c r="K372" s="10" t="str">
        <f t="shared" si="31"/>
        <v/>
      </c>
      <c r="L372" s="10" t="str">
        <f t="shared" si="32"/>
        <v/>
      </c>
      <c r="M372" s="10" t="str">
        <f t="shared" si="33"/>
        <v/>
      </c>
      <c r="N372" s="10" t="str">
        <f t="shared" si="34"/>
        <v/>
      </c>
      <c r="O372" s="6"/>
      <c r="P372" s="6"/>
    </row>
    <row r="373" spans="1:16" x14ac:dyDescent="0.3">
      <c r="A373" s="6"/>
      <c r="B373" s="7"/>
      <c r="C373" s="6"/>
      <c r="D373" s="6"/>
      <c r="E373" s="6"/>
      <c r="F373" s="25"/>
      <c r="G373" s="25" t="str">
        <f>IF(A373="","",SUMIFS(Paradas_Detalhadas!$I:$I,Paradas_Detalhadas!$A:$A,A373,Paradas_Detalhadas!$B:$B,B373,Paradas_Detalhadas!$C:$C,C373,Paradas_Detalhadas!$D:$D,E373))</f>
        <v/>
      </c>
      <c r="H373" s="26" t="str">
        <f t="shared" si="30"/>
        <v/>
      </c>
      <c r="I373" s="10"/>
      <c r="J373" s="10"/>
      <c r="K373" s="10" t="str">
        <f t="shared" si="31"/>
        <v/>
      </c>
      <c r="L373" s="10" t="str">
        <f t="shared" si="32"/>
        <v/>
      </c>
      <c r="M373" s="10" t="str">
        <f t="shared" si="33"/>
        <v/>
      </c>
      <c r="N373" s="10" t="str">
        <f t="shared" si="34"/>
        <v/>
      </c>
      <c r="O373" s="6"/>
      <c r="P373" s="6"/>
    </row>
    <row r="374" spans="1:16" x14ac:dyDescent="0.3">
      <c r="A374" s="6"/>
      <c r="B374" s="7"/>
      <c r="C374" s="6"/>
      <c r="D374" s="6"/>
      <c r="E374" s="6"/>
      <c r="F374" s="25"/>
      <c r="G374" s="25" t="str">
        <f>IF(A374="","",SUMIFS(Paradas_Detalhadas!$I:$I,Paradas_Detalhadas!$A:$A,A374,Paradas_Detalhadas!$B:$B,B374,Paradas_Detalhadas!$C:$C,C374,Paradas_Detalhadas!$D:$D,E374))</f>
        <v/>
      </c>
      <c r="H374" s="26" t="str">
        <f t="shared" si="30"/>
        <v/>
      </c>
      <c r="I374" s="10"/>
      <c r="J374" s="10"/>
      <c r="K374" s="10" t="str">
        <f t="shared" si="31"/>
        <v/>
      </c>
      <c r="L374" s="10" t="str">
        <f t="shared" si="32"/>
        <v/>
      </c>
      <c r="M374" s="10" t="str">
        <f t="shared" si="33"/>
        <v/>
      </c>
      <c r="N374" s="10" t="str">
        <f t="shared" si="34"/>
        <v/>
      </c>
      <c r="O374" s="6"/>
      <c r="P374" s="6"/>
    </row>
    <row r="375" spans="1:16" x14ac:dyDescent="0.3">
      <c r="A375" s="6"/>
      <c r="B375" s="7"/>
      <c r="C375" s="6"/>
      <c r="D375" s="6"/>
      <c r="E375" s="6"/>
      <c r="F375" s="25"/>
      <c r="G375" s="25" t="str">
        <f>IF(A375="","",SUMIFS(Paradas_Detalhadas!$I:$I,Paradas_Detalhadas!$A:$A,A375,Paradas_Detalhadas!$B:$B,B375,Paradas_Detalhadas!$C:$C,C375,Paradas_Detalhadas!$D:$D,E375))</f>
        <v/>
      </c>
      <c r="H375" s="26" t="str">
        <f t="shared" si="30"/>
        <v/>
      </c>
      <c r="I375" s="10"/>
      <c r="J375" s="10"/>
      <c r="K375" s="10" t="str">
        <f t="shared" si="31"/>
        <v/>
      </c>
      <c r="L375" s="10" t="str">
        <f t="shared" si="32"/>
        <v/>
      </c>
      <c r="M375" s="10" t="str">
        <f t="shared" si="33"/>
        <v/>
      </c>
      <c r="N375" s="10" t="str">
        <f t="shared" si="34"/>
        <v/>
      </c>
      <c r="O375" s="6"/>
      <c r="P375" s="6"/>
    </row>
    <row r="376" spans="1:16" x14ac:dyDescent="0.3">
      <c r="A376" s="6"/>
      <c r="B376" s="7"/>
      <c r="C376" s="6"/>
      <c r="D376" s="6"/>
      <c r="E376" s="6"/>
      <c r="F376" s="25"/>
      <c r="G376" s="25" t="str">
        <f>IF(A376="","",SUMIFS(Paradas_Detalhadas!$I:$I,Paradas_Detalhadas!$A:$A,A376,Paradas_Detalhadas!$B:$B,B376,Paradas_Detalhadas!$C:$C,C376,Paradas_Detalhadas!$D:$D,E376))</f>
        <v/>
      </c>
      <c r="H376" s="26" t="str">
        <f t="shared" si="30"/>
        <v/>
      </c>
      <c r="I376" s="10"/>
      <c r="J376" s="10"/>
      <c r="K376" s="10" t="str">
        <f t="shared" si="31"/>
        <v/>
      </c>
      <c r="L376" s="10" t="str">
        <f t="shared" si="32"/>
        <v/>
      </c>
      <c r="M376" s="10" t="str">
        <f t="shared" si="33"/>
        <v/>
      </c>
      <c r="N376" s="10" t="str">
        <f t="shared" si="34"/>
        <v/>
      </c>
      <c r="O376" s="6"/>
      <c r="P376" s="6"/>
    </row>
    <row r="377" spans="1:16" x14ac:dyDescent="0.3">
      <c r="A377" s="6"/>
      <c r="B377" s="7"/>
      <c r="C377" s="6"/>
      <c r="D377" s="6"/>
      <c r="E377" s="6"/>
      <c r="F377" s="25"/>
      <c r="G377" s="25" t="str">
        <f>IF(A377="","",SUMIFS(Paradas_Detalhadas!$I:$I,Paradas_Detalhadas!$A:$A,A377,Paradas_Detalhadas!$B:$B,B377,Paradas_Detalhadas!$C:$C,C377,Paradas_Detalhadas!$D:$D,E377))</f>
        <v/>
      </c>
      <c r="H377" s="26" t="str">
        <f t="shared" si="30"/>
        <v/>
      </c>
      <c r="I377" s="10"/>
      <c r="J377" s="10"/>
      <c r="K377" s="10" t="str">
        <f t="shared" si="31"/>
        <v/>
      </c>
      <c r="L377" s="10" t="str">
        <f t="shared" si="32"/>
        <v/>
      </c>
      <c r="M377" s="10" t="str">
        <f t="shared" si="33"/>
        <v/>
      </c>
      <c r="N377" s="10" t="str">
        <f t="shared" si="34"/>
        <v/>
      </c>
      <c r="O377" s="6"/>
      <c r="P377" s="6"/>
    </row>
    <row r="378" spans="1:16" x14ac:dyDescent="0.3">
      <c r="A378" s="6"/>
      <c r="B378" s="7"/>
      <c r="C378" s="6"/>
      <c r="D378" s="6"/>
      <c r="E378" s="6"/>
      <c r="F378" s="25"/>
      <c r="G378" s="25" t="str">
        <f>IF(A378="","",SUMIFS(Paradas_Detalhadas!$I:$I,Paradas_Detalhadas!$A:$A,A378,Paradas_Detalhadas!$B:$B,B378,Paradas_Detalhadas!$C:$C,C378,Paradas_Detalhadas!$D:$D,E378))</f>
        <v/>
      </c>
      <c r="H378" s="26" t="str">
        <f t="shared" si="30"/>
        <v/>
      </c>
      <c r="I378" s="10"/>
      <c r="J378" s="10"/>
      <c r="K378" s="10" t="str">
        <f t="shared" si="31"/>
        <v/>
      </c>
      <c r="L378" s="10" t="str">
        <f t="shared" si="32"/>
        <v/>
      </c>
      <c r="M378" s="10" t="str">
        <f t="shared" si="33"/>
        <v/>
      </c>
      <c r="N378" s="10" t="str">
        <f t="shared" si="34"/>
        <v/>
      </c>
      <c r="O378" s="6"/>
      <c r="P378" s="6"/>
    </row>
    <row r="379" spans="1:16" x14ac:dyDescent="0.3">
      <c r="A379" s="6"/>
      <c r="B379" s="7"/>
      <c r="C379" s="6"/>
      <c r="D379" s="6"/>
      <c r="E379" s="6"/>
      <c r="F379" s="25"/>
      <c r="G379" s="25" t="str">
        <f>IF(A379="","",SUMIFS(Paradas_Detalhadas!$I:$I,Paradas_Detalhadas!$A:$A,A379,Paradas_Detalhadas!$B:$B,B379,Paradas_Detalhadas!$C:$C,C379,Paradas_Detalhadas!$D:$D,E379))</f>
        <v/>
      </c>
      <c r="H379" s="26" t="str">
        <f t="shared" si="30"/>
        <v/>
      </c>
      <c r="I379" s="10"/>
      <c r="J379" s="10"/>
      <c r="K379" s="10" t="str">
        <f t="shared" si="31"/>
        <v/>
      </c>
      <c r="L379" s="10" t="str">
        <f t="shared" si="32"/>
        <v/>
      </c>
      <c r="M379" s="10" t="str">
        <f t="shared" si="33"/>
        <v/>
      </c>
      <c r="N379" s="10" t="str">
        <f t="shared" si="34"/>
        <v/>
      </c>
      <c r="O379" s="6"/>
      <c r="P379" s="6"/>
    </row>
    <row r="380" spans="1:16" x14ac:dyDescent="0.3">
      <c r="A380" s="6"/>
      <c r="B380" s="7"/>
      <c r="C380" s="6"/>
      <c r="D380" s="6"/>
      <c r="E380" s="6"/>
      <c r="F380" s="25"/>
      <c r="G380" s="25" t="str">
        <f>IF(A380="","",SUMIFS(Paradas_Detalhadas!$I:$I,Paradas_Detalhadas!$A:$A,A380,Paradas_Detalhadas!$B:$B,B380,Paradas_Detalhadas!$C:$C,C380,Paradas_Detalhadas!$D:$D,E380))</f>
        <v/>
      </c>
      <c r="H380" s="26" t="str">
        <f t="shared" si="30"/>
        <v/>
      </c>
      <c r="I380" s="10"/>
      <c r="J380" s="10"/>
      <c r="K380" s="10" t="str">
        <f t="shared" si="31"/>
        <v/>
      </c>
      <c r="L380" s="10" t="str">
        <f t="shared" si="32"/>
        <v/>
      </c>
      <c r="M380" s="10" t="str">
        <f t="shared" si="33"/>
        <v/>
      </c>
      <c r="N380" s="10" t="str">
        <f t="shared" si="34"/>
        <v/>
      </c>
      <c r="O380" s="6"/>
      <c r="P380" s="6"/>
    </row>
    <row r="381" spans="1:16" x14ac:dyDescent="0.3">
      <c r="A381" s="6"/>
      <c r="B381" s="7"/>
      <c r="C381" s="6"/>
      <c r="D381" s="6"/>
      <c r="E381" s="6"/>
      <c r="F381" s="25"/>
      <c r="G381" s="25" t="str">
        <f>IF(A381="","",SUMIFS(Paradas_Detalhadas!$I:$I,Paradas_Detalhadas!$A:$A,A381,Paradas_Detalhadas!$B:$B,B381,Paradas_Detalhadas!$C:$C,C381,Paradas_Detalhadas!$D:$D,E381))</f>
        <v/>
      </c>
      <c r="H381" s="26" t="str">
        <f t="shared" si="30"/>
        <v/>
      </c>
      <c r="I381" s="10"/>
      <c r="J381" s="10"/>
      <c r="K381" s="10" t="str">
        <f t="shared" si="31"/>
        <v/>
      </c>
      <c r="L381" s="10" t="str">
        <f t="shared" si="32"/>
        <v/>
      </c>
      <c r="M381" s="10" t="str">
        <f t="shared" si="33"/>
        <v/>
      </c>
      <c r="N381" s="10" t="str">
        <f t="shared" si="34"/>
        <v/>
      </c>
      <c r="O381" s="6"/>
      <c r="P381" s="6"/>
    </row>
    <row r="382" spans="1:16" x14ac:dyDescent="0.3">
      <c r="A382" s="6"/>
      <c r="B382" s="7"/>
      <c r="C382" s="6"/>
      <c r="D382" s="6"/>
      <c r="E382" s="6"/>
      <c r="F382" s="25"/>
      <c r="G382" s="25" t="str">
        <f>IF(A382="","",SUMIFS(Paradas_Detalhadas!$I:$I,Paradas_Detalhadas!$A:$A,A382,Paradas_Detalhadas!$B:$B,B382,Paradas_Detalhadas!$C:$C,C382,Paradas_Detalhadas!$D:$D,E382))</f>
        <v/>
      </c>
      <c r="H382" s="26" t="str">
        <f t="shared" si="30"/>
        <v/>
      </c>
      <c r="I382" s="10"/>
      <c r="J382" s="10"/>
      <c r="K382" s="10" t="str">
        <f t="shared" si="31"/>
        <v/>
      </c>
      <c r="L382" s="10" t="str">
        <f t="shared" si="32"/>
        <v/>
      </c>
      <c r="M382" s="10" t="str">
        <f t="shared" si="33"/>
        <v/>
      </c>
      <c r="N382" s="10" t="str">
        <f t="shared" si="34"/>
        <v/>
      </c>
      <c r="O382" s="6"/>
      <c r="P382" s="6"/>
    </row>
    <row r="383" spans="1:16" x14ac:dyDescent="0.3">
      <c r="A383" s="6"/>
      <c r="B383" s="7"/>
      <c r="C383" s="6"/>
      <c r="D383" s="6"/>
      <c r="E383" s="6"/>
      <c r="F383" s="25"/>
      <c r="G383" s="25" t="str">
        <f>IF(A383="","",SUMIFS(Paradas_Detalhadas!$I:$I,Paradas_Detalhadas!$A:$A,A383,Paradas_Detalhadas!$B:$B,B383,Paradas_Detalhadas!$C:$C,C383,Paradas_Detalhadas!$D:$D,E383))</f>
        <v/>
      </c>
      <c r="H383" s="26" t="str">
        <f t="shared" si="30"/>
        <v/>
      </c>
      <c r="I383" s="10"/>
      <c r="J383" s="10"/>
      <c r="K383" s="10" t="str">
        <f t="shared" si="31"/>
        <v/>
      </c>
      <c r="L383" s="10" t="str">
        <f t="shared" si="32"/>
        <v/>
      </c>
      <c r="M383" s="10" t="str">
        <f t="shared" si="33"/>
        <v/>
      </c>
      <c r="N383" s="10" t="str">
        <f t="shared" si="34"/>
        <v/>
      </c>
      <c r="O383" s="6"/>
      <c r="P383" s="6"/>
    </row>
    <row r="384" spans="1:16" x14ac:dyDescent="0.3">
      <c r="A384" s="6"/>
      <c r="B384" s="7"/>
      <c r="C384" s="6"/>
      <c r="D384" s="6"/>
      <c r="E384" s="6"/>
      <c r="F384" s="25"/>
      <c r="G384" s="25" t="str">
        <f>IF(A384="","",SUMIFS(Paradas_Detalhadas!$I:$I,Paradas_Detalhadas!$A:$A,A384,Paradas_Detalhadas!$B:$B,B384,Paradas_Detalhadas!$C:$C,C384,Paradas_Detalhadas!$D:$D,E384))</f>
        <v/>
      </c>
      <c r="H384" s="26" t="str">
        <f t="shared" si="30"/>
        <v/>
      </c>
      <c r="I384" s="10"/>
      <c r="J384" s="10"/>
      <c r="K384" s="10" t="str">
        <f t="shared" si="31"/>
        <v/>
      </c>
      <c r="L384" s="10" t="str">
        <f t="shared" si="32"/>
        <v/>
      </c>
      <c r="M384" s="10" t="str">
        <f t="shared" si="33"/>
        <v/>
      </c>
      <c r="N384" s="10" t="str">
        <f t="shared" si="34"/>
        <v/>
      </c>
      <c r="O384" s="6"/>
      <c r="P384" s="6"/>
    </row>
    <row r="385" spans="1:16" x14ac:dyDescent="0.3">
      <c r="A385" s="6"/>
      <c r="B385" s="7"/>
      <c r="C385" s="6"/>
      <c r="D385" s="6"/>
      <c r="E385" s="6"/>
      <c r="F385" s="25"/>
      <c r="G385" s="25" t="str">
        <f>IF(A385="","",SUMIFS(Paradas_Detalhadas!$I:$I,Paradas_Detalhadas!$A:$A,A385,Paradas_Detalhadas!$B:$B,B385,Paradas_Detalhadas!$C:$C,C385,Paradas_Detalhadas!$D:$D,E385))</f>
        <v/>
      </c>
      <c r="H385" s="26" t="str">
        <f t="shared" si="30"/>
        <v/>
      </c>
      <c r="I385" s="10"/>
      <c r="J385" s="10"/>
      <c r="K385" s="10" t="str">
        <f t="shared" si="31"/>
        <v/>
      </c>
      <c r="L385" s="10" t="str">
        <f t="shared" si="32"/>
        <v/>
      </c>
      <c r="M385" s="10" t="str">
        <f t="shared" si="33"/>
        <v/>
      </c>
      <c r="N385" s="10" t="str">
        <f t="shared" si="34"/>
        <v/>
      </c>
      <c r="O385" s="6"/>
      <c r="P385" s="6"/>
    </row>
    <row r="386" spans="1:16" x14ac:dyDescent="0.3">
      <c r="A386" s="6"/>
      <c r="B386" s="7"/>
      <c r="C386" s="6"/>
      <c r="D386" s="6"/>
      <c r="E386" s="6"/>
      <c r="F386" s="25"/>
      <c r="G386" s="25" t="str">
        <f>IF(A386="","",SUMIFS(Paradas_Detalhadas!$I:$I,Paradas_Detalhadas!$A:$A,A386,Paradas_Detalhadas!$B:$B,B386,Paradas_Detalhadas!$C:$C,C386,Paradas_Detalhadas!$D:$D,E386))</f>
        <v/>
      </c>
      <c r="H386" s="26" t="str">
        <f t="shared" si="30"/>
        <v/>
      </c>
      <c r="I386" s="10"/>
      <c r="J386" s="10"/>
      <c r="K386" s="10" t="str">
        <f t="shared" si="31"/>
        <v/>
      </c>
      <c r="L386" s="10" t="str">
        <f t="shared" si="32"/>
        <v/>
      </c>
      <c r="M386" s="10" t="str">
        <f t="shared" si="33"/>
        <v/>
      </c>
      <c r="N386" s="10" t="str">
        <f t="shared" si="34"/>
        <v/>
      </c>
      <c r="O386" s="6"/>
      <c r="P386" s="6"/>
    </row>
    <row r="387" spans="1:16" x14ac:dyDescent="0.3">
      <c r="A387" s="6"/>
      <c r="B387" s="7"/>
      <c r="C387" s="6"/>
      <c r="D387" s="6"/>
      <c r="E387" s="6"/>
      <c r="F387" s="25"/>
      <c r="G387" s="25" t="str">
        <f>IF(A387="","",SUMIFS(Paradas_Detalhadas!$I:$I,Paradas_Detalhadas!$A:$A,A387,Paradas_Detalhadas!$B:$B,B387,Paradas_Detalhadas!$C:$C,C387,Paradas_Detalhadas!$D:$D,E387))</f>
        <v/>
      </c>
      <c r="H387" s="26" t="str">
        <f t="shared" si="30"/>
        <v/>
      </c>
      <c r="I387" s="10"/>
      <c r="J387" s="10"/>
      <c r="K387" s="10" t="str">
        <f t="shared" si="31"/>
        <v/>
      </c>
      <c r="L387" s="10" t="str">
        <f t="shared" si="32"/>
        <v/>
      </c>
      <c r="M387" s="10" t="str">
        <f t="shared" si="33"/>
        <v/>
      </c>
      <c r="N387" s="10" t="str">
        <f t="shared" si="34"/>
        <v/>
      </c>
      <c r="O387" s="6"/>
      <c r="P387" s="6"/>
    </row>
    <row r="388" spans="1:16" x14ac:dyDescent="0.3">
      <c r="A388" s="6"/>
      <c r="B388" s="7"/>
      <c r="C388" s="6"/>
      <c r="D388" s="6"/>
      <c r="E388" s="6"/>
      <c r="F388" s="25"/>
      <c r="G388" s="25" t="str">
        <f>IF(A388="","",SUMIFS(Paradas_Detalhadas!$I:$I,Paradas_Detalhadas!$A:$A,A388,Paradas_Detalhadas!$B:$B,B388,Paradas_Detalhadas!$C:$C,C388,Paradas_Detalhadas!$D:$D,E388))</f>
        <v/>
      </c>
      <c r="H388" s="26" t="str">
        <f t="shared" si="30"/>
        <v/>
      </c>
      <c r="I388" s="10"/>
      <c r="J388" s="10"/>
      <c r="K388" s="10" t="str">
        <f t="shared" si="31"/>
        <v/>
      </c>
      <c r="L388" s="10" t="str">
        <f t="shared" si="32"/>
        <v/>
      </c>
      <c r="M388" s="10" t="str">
        <f t="shared" si="33"/>
        <v/>
      </c>
      <c r="N388" s="10" t="str">
        <f t="shared" si="34"/>
        <v/>
      </c>
      <c r="O388" s="6"/>
      <c r="P388" s="6"/>
    </row>
    <row r="389" spans="1:16" x14ac:dyDescent="0.3">
      <c r="A389" s="6"/>
      <c r="B389" s="7"/>
      <c r="C389" s="6"/>
      <c r="D389" s="6"/>
      <c r="E389" s="6"/>
      <c r="F389" s="25"/>
      <c r="G389" s="25" t="str">
        <f>IF(A389="","",SUMIFS(Paradas_Detalhadas!$I:$I,Paradas_Detalhadas!$A:$A,A389,Paradas_Detalhadas!$B:$B,B389,Paradas_Detalhadas!$C:$C,C389,Paradas_Detalhadas!$D:$D,E389))</f>
        <v/>
      </c>
      <c r="H389" s="26" t="str">
        <f t="shared" si="30"/>
        <v/>
      </c>
      <c r="I389" s="10"/>
      <c r="J389" s="10"/>
      <c r="K389" s="10" t="str">
        <f t="shared" si="31"/>
        <v/>
      </c>
      <c r="L389" s="10" t="str">
        <f t="shared" si="32"/>
        <v/>
      </c>
      <c r="M389" s="10" t="str">
        <f t="shared" si="33"/>
        <v/>
      </c>
      <c r="N389" s="10" t="str">
        <f t="shared" si="34"/>
        <v/>
      </c>
      <c r="O389" s="6"/>
      <c r="P389" s="6"/>
    </row>
    <row r="390" spans="1:16" x14ac:dyDescent="0.3">
      <c r="A390" s="6"/>
      <c r="B390" s="7"/>
      <c r="C390" s="6"/>
      <c r="D390" s="6"/>
      <c r="E390" s="6"/>
      <c r="F390" s="25"/>
      <c r="G390" s="25" t="str">
        <f>IF(A390="","",SUMIFS(Paradas_Detalhadas!$I:$I,Paradas_Detalhadas!$A:$A,A390,Paradas_Detalhadas!$B:$B,B390,Paradas_Detalhadas!$C:$C,C390,Paradas_Detalhadas!$D:$D,E390))</f>
        <v/>
      </c>
      <c r="H390" s="26" t="str">
        <f t="shared" si="30"/>
        <v/>
      </c>
      <c r="I390" s="10"/>
      <c r="J390" s="10"/>
      <c r="K390" s="10" t="str">
        <f t="shared" si="31"/>
        <v/>
      </c>
      <c r="L390" s="10" t="str">
        <f t="shared" si="32"/>
        <v/>
      </c>
      <c r="M390" s="10" t="str">
        <f t="shared" si="33"/>
        <v/>
      </c>
      <c r="N390" s="10" t="str">
        <f t="shared" si="34"/>
        <v/>
      </c>
      <c r="O390" s="6"/>
      <c r="P390" s="6"/>
    </row>
    <row r="391" spans="1:16" x14ac:dyDescent="0.3">
      <c r="A391" s="6"/>
      <c r="B391" s="7"/>
      <c r="C391" s="6"/>
      <c r="D391" s="6"/>
      <c r="E391" s="6"/>
      <c r="F391" s="25"/>
      <c r="G391" s="25" t="str">
        <f>IF(A391="","",SUMIFS(Paradas_Detalhadas!$I:$I,Paradas_Detalhadas!$A:$A,A391,Paradas_Detalhadas!$B:$B,B391,Paradas_Detalhadas!$C:$C,C391,Paradas_Detalhadas!$D:$D,E391))</f>
        <v/>
      </c>
      <c r="H391" s="26" t="str">
        <f t="shared" si="30"/>
        <v/>
      </c>
      <c r="I391" s="10"/>
      <c r="J391" s="10"/>
      <c r="K391" s="10" t="str">
        <f t="shared" si="31"/>
        <v/>
      </c>
      <c r="L391" s="10" t="str">
        <f t="shared" si="32"/>
        <v/>
      </c>
      <c r="M391" s="10" t="str">
        <f t="shared" si="33"/>
        <v/>
      </c>
      <c r="N391" s="10" t="str">
        <f t="shared" si="34"/>
        <v/>
      </c>
      <c r="O391" s="6"/>
      <c r="P391" s="6"/>
    </row>
    <row r="392" spans="1:16" x14ac:dyDescent="0.3">
      <c r="A392" s="6"/>
      <c r="B392" s="7"/>
      <c r="C392" s="6"/>
      <c r="D392" s="6"/>
      <c r="E392" s="6"/>
      <c r="F392" s="25"/>
      <c r="G392" s="25" t="str">
        <f>IF(A392="","",SUMIFS(Paradas_Detalhadas!$I:$I,Paradas_Detalhadas!$A:$A,A392,Paradas_Detalhadas!$B:$B,B392,Paradas_Detalhadas!$C:$C,C392,Paradas_Detalhadas!$D:$D,E392))</f>
        <v/>
      </c>
      <c r="H392" s="26" t="str">
        <f t="shared" si="30"/>
        <v/>
      </c>
      <c r="I392" s="10"/>
      <c r="J392" s="10"/>
      <c r="K392" s="10" t="str">
        <f t="shared" si="31"/>
        <v/>
      </c>
      <c r="L392" s="10" t="str">
        <f t="shared" si="32"/>
        <v/>
      </c>
      <c r="M392" s="10" t="str">
        <f t="shared" si="33"/>
        <v/>
      </c>
      <c r="N392" s="10" t="str">
        <f t="shared" si="34"/>
        <v/>
      </c>
      <c r="O392" s="6"/>
      <c r="P392" s="6"/>
    </row>
    <row r="393" spans="1:16" x14ac:dyDescent="0.3">
      <c r="A393" s="6"/>
      <c r="B393" s="7"/>
      <c r="C393" s="6"/>
      <c r="D393" s="6"/>
      <c r="E393" s="6"/>
      <c r="F393" s="25"/>
      <c r="G393" s="25" t="str">
        <f>IF(A393="","",SUMIFS(Paradas_Detalhadas!$I:$I,Paradas_Detalhadas!$A:$A,A393,Paradas_Detalhadas!$B:$B,B393,Paradas_Detalhadas!$C:$C,C393,Paradas_Detalhadas!$D:$D,E393))</f>
        <v/>
      </c>
      <c r="H393" s="26" t="str">
        <f t="shared" si="30"/>
        <v/>
      </c>
      <c r="I393" s="10"/>
      <c r="J393" s="10"/>
      <c r="K393" s="10" t="str">
        <f t="shared" si="31"/>
        <v/>
      </c>
      <c r="L393" s="10" t="str">
        <f t="shared" si="32"/>
        <v/>
      </c>
      <c r="M393" s="10" t="str">
        <f t="shared" si="33"/>
        <v/>
      </c>
      <c r="N393" s="10" t="str">
        <f t="shared" si="34"/>
        <v/>
      </c>
      <c r="O393" s="6"/>
      <c r="P393" s="6"/>
    </row>
    <row r="394" spans="1:16" x14ac:dyDescent="0.3">
      <c r="A394" s="6"/>
      <c r="B394" s="7"/>
      <c r="C394" s="6"/>
      <c r="D394" s="6"/>
      <c r="E394" s="6"/>
      <c r="F394" s="25"/>
      <c r="G394" s="25" t="str">
        <f>IF(A394="","",SUMIFS(Paradas_Detalhadas!$I:$I,Paradas_Detalhadas!$A:$A,A394,Paradas_Detalhadas!$B:$B,B394,Paradas_Detalhadas!$C:$C,C394,Paradas_Detalhadas!$D:$D,E394))</f>
        <v/>
      </c>
      <c r="H394" s="26" t="str">
        <f t="shared" si="30"/>
        <v/>
      </c>
      <c r="I394" s="10"/>
      <c r="J394" s="10"/>
      <c r="K394" s="10" t="str">
        <f t="shared" si="31"/>
        <v/>
      </c>
      <c r="L394" s="10" t="str">
        <f t="shared" si="32"/>
        <v/>
      </c>
      <c r="M394" s="10" t="str">
        <f t="shared" si="33"/>
        <v/>
      </c>
      <c r="N394" s="10" t="str">
        <f t="shared" si="34"/>
        <v/>
      </c>
      <c r="O394" s="6"/>
      <c r="P394" s="6"/>
    </row>
    <row r="395" spans="1:16" x14ac:dyDescent="0.3">
      <c r="A395" s="6"/>
      <c r="B395" s="7"/>
      <c r="C395" s="6"/>
      <c r="D395" s="6"/>
      <c r="E395" s="6"/>
      <c r="F395" s="25"/>
      <c r="G395" s="25" t="str">
        <f>IF(A395="","",SUMIFS(Paradas_Detalhadas!$I:$I,Paradas_Detalhadas!$A:$A,A395,Paradas_Detalhadas!$B:$B,B395,Paradas_Detalhadas!$C:$C,C395,Paradas_Detalhadas!$D:$D,E395))</f>
        <v/>
      </c>
      <c r="H395" s="26" t="str">
        <f t="shared" si="30"/>
        <v/>
      </c>
      <c r="I395" s="10"/>
      <c r="J395" s="10"/>
      <c r="K395" s="10" t="str">
        <f t="shared" si="31"/>
        <v/>
      </c>
      <c r="L395" s="10" t="str">
        <f t="shared" si="32"/>
        <v/>
      </c>
      <c r="M395" s="10" t="str">
        <f t="shared" si="33"/>
        <v/>
      </c>
      <c r="N395" s="10" t="str">
        <f t="shared" si="34"/>
        <v/>
      </c>
      <c r="O395" s="6"/>
      <c r="P395" s="6"/>
    </row>
    <row r="396" spans="1:16" x14ac:dyDescent="0.3">
      <c r="A396" s="6"/>
      <c r="B396" s="7"/>
      <c r="C396" s="6"/>
      <c r="D396" s="6"/>
      <c r="E396" s="6"/>
      <c r="F396" s="25"/>
      <c r="G396" s="25" t="str">
        <f>IF(A396="","",SUMIFS(Paradas_Detalhadas!$I:$I,Paradas_Detalhadas!$A:$A,A396,Paradas_Detalhadas!$B:$B,B396,Paradas_Detalhadas!$C:$C,C396,Paradas_Detalhadas!$D:$D,E396))</f>
        <v/>
      </c>
      <c r="H396" s="26" t="str">
        <f t="shared" si="30"/>
        <v/>
      </c>
      <c r="I396" s="10"/>
      <c r="J396" s="10"/>
      <c r="K396" s="10" t="str">
        <f t="shared" si="31"/>
        <v/>
      </c>
      <c r="L396" s="10" t="str">
        <f t="shared" si="32"/>
        <v/>
      </c>
      <c r="M396" s="10" t="str">
        <f t="shared" si="33"/>
        <v/>
      </c>
      <c r="N396" s="10" t="str">
        <f t="shared" si="34"/>
        <v/>
      </c>
      <c r="O396" s="6"/>
      <c r="P396" s="6"/>
    </row>
    <row r="397" spans="1:16" x14ac:dyDescent="0.3">
      <c r="A397" s="6"/>
      <c r="B397" s="7"/>
      <c r="C397" s="6"/>
      <c r="D397" s="6"/>
      <c r="E397" s="6"/>
      <c r="F397" s="25"/>
      <c r="G397" s="25" t="str">
        <f>IF(A397="","",SUMIFS(Paradas_Detalhadas!$I:$I,Paradas_Detalhadas!$A:$A,A397,Paradas_Detalhadas!$B:$B,B397,Paradas_Detalhadas!$C:$C,C397,Paradas_Detalhadas!$D:$D,E397))</f>
        <v/>
      </c>
      <c r="H397" s="26" t="str">
        <f t="shared" si="30"/>
        <v/>
      </c>
      <c r="I397" s="10"/>
      <c r="J397" s="10"/>
      <c r="K397" s="10" t="str">
        <f t="shared" si="31"/>
        <v/>
      </c>
      <c r="L397" s="10" t="str">
        <f t="shared" si="32"/>
        <v/>
      </c>
      <c r="M397" s="10" t="str">
        <f t="shared" si="33"/>
        <v/>
      </c>
      <c r="N397" s="10" t="str">
        <f t="shared" si="34"/>
        <v/>
      </c>
      <c r="O397" s="6"/>
      <c r="P397" s="6"/>
    </row>
    <row r="398" spans="1:16" x14ac:dyDescent="0.3">
      <c r="A398" s="6"/>
      <c r="B398" s="7"/>
      <c r="C398" s="6"/>
      <c r="D398" s="6"/>
      <c r="E398" s="6"/>
      <c r="F398" s="25"/>
      <c r="G398" s="25" t="str">
        <f>IF(A398="","",SUMIFS(Paradas_Detalhadas!$I:$I,Paradas_Detalhadas!$A:$A,A398,Paradas_Detalhadas!$B:$B,B398,Paradas_Detalhadas!$C:$C,C398,Paradas_Detalhadas!$D:$D,E398))</f>
        <v/>
      </c>
      <c r="H398" s="26" t="str">
        <f t="shared" si="30"/>
        <v/>
      </c>
      <c r="I398" s="10"/>
      <c r="J398" s="10"/>
      <c r="K398" s="10" t="str">
        <f t="shared" si="31"/>
        <v/>
      </c>
      <c r="L398" s="10" t="str">
        <f t="shared" si="32"/>
        <v/>
      </c>
      <c r="M398" s="10" t="str">
        <f t="shared" si="33"/>
        <v/>
      </c>
      <c r="N398" s="10" t="str">
        <f t="shared" si="34"/>
        <v/>
      </c>
      <c r="O398" s="6"/>
      <c r="P398" s="6"/>
    </row>
    <row r="399" spans="1:16" x14ac:dyDescent="0.3">
      <c r="A399" s="6"/>
      <c r="B399" s="7"/>
      <c r="C399" s="6"/>
      <c r="D399" s="6"/>
      <c r="E399" s="6"/>
      <c r="F399" s="25"/>
      <c r="G399" s="25" t="str">
        <f>IF(A399="","",SUMIFS(Paradas_Detalhadas!$I:$I,Paradas_Detalhadas!$A:$A,A399,Paradas_Detalhadas!$B:$B,B399,Paradas_Detalhadas!$C:$C,C399,Paradas_Detalhadas!$D:$D,E399))</f>
        <v/>
      </c>
      <c r="H399" s="26" t="str">
        <f t="shared" si="30"/>
        <v/>
      </c>
      <c r="I399" s="10"/>
      <c r="J399" s="10"/>
      <c r="K399" s="10" t="str">
        <f t="shared" si="31"/>
        <v/>
      </c>
      <c r="L399" s="10" t="str">
        <f t="shared" si="32"/>
        <v/>
      </c>
      <c r="M399" s="10" t="str">
        <f t="shared" si="33"/>
        <v/>
      </c>
      <c r="N399" s="10" t="str">
        <f t="shared" si="34"/>
        <v/>
      </c>
      <c r="O399" s="6"/>
      <c r="P399" s="6"/>
    </row>
    <row r="400" spans="1:16" x14ac:dyDescent="0.3">
      <c r="A400" s="6"/>
      <c r="B400" s="7"/>
      <c r="C400" s="6"/>
      <c r="D400" s="6"/>
      <c r="E400" s="6"/>
      <c r="F400" s="25"/>
      <c r="G400" s="25" t="str">
        <f>IF(A400="","",SUMIFS(Paradas_Detalhadas!$I:$I,Paradas_Detalhadas!$A:$A,A400,Paradas_Detalhadas!$B:$B,B400,Paradas_Detalhadas!$C:$C,C400,Paradas_Detalhadas!$D:$D,E400))</f>
        <v/>
      </c>
      <c r="H400" s="26" t="str">
        <f t="shared" si="30"/>
        <v/>
      </c>
      <c r="I400" s="10"/>
      <c r="J400" s="10"/>
      <c r="K400" s="10" t="str">
        <f t="shared" si="31"/>
        <v/>
      </c>
      <c r="L400" s="10" t="str">
        <f t="shared" si="32"/>
        <v/>
      </c>
      <c r="M400" s="10" t="str">
        <f t="shared" si="33"/>
        <v/>
      </c>
      <c r="N400" s="10" t="str">
        <f t="shared" si="34"/>
        <v/>
      </c>
      <c r="O400" s="6"/>
      <c r="P400" s="6"/>
    </row>
    <row r="401" spans="1:16" x14ac:dyDescent="0.3">
      <c r="A401" s="6"/>
      <c r="B401" s="7"/>
      <c r="C401" s="6"/>
      <c r="D401" s="6"/>
      <c r="E401" s="6"/>
      <c r="F401" s="25"/>
      <c r="G401" s="25" t="str">
        <f>IF(A401="","",SUMIFS(Paradas_Detalhadas!$I:$I,Paradas_Detalhadas!$A:$A,A401,Paradas_Detalhadas!$B:$B,B401,Paradas_Detalhadas!$C:$C,C401,Paradas_Detalhadas!$D:$D,E401))</f>
        <v/>
      </c>
      <c r="H401" s="26" t="str">
        <f t="shared" si="30"/>
        <v/>
      </c>
      <c r="I401" s="10"/>
      <c r="J401" s="10"/>
      <c r="K401" s="10" t="str">
        <f t="shared" si="31"/>
        <v/>
      </c>
      <c r="L401" s="10" t="str">
        <f t="shared" si="32"/>
        <v/>
      </c>
      <c r="M401" s="10" t="str">
        <f t="shared" si="33"/>
        <v/>
      </c>
      <c r="N401" s="10" t="str">
        <f t="shared" si="34"/>
        <v/>
      </c>
      <c r="O401" s="6"/>
      <c r="P401" s="6"/>
    </row>
    <row r="402" spans="1:16" x14ac:dyDescent="0.3">
      <c r="A402" s="6"/>
      <c r="B402" s="7"/>
      <c r="C402" s="6"/>
      <c r="D402" s="6"/>
      <c r="E402" s="6"/>
      <c r="F402" s="25"/>
      <c r="G402" s="25" t="str">
        <f>IF(A402="","",SUMIFS(Paradas_Detalhadas!$I:$I,Paradas_Detalhadas!$A:$A,A402,Paradas_Detalhadas!$B:$B,B402,Paradas_Detalhadas!$C:$C,C402,Paradas_Detalhadas!$D:$D,E402))</f>
        <v/>
      </c>
      <c r="H402" s="26" t="str">
        <f t="shared" si="30"/>
        <v/>
      </c>
      <c r="I402" s="10"/>
      <c r="J402" s="10"/>
      <c r="K402" s="10" t="str">
        <f t="shared" si="31"/>
        <v/>
      </c>
      <c r="L402" s="10" t="str">
        <f t="shared" si="32"/>
        <v/>
      </c>
      <c r="M402" s="10" t="str">
        <f t="shared" si="33"/>
        <v/>
      </c>
      <c r="N402" s="10" t="str">
        <f t="shared" si="34"/>
        <v/>
      </c>
      <c r="O402" s="6"/>
      <c r="P402" s="6"/>
    </row>
    <row r="403" spans="1:16" x14ac:dyDescent="0.3">
      <c r="A403" s="6"/>
      <c r="B403" s="7"/>
      <c r="C403" s="6"/>
      <c r="D403" s="6"/>
      <c r="E403" s="6"/>
      <c r="F403" s="25"/>
      <c r="G403" s="25" t="str">
        <f>IF(A403="","",SUMIFS(Paradas_Detalhadas!$I:$I,Paradas_Detalhadas!$A:$A,A403,Paradas_Detalhadas!$B:$B,B403,Paradas_Detalhadas!$C:$C,C403,Paradas_Detalhadas!$D:$D,E403))</f>
        <v/>
      </c>
      <c r="H403" s="26" t="str">
        <f t="shared" si="30"/>
        <v/>
      </c>
      <c r="I403" s="10"/>
      <c r="J403" s="10"/>
      <c r="K403" s="10" t="str">
        <f t="shared" si="31"/>
        <v/>
      </c>
      <c r="L403" s="10" t="str">
        <f t="shared" si="32"/>
        <v/>
      </c>
      <c r="M403" s="10" t="str">
        <f t="shared" si="33"/>
        <v/>
      </c>
      <c r="N403" s="10" t="str">
        <f t="shared" si="34"/>
        <v/>
      </c>
      <c r="O403" s="6"/>
      <c r="P403" s="6"/>
    </row>
    <row r="404" spans="1:16" x14ac:dyDescent="0.3">
      <c r="A404" s="6"/>
      <c r="B404" s="7"/>
      <c r="C404" s="6"/>
      <c r="D404" s="6"/>
      <c r="E404" s="6"/>
      <c r="F404" s="25"/>
      <c r="G404" s="25" t="str">
        <f>IF(A404="","",SUMIFS(Paradas_Detalhadas!$I:$I,Paradas_Detalhadas!$A:$A,A404,Paradas_Detalhadas!$B:$B,B404,Paradas_Detalhadas!$C:$C,C404,Paradas_Detalhadas!$D:$D,E404))</f>
        <v/>
      </c>
      <c r="H404" s="26" t="str">
        <f t="shared" si="30"/>
        <v/>
      </c>
      <c r="I404" s="10"/>
      <c r="J404" s="10"/>
      <c r="K404" s="10" t="str">
        <f t="shared" si="31"/>
        <v/>
      </c>
      <c r="L404" s="10" t="str">
        <f t="shared" si="32"/>
        <v/>
      </c>
      <c r="M404" s="10" t="str">
        <f t="shared" si="33"/>
        <v/>
      </c>
      <c r="N404" s="10" t="str">
        <f t="shared" si="34"/>
        <v/>
      </c>
      <c r="O404" s="6"/>
      <c r="P404" s="6"/>
    </row>
    <row r="405" spans="1:16" x14ac:dyDescent="0.3">
      <c r="A405" s="6"/>
      <c r="B405" s="7"/>
      <c r="C405" s="6"/>
      <c r="D405" s="6"/>
      <c r="E405" s="6"/>
      <c r="F405" s="25"/>
      <c r="G405" s="25" t="str">
        <f>IF(A405="","",SUMIFS(Paradas_Detalhadas!$I:$I,Paradas_Detalhadas!$A:$A,A405,Paradas_Detalhadas!$B:$B,B405,Paradas_Detalhadas!$C:$C,C405,Paradas_Detalhadas!$D:$D,E405))</f>
        <v/>
      </c>
      <c r="H405" s="26" t="str">
        <f t="shared" si="30"/>
        <v/>
      </c>
      <c r="I405" s="10"/>
      <c r="J405" s="10"/>
      <c r="K405" s="10" t="str">
        <f t="shared" si="31"/>
        <v/>
      </c>
      <c r="L405" s="10" t="str">
        <f t="shared" si="32"/>
        <v/>
      </c>
      <c r="M405" s="10" t="str">
        <f t="shared" si="33"/>
        <v/>
      </c>
      <c r="N405" s="10" t="str">
        <f t="shared" si="34"/>
        <v/>
      </c>
      <c r="O405" s="6"/>
      <c r="P405" s="6"/>
    </row>
    <row r="406" spans="1:16" x14ac:dyDescent="0.3">
      <c r="A406" s="6"/>
      <c r="B406" s="7"/>
      <c r="C406" s="6"/>
      <c r="D406" s="6"/>
      <c r="E406" s="6"/>
      <c r="F406" s="25"/>
      <c r="G406" s="25" t="str">
        <f>IF(A406="","",SUMIFS(Paradas_Detalhadas!$I:$I,Paradas_Detalhadas!$A:$A,A406,Paradas_Detalhadas!$B:$B,B406,Paradas_Detalhadas!$C:$C,C406,Paradas_Detalhadas!$D:$D,E406))</f>
        <v/>
      </c>
      <c r="H406" s="26" t="str">
        <f t="shared" si="30"/>
        <v/>
      </c>
      <c r="I406" s="10"/>
      <c r="J406" s="10"/>
      <c r="K406" s="10" t="str">
        <f t="shared" si="31"/>
        <v/>
      </c>
      <c r="L406" s="10" t="str">
        <f t="shared" si="32"/>
        <v/>
      </c>
      <c r="M406" s="10" t="str">
        <f t="shared" si="33"/>
        <v/>
      </c>
      <c r="N406" s="10" t="str">
        <f t="shared" si="34"/>
        <v/>
      </c>
      <c r="O406" s="6"/>
      <c r="P406" s="6"/>
    </row>
    <row r="407" spans="1:16" x14ac:dyDescent="0.3">
      <c r="A407" s="6"/>
      <c r="B407" s="7"/>
      <c r="C407" s="6"/>
      <c r="D407" s="6"/>
      <c r="E407" s="6"/>
      <c r="F407" s="25"/>
      <c r="G407" s="25" t="str">
        <f>IF(A407="","",SUMIFS(Paradas_Detalhadas!$I:$I,Paradas_Detalhadas!$A:$A,A407,Paradas_Detalhadas!$B:$B,B407,Paradas_Detalhadas!$C:$C,C407,Paradas_Detalhadas!$D:$D,E407))</f>
        <v/>
      </c>
      <c r="H407" s="26" t="str">
        <f t="shared" si="30"/>
        <v/>
      </c>
      <c r="I407" s="10"/>
      <c r="J407" s="10"/>
      <c r="K407" s="10" t="str">
        <f t="shared" si="31"/>
        <v/>
      </c>
      <c r="L407" s="10" t="str">
        <f t="shared" si="32"/>
        <v/>
      </c>
      <c r="M407" s="10" t="str">
        <f t="shared" si="33"/>
        <v/>
      </c>
      <c r="N407" s="10" t="str">
        <f t="shared" si="34"/>
        <v/>
      </c>
      <c r="O407" s="6"/>
      <c r="P407" s="6"/>
    </row>
    <row r="408" spans="1:16" x14ac:dyDescent="0.3">
      <c r="A408" s="6"/>
      <c r="B408" s="7"/>
      <c r="C408" s="6"/>
      <c r="D408" s="6"/>
      <c r="E408" s="6"/>
      <c r="F408" s="25"/>
      <c r="G408" s="25" t="str">
        <f>IF(A408="","",SUMIFS(Paradas_Detalhadas!$I:$I,Paradas_Detalhadas!$A:$A,A408,Paradas_Detalhadas!$B:$B,B408,Paradas_Detalhadas!$C:$C,C408,Paradas_Detalhadas!$D:$D,E408))</f>
        <v/>
      </c>
      <c r="H408" s="26" t="str">
        <f t="shared" si="30"/>
        <v/>
      </c>
      <c r="I408" s="10"/>
      <c r="J408" s="10"/>
      <c r="K408" s="10" t="str">
        <f t="shared" si="31"/>
        <v/>
      </c>
      <c r="L408" s="10" t="str">
        <f t="shared" si="32"/>
        <v/>
      </c>
      <c r="M408" s="10" t="str">
        <f t="shared" si="33"/>
        <v/>
      </c>
      <c r="N408" s="10" t="str">
        <f t="shared" si="34"/>
        <v/>
      </c>
      <c r="O408" s="6"/>
      <c r="P408" s="6"/>
    </row>
    <row r="409" spans="1:16" x14ac:dyDescent="0.3">
      <c r="A409" s="6"/>
      <c r="B409" s="7"/>
      <c r="C409" s="6"/>
      <c r="D409" s="6"/>
      <c r="E409" s="6"/>
      <c r="F409" s="25"/>
      <c r="G409" s="25" t="str">
        <f>IF(A409="","",SUMIFS(Paradas_Detalhadas!$I:$I,Paradas_Detalhadas!$A:$A,A409,Paradas_Detalhadas!$B:$B,B409,Paradas_Detalhadas!$C:$C,C409,Paradas_Detalhadas!$D:$D,E409))</f>
        <v/>
      </c>
      <c r="H409" s="26" t="str">
        <f t="shared" si="30"/>
        <v/>
      </c>
      <c r="I409" s="10"/>
      <c r="J409" s="10"/>
      <c r="K409" s="10" t="str">
        <f t="shared" si="31"/>
        <v/>
      </c>
      <c r="L409" s="10" t="str">
        <f t="shared" si="32"/>
        <v/>
      </c>
      <c r="M409" s="10" t="str">
        <f t="shared" si="33"/>
        <v/>
      </c>
      <c r="N409" s="10" t="str">
        <f t="shared" si="34"/>
        <v/>
      </c>
      <c r="O409" s="6"/>
      <c r="P409" s="6"/>
    </row>
    <row r="410" spans="1:16" x14ac:dyDescent="0.3">
      <c r="A410" s="6"/>
      <c r="B410" s="7"/>
      <c r="C410" s="6"/>
      <c r="D410" s="6"/>
      <c r="E410" s="6"/>
      <c r="F410" s="25"/>
      <c r="G410" s="25" t="str">
        <f>IF(A410="","",SUMIFS(Paradas_Detalhadas!$I:$I,Paradas_Detalhadas!$A:$A,A410,Paradas_Detalhadas!$B:$B,B410,Paradas_Detalhadas!$C:$C,C410,Paradas_Detalhadas!$D:$D,E410))</f>
        <v/>
      </c>
      <c r="H410" s="26" t="str">
        <f t="shared" si="30"/>
        <v/>
      </c>
      <c r="I410" s="10"/>
      <c r="J410" s="10"/>
      <c r="K410" s="10" t="str">
        <f t="shared" si="31"/>
        <v/>
      </c>
      <c r="L410" s="10" t="str">
        <f t="shared" si="32"/>
        <v/>
      </c>
      <c r="M410" s="10" t="str">
        <f t="shared" si="33"/>
        <v/>
      </c>
      <c r="N410" s="10" t="str">
        <f t="shared" si="34"/>
        <v/>
      </c>
      <c r="O410" s="6"/>
      <c r="P410" s="6"/>
    </row>
    <row r="411" spans="1:16" x14ac:dyDescent="0.3">
      <c r="A411" s="6"/>
      <c r="B411" s="7"/>
      <c r="C411" s="6"/>
      <c r="D411" s="6"/>
      <c r="E411" s="6"/>
      <c r="F411" s="25"/>
      <c r="G411" s="25" t="str">
        <f>IF(A411="","",SUMIFS(Paradas_Detalhadas!$I:$I,Paradas_Detalhadas!$A:$A,A411,Paradas_Detalhadas!$B:$B,B411,Paradas_Detalhadas!$C:$C,C411,Paradas_Detalhadas!$D:$D,E411))</f>
        <v/>
      </c>
      <c r="H411" s="26" t="str">
        <f t="shared" si="30"/>
        <v/>
      </c>
      <c r="I411" s="10"/>
      <c r="J411" s="10"/>
      <c r="K411" s="10" t="str">
        <f t="shared" si="31"/>
        <v/>
      </c>
      <c r="L411" s="10" t="str">
        <f t="shared" si="32"/>
        <v/>
      </c>
      <c r="M411" s="10" t="str">
        <f t="shared" si="33"/>
        <v/>
      </c>
      <c r="N411" s="10" t="str">
        <f t="shared" si="34"/>
        <v/>
      </c>
      <c r="O411" s="6"/>
      <c r="P411" s="6"/>
    </row>
    <row r="412" spans="1:16" x14ac:dyDescent="0.3">
      <c r="A412" s="6"/>
      <c r="B412" s="7"/>
      <c r="C412" s="6"/>
      <c r="D412" s="6"/>
      <c r="E412" s="6"/>
      <c r="F412" s="25"/>
      <c r="G412" s="25" t="str">
        <f>IF(A412="","",SUMIFS(Paradas_Detalhadas!$I:$I,Paradas_Detalhadas!$A:$A,A412,Paradas_Detalhadas!$B:$B,B412,Paradas_Detalhadas!$C:$C,C412,Paradas_Detalhadas!$D:$D,E412))</f>
        <v/>
      </c>
      <c r="H412" s="26" t="str">
        <f t="shared" si="30"/>
        <v/>
      </c>
      <c r="I412" s="10"/>
      <c r="J412" s="10"/>
      <c r="K412" s="10" t="str">
        <f t="shared" si="31"/>
        <v/>
      </c>
      <c r="L412" s="10" t="str">
        <f t="shared" si="32"/>
        <v/>
      </c>
      <c r="M412" s="10" t="str">
        <f t="shared" si="33"/>
        <v/>
      </c>
      <c r="N412" s="10" t="str">
        <f t="shared" si="34"/>
        <v/>
      </c>
      <c r="O412" s="6"/>
      <c r="P412" s="6"/>
    </row>
    <row r="413" spans="1:16" x14ac:dyDescent="0.3">
      <c r="A413" s="6"/>
      <c r="B413" s="7"/>
      <c r="C413" s="6"/>
      <c r="D413" s="6"/>
      <c r="E413" s="6"/>
      <c r="F413" s="25"/>
      <c r="G413" s="25" t="str">
        <f>IF(A413="","",SUMIFS(Paradas_Detalhadas!$I:$I,Paradas_Detalhadas!$A:$A,A413,Paradas_Detalhadas!$B:$B,B413,Paradas_Detalhadas!$C:$C,C413,Paradas_Detalhadas!$D:$D,E413))</f>
        <v/>
      </c>
      <c r="H413" s="26" t="str">
        <f t="shared" si="30"/>
        <v/>
      </c>
      <c r="I413" s="10"/>
      <c r="J413" s="10"/>
      <c r="K413" s="10" t="str">
        <f t="shared" si="31"/>
        <v/>
      </c>
      <c r="L413" s="10" t="str">
        <f t="shared" si="32"/>
        <v/>
      </c>
      <c r="M413" s="10" t="str">
        <f t="shared" si="33"/>
        <v/>
      </c>
      <c r="N413" s="10" t="str">
        <f t="shared" si="34"/>
        <v/>
      </c>
      <c r="O413" s="6"/>
      <c r="P413" s="6"/>
    </row>
    <row r="414" spans="1:16" x14ac:dyDescent="0.3">
      <c r="A414" s="6"/>
      <c r="B414" s="7"/>
      <c r="C414" s="6"/>
      <c r="D414" s="6"/>
      <c r="E414" s="6"/>
      <c r="F414" s="25"/>
      <c r="G414" s="25" t="str">
        <f>IF(A414="","",SUMIFS(Paradas_Detalhadas!$I:$I,Paradas_Detalhadas!$A:$A,A414,Paradas_Detalhadas!$B:$B,B414,Paradas_Detalhadas!$C:$C,C414,Paradas_Detalhadas!$D:$D,E414))</f>
        <v/>
      </c>
      <c r="H414" s="26" t="str">
        <f t="shared" si="30"/>
        <v/>
      </c>
      <c r="I414" s="10"/>
      <c r="J414" s="10"/>
      <c r="K414" s="10" t="str">
        <f t="shared" si="31"/>
        <v/>
      </c>
      <c r="L414" s="10" t="str">
        <f t="shared" si="32"/>
        <v/>
      </c>
      <c r="M414" s="10" t="str">
        <f t="shared" si="33"/>
        <v/>
      </c>
      <c r="N414" s="10" t="str">
        <f t="shared" si="34"/>
        <v/>
      </c>
      <c r="O414" s="6"/>
      <c r="P414" s="6"/>
    </row>
    <row r="415" spans="1:16" x14ac:dyDescent="0.3">
      <c r="A415" s="6"/>
      <c r="B415" s="7"/>
      <c r="C415" s="6"/>
      <c r="D415" s="6"/>
      <c r="E415" s="6"/>
      <c r="F415" s="25"/>
      <c r="G415" s="25" t="str">
        <f>IF(A415="","",SUMIFS(Paradas_Detalhadas!$I:$I,Paradas_Detalhadas!$A:$A,A415,Paradas_Detalhadas!$B:$B,B415,Paradas_Detalhadas!$C:$C,C415,Paradas_Detalhadas!$D:$D,E415))</f>
        <v/>
      </c>
      <c r="H415" s="26" t="str">
        <f t="shared" si="30"/>
        <v/>
      </c>
      <c r="I415" s="10"/>
      <c r="J415" s="10"/>
      <c r="K415" s="10" t="str">
        <f t="shared" si="31"/>
        <v/>
      </c>
      <c r="L415" s="10" t="str">
        <f t="shared" si="32"/>
        <v/>
      </c>
      <c r="M415" s="10" t="str">
        <f t="shared" si="33"/>
        <v/>
      </c>
      <c r="N415" s="10" t="str">
        <f t="shared" si="34"/>
        <v/>
      </c>
      <c r="O415" s="6"/>
      <c r="P415" s="6"/>
    </row>
    <row r="416" spans="1:16" x14ac:dyDescent="0.3">
      <c r="A416" s="6"/>
      <c r="B416" s="7"/>
      <c r="C416" s="6"/>
      <c r="D416" s="6"/>
      <c r="E416" s="6"/>
      <c r="F416" s="25"/>
      <c r="G416" s="25" t="str">
        <f>IF(A416="","",SUMIFS(Paradas_Detalhadas!$I:$I,Paradas_Detalhadas!$A:$A,A416,Paradas_Detalhadas!$B:$B,B416,Paradas_Detalhadas!$C:$C,C416,Paradas_Detalhadas!$D:$D,E416))</f>
        <v/>
      </c>
      <c r="H416" s="26" t="str">
        <f t="shared" si="30"/>
        <v/>
      </c>
      <c r="I416" s="10"/>
      <c r="J416" s="10"/>
      <c r="K416" s="10" t="str">
        <f t="shared" si="31"/>
        <v/>
      </c>
      <c r="L416" s="10" t="str">
        <f t="shared" si="32"/>
        <v/>
      </c>
      <c r="M416" s="10" t="str">
        <f t="shared" si="33"/>
        <v/>
      </c>
      <c r="N416" s="10" t="str">
        <f t="shared" si="34"/>
        <v/>
      </c>
      <c r="O416" s="6"/>
      <c r="P416" s="6"/>
    </row>
    <row r="417" spans="1:16" x14ac:dyDescent="0.3">
      <c r="A417" s="6"/>
      <c r="B417" s="7"/>
      <c r="C417" s="6"/>
      <c r="D417" s="6"/>
      <c r="E417" s="6"/>
      <c r="F417" s="25"/>
      <c r="G417" s="25" t="str">
        <f>IF(A417="","",SUMIFS(Paradas_Detalhadas!$I:$I,Paradas_Detalhadas!$A:$A,A417,Paradas_Detalhadas!$B:$B,B417,Paradas_Detalhadas!$C:$C,C417,Paradas_Detalhadas!$D:$D,E417))</f>
        <v/>
      </c>
      <c r="H417" s="26" t="str">
        <f t="shared" si="30"/>
        <v/>
      </c>
      <c r="I417" s="10"/>
      <c r="J417" s="10"/>
      <c r="K417" s="10" t="str">
        <f t="shared" si="31"/>
        <v/>
      </c>
      <c r="L417" s="10" t="str">
        <f t="shared" si="32"/>
        <v/>
      </c>
      <c r="M417" s="10" t="str">
        <f t="shared" si="33"/>
        <v/>
      </c>
      <c r="N417" s="10" t="str">
        <f t="shared" si="34"/>
        <v/>
      </c>
      <c r="O417" s="6"/>
      <c r="P417" s="6"/>
    </row>
    <row r="418" spans="1:16" x14ac:dyDescent="0.3">
      <c r="A418" s="6"/>
      <c r="B418" s="7"/>
      <c r="C418" s="6"/>
      <c r="D418" s="6"/>
      <c r="E418" s="6"/>
      <c r="F418" s="25"/>
      <c r="G418" s="25" t="str">
        <f>IF(A418="","",SUMIFS(Paradas_Detalhadas!$I:$I,Paradas_Detalhadas!$A:$A,A418,Paradas_Detalhadas!$B:$B,B418,Paradas_Detalhadas!$C:$C,C418,Paradas_Detalhadas!$D:$D,E418))</f>
        <v/>
      </c>
      <c r="H418" s="26" t="str">
        <f t="shared" si="30"/>
        <v/>
      </c>
      <c r="I418" s="10"/>
      <c r="J418" s="10"/>
      <c r="K418" s="10" t="str">
        <f t="shared" si="31"/>
        <v/>
      </c>
      <c r="L418" s="10" t="str">
        <f t="shared" si="32"/>
        <v/>
      </c>
      <c r="M418" s="10" t="str">
        <f t="shared" si="33"/>
        <v/>
      </c>
      <c r="N418" s="10" t="str">
        <f t="shared" si="34"/>
        <v/>
      </c>
      <c r="O418" s="6"/>
      <c r="P418" s="6"/>
    </row>
    <row r="419" spans="1:16" x14ac:dyDescent="0.3">
      <c r="A419" s="6"/>
      <c r="B419" s="7"/>
      <c r="C419" s="6"/>
      <c r="D419" s="6"/>
      <c r="E419" s="6"/>
      <c r="F419" s="25"/>
      <c r="G419" s="25" t="str">
        <f>IF(A419="","",SUMIFS(Paradas_Detalhadas!$I:$I,Paradas_Detalhadas!$A:$A,A419,Paradas_Detalhadas!$B:$B,B419,Paradas_Detalhadas!$C:$C,C419,Paradas_Detalhadas!$D:$D,E419))</f>
        <v/>
      </c>
      <c r="H419" s="26" t="str">
        <f t="shared" si="30"/>
        <v/>
      </c>
      <c r="I419" s="10"/>
      <c r="J419" s="10"/>
      <c r="K419" s="10" t="str">
        <f t="shared" si="31"/>
        <v/>
      </c>
      <c r="L419" s="10" t="str">
        <f t="shared" si="32"/>
        <v/>
      </c>
      <c r="M419" s="10" t="str">
        <f t="shared" si="33"/>
        <v/>
      </c>
      <c r="N419" s="10" t="str">
        <f t="shared" si="34"/>
        <v/>
      </c>
      <c r="O419" s="6"/>
      <c r="P419" s="6"/>
    </row>
    <row r="420" spans="1:16" x14ac:dyDescent="0.3">
      <c r="A420" s="6"/>
      <c r="B420" s="7"/>
      <c r="C420" s="6"/>
      <c r="D420" s="6"/>
      <c r="E420" s="6"/>
      <c r="F420" s="25"/>
      <c r="G420" s="25" t="str">
        <f>IF(A420="","",SUMIFS(Paradas_Detalhadas!$I:$I,Paradas_Detalhadas!$A:$A,A420,Paradas_Detalhadas!$B:$B,B420,Paradas_Detalhadas!$C:$C,C420,Paradas_Detalhadas!$D:$D,E420))</f>
        <v/>
      </c>
      <c r="H420" s="26" t="str">
        <f t="shared" si="30"/>
        <v/>
      </c>
      <c r="I420" s="10"/>
      <c r="J420" s="10"/>
      <c r="K420" s="10" t="str">
        <f t="shared" si="31"/>
        <v/>
      </c>
      <c r="L420" s="10" t="str">
        <f t="shared" si="32"/>
        <v/>
      </c>
      <c r="M420" s="10" t="str">
        <f t="shared" si="33"/>
        <v/>
      </c>
      <c r="N420" s="10" t="str">
        <f t="shared" si="34"/>
        <v/>
      </c>
      <c r="O420" s="6"/>
      <c r="P420" s="6"/>
    </row>
    <row r="421" spans="1:16" x14ac:dyDescent="0.3">
      <c r="A421" s="6"/>
      <c r="B421" s="7"/>
      <c r="C421" s="6"/>
      <c r="D421" s="6"/>
      <c r="E421" s="6"/>
      <c r="F421" s="25"/>
      <c r="G421" s="25" t="str">
        <f>IF(A421="","",SUMIFS(Paradas_Detalhadas!$I:$I,Paradas_Detalhadas!$A:$A,A421,Paradas_Detalhadas!$B:$B,B421,Paradas_Detalhadas!$C:$C,C421,Paradas_Detalhadas!$D:$D,E421))</f>
        <v/>
      </c>
      <c r="H421" s="26" t="str">
        <f t="shared" si="30"/>
        <v/>
      </c>
      <c r="I421" s="10"/>
      <c r="J421" s="10"/>
      <c r="K421" s="10" t="str">
        <f t="shared" si="31"/>
        <v/>
      </c>
      <c r="L421" s="10" t="str">
        <f t="shared" si="32"/>
        <v/>
      </c>
      <c r="M421" s="10" t="str">
        <f t="shared" si="33"/>
        <v/>
      </c>
      <c r="N421" s="10" t="str">
        <f t="shared" si="34"/>
        <v/>
      </c>
      <c r="O421" s="6"/>
      <c r="P421" s="6"/>
    </row>
    <row r="422" spans="1:16" x14ac:dyDescent="0.3">
      <c r="A422" s="6"/>
      <c r="B422" s="7"/>
      <c r="C422" s="6"/>
      <c r="D422" s="6"/>
      <c r="E422" s="6"/>
      <c r="F422" s="25"/>
      <c r="G422" s="25" t="str">
        <f>IF(A422="","",SUMIFS(Paradas_Detalhadas!$I:$I,Paradas_Detalhadas!$A:$A,A422,Paradas_Detalhadas!$B:$B,B422,Paradas_Detalhadas!$C:$C,C422,Paradas_Detalhadas!$D:$D,E422))</f>
        <v/>
      </c>
      <c r="H422" s="26" t="str">
        <f t="shared" si="30"/>
        <v/>
      </c>
      <c r="I422" s="10"/>
      <c r="J422" s="10"/>
      <c r="K422" s="10" t="str">
        <f t="shared" si="31"/>
        <v/>
      </c>
      <c r="L422" s="10" t="str">
        <f t="shared" si="32"/>
        <v/>
      </c>
      <c r="M422" s="10" t="str">
        <f t="shared" si="33"/>
        <v/>
      </c>
      <c r="N422" s="10" t="str">
        <f t="shared" si="34"/>
        <v/>
      </c>
      <c r="O422" s="6"/>
      <c r="P422" s="6"/>
    </row>
    <row r="423" spans="1:16" x14ac:dyDescent="0.3">
      <c r="A423" s="6"/>
      <c r="B423" s="7"/>
      <c r="C423" s="6"/>
      <c r="D423" s="6"/>
      <c r="E423" s="6"/>
      <c r="F423" s="25"/>
      <c r="G423" s="25" t="str">
        <f>IF(A423="","",SUMIFS(Paradas_Detalhadas!$I:$I,Paradas_Detalhadas!$A:$A,A423,Paradas_Detalhadas!$B:$B,B423,Paradas_Detalhadas!$C:$C,C423,Paradas_Detalhadas!$D:$D,E423))</f>
        <v/>
      </c>
      <c r="H423" s="26" t="str">
        <f t="shared" si="30"/>
        <v/>
      </c>
      <c r="I423" s="10"/>
      <c r="J423" s="10"/>
      <c r="K423" s="10" t="str">
        <f t="shared" si="31"/>
        <v/>
      </c>
      <c r="L423" s="10" t="str">
        <f t="shared" si="32"/>
        <v/>
      </c>
      <c r="M423" s="10" t="str">
        <f t="shared" si="33"/>
        <v/>
      </c>
      <c r="N423" s="10" t="str">
        <f t="shared" si="34"/>
        <v/>
      </c>
      <c r="O423" s="6"/>
      <c r="P423" s="6"/>
    </row>
    <row r="424" spans="1:16" x14ac:dyDescent="0.3">
      <c r="A424" s="6"/>
      <c r="B424" s="7"/>
      <c r="C424" s="6"/>
      <c r="D424" s="6"/>
      <c r="E424" s="6"/>
      <c r="F424" s="25"/>
      <c r="G424" s="25" t="str">
        <f>IF(A424="","",SUMIFS(Paradas_Detalhadas!$I:$I,Paradas_Detalhadas!$A:$A,A424,Paradas_Detalhadas!$B:$B,B424,Paradas_Detalhadas!$C:$C,C424,Paradas_Detalhadas!$D:$D,E424))</f>
        <v/>
      </c>
      <c r="H424" s="26" t="str">
        <f t="shared" si="30"/>
        <v/>
      </c>
      <c r="I424" s="10"/>
      <c r="J424" s="10"/>
      <c r="K424" s="10" t="str">
        <f t="shared" si="31"/>
        <v/>
      </c>
      <c r="L424" s="10" t="str">
        <f t="shared" si="32"/>
        <v/>
      </c>
      <c r="M424" s="10" t="str">
        <f t="shared" si="33"/>
        <v/>
      </c>
      <c r="N424" s="10" t="str">
        <f t="shared" si="34"/>
        <v/>
      </c>
      <c r="O424" s="6"/>
      <c r="P424" s="6"/>
    </row>
    <row r="425" spans="1:16" x14ac:dyDescent="0.3">
      <c r="A425" s="6"/>
      <c r="B425" s="7"/>
      <c r="C425" s="6"/>
      <c r="D425" s="6"/>
      <c r="E425" s="6"/>
      <c r="F425" s="25"/>
      <c r="G425" s="25" t="str">
        <f>IF(A425="","",SUMIFS(Paradas_Detalhadas!$I:$I,Paradas_Detalhadas!$A:$A,A425,Paradas_Detalhadas!$B:$B,B425,Paradas_Detalhadas!$C:$C,C425,Paradas_Detalhadas!$D:$D,E425))</f>
        <v/>
      </c>
      <c r="H425" s="26" t="str">
        <f t="shared" si="30"/>
        <v/>
      </c>
      <c r="I425" s="10"/>
      <c r="J425" s="10"/>
      <c r="K425" s="10" t="str">
        <f t="shared" si="31"/>
        <v/>
      </c>
      <c r="L425" s="10" t="str">
        <f t="shared" si="32"/>
        <v/>
      </c>
      <c r="M425" s="10" t="str">
        <f t="shared" si="33"/>
        <v/>
      </c>
      <c r="N425" s="10" t="str">
        <f t="shared" si="34"/>
        <v/>
      </c>
      <c r="O425" s="6"/>
      <c r="P425" s="6"/>
    </row>
    <row r="426" spans="1:16" x14ac:dyDescent="0.3">
      <c r="A426" s="6"/>
      <c r="B426" s="7"/>
      <c r="C426" s="6"/>
      <c r="D426" s="6"/>
      <c r="E426" s="6"/>
      <c r="F426" s="25"/>
      <c r="G426" s="25" t="str">
        <f>IF(A426="","",SUMIFS(Paradas_Detalhadas!$I:$I,Paradas_Detalhadas!$A:$A,A426,Paradas_Detalhadas!$B:$B,B426,Paradas_Detalhadas!$C:$C,C426,Paradas_Detalhadas!$D:$D,E426))</f>
        <v/>
      </c>
      <c r="H426" s="26" t="str">
        <f t="shared" si="30"/>
        <v/>
      </c>
      <c r="I426" s="10"/>
      <c r="J426" s="10"/>
      <c r="K426" s="10" t="str">
        <f t="shared" si="31"/>
        <v/>
      </c>
      <c r="L426" s="10" t="str">
        <f t="shared" si="32"/>
        <v/>
      </c>
      <c r="M426" s="10" t="str">
        <f t="shared" si="33"/>
        <v/>
      </c>
      <c r="N426" s="10" t="str">
        <f t="shared" si="34"/>
        <v/>
      </c>
      <c r="O426" s="6"/>
      <c r="P426" s="6"/>
    </row>
    <row r="427" spans="1:16" x14ac:dyDescent="0.3">
      <c r="A427" s="6"/>
      <c r="B427" s="7"/>
      <c r="C427" s="6"/>
      <c r="D427" s="6"/>
      <c r="E427" s="6"/>
      <c r="F427" s="25"/>
      <c r="G427" s="25" t="str">
        <f>IF(A427="","",SUMIFS(Paradas_Detalhadas!$I:$I,Paradas_Detalhadas!$A:$A,A427,Paradas_Detalhadas!$B:$B,B427,Paradas_Detalhadas!$C:$C,C427,Paradas_Detalhadas!$D:$D,E427))</f>
        <v/>
      </c>
      <c r="H427" s="26" t="str">
        <f t="shared" si="30"/>
        <v/>
      </c>
      <c r="I427" s="10"/>
      <c r="J427" s="10"/>
      <c r="K427" s="10" t="str">
        <f t="shared" si="31"/>
        <v/>
      </c>
      <c r="L427" s="10" t="str">
        <f t="shared" si="32"/>
        <v/>
      </c>
      <c r="M427" s="10" t="str">
        <f t="shared" si="33"/>
        <v/>
      </c>
      <c r="N427" s="10" t="str">
        <f t="shared" si="34"/>
        <v/>
      </c>
      <c r="O427" s="6"/>
      <c r="P427" s="6"/>
    </row>
    <row r="428" spans="1:16" x14ac:dyDescent="0.3">
      <c r="A428" s="6"/>
      <c r="B428" s="7"/>
      <c r="C428" s="6"/>
      <c r="D428" s="6"/>
      <c r="E428" s="6"/>
      <c r="F428" s="25"/>
      <c r="G428" s="25" t="str">
        <f>IF(A428="","",SUMIFS(Paradas_Detalhadas!$I:$I,Paradas_Detalhadas!$A:$A,A428,Paradas_Detalhadas!$B:$B,B428,Paradas_Detalhadas!$C:$C,C428,Paradas_Detalhadas!$D:$D,E428))</f>
        <v/>
      </c>
      <c r="H428" s="26" t="str">
        <f t="shared" si="30"/>
        <v/>
      </c>
      <c r="I428" s="10"/>
      <c r="J428" s="10"/>
      <c r="K428" s="10" t="str">
        <f t="shared" si="31"/>
        <v/>
      </c>
      <c r="L428" s="10" t="str">
        <f t="shared" si="32"/>
        <v/>
      </c>
      <c r="M428" s="10" t="str">
        <f t="shared" si="33"/>
        <v/>
      </c>
      <c r="N428" s="10" t="str">
        <f t="shared" si="34"/>
        <v/>
      </c>
      <c r="O428" s="6"/>
      <c r="P428" s="6"/>
    </row>
    <row r="429" spans="1:16" x14ac:dyDescent="0.3">
      <c r="A429" s="6"/>
      <c r="B429" s="7"/>
      <c r="C429" s="6"/>
      <c r="D429" s="6"/>
      <c r="E429" s="6"/>
      <c r="F429" s="25"/>
      <c r="G429" s="25" t="str">
        <f>IF(A429="","",SUMIFS(Paradas_Detalhadas!$I:$I,Paradas_Detalhadas!$A:$A,A429,Paradas_Detalhadas!$B:$B,B429,Paradas_Detalhadas!$C:$C,C429,Paradas_Detalhadas!$D:$D,E429))</f>
        <v/>
      </c>
      <c r="H429" s="26" t="str">
        <f t="shared" si="30"/>
        <v/>
      </c>
      <c r="I429" s="10"/>
      <c r="J429" s="10"/>
      <c r="K429" s="10" t="str">
        <f t="shared" si="31"/>
        <v/>
      </c>
      <c r="L429" s="10" t="str">
        <f t="shared" si="32"/>
        <v/>
      </c>
      <c r="M429" s="10" t="str">
        <f t="shared" si="33"/>
        <v/>
      </c>
      <c r="N429" s="10" t="str">
        <f t="shared" si="34"/>
        <v/>
      </c>
      <c r="O429" s="6"/>
      <c r="P429" s="6"/>
    </row>
    <row r="430" spans="1:16" x14ac:dyDescent="0.3">
      <c r="A430" s="6"/>
      <c r="B430" s="7"/>
      <c r="C430" s="6"/>
      <c r="D430" s="6"/>
      <c r="E430" s="6"/>
      <c r="F430" s="25"/>
      <c r="G430" s="25" t="str">
        <f>IF(A430="","",SUMIFS(Paradas_Detalhadas!$I:$I,Paradas_Detalhadas!$A:$A,A430,Paradas_Detalhadas!$B:$B,B430,Paradas_Detalhadas!$C:$C,C430,Paradas_Detalhadas!$D:$D,E430))</f>
        <v/>
      </c>
      <c r="H430" s="26" t="str">
        <f t="shared" ref="H430:H493" si="35">IF(OR(F430="",G430=""),"",MAX(F430-G430,0))</f>
        <v/>
      </c>
      <c r="I430" s="10"/>
      <c r="J430" s="10"/>
      <c r="K430" s="10" t="str">
        <f t="shared" ref="K430:K493" si="36">IF(AND(I430="",J430=""),"",SUM(I430:J430))</f>
        <v/>
      </c>
      <c r="L430" s="10" t="str">
        <f t="shared" ref="L430:L493" si="37">IFERROR(K430/H430,"")</f>
        <v/>
      </c>
      <c r="M430" s="10" t="str">
        <f t="shared" ref="M430:M493" si="38">IFERROR(I430/H430,"")</f>
        <v/>
      </c>
      <c r="N430" s="10" t="str">
        <f t="shared" ref="N430:N493" si="39">IFERROR(J430/H430,"")</f>
        <v/>
      </c>
      <c r="O430" s="6"/>
      <c r="P430" s="6"/>
    </row>
    <row r="431" spans="1:16" x14ac:dyDescent="0.3">
      <c r="A431" s="6"/>
      <c r="B431" s="7"/>
      <c r="C431" s="6"/>
      <c r="D431" s="6"/>
      <c r="E431" s="6"/>
      <c r="F431" s="25"/>
      <c r="G431" s="25" t="str">
        <f>IF(A431="","",SUMIFS(Paradas_Detalhadas!$I:$I,Paradas_Detalhadas!$A:$A,A431,Paradas_Detalhadas!$B:$B,B431,Paradas_Detalhadas!$C:$C,C431,Paradas_Detalhadas!$D:$D,E431))</f>
        <v/>
      </c>
      <c r="H431" s="26" t="str">
        <f t="shared" si="35"/>
        <v/>
      </c>
      <c r="I431" s="10"/>
      <c r="J431" s="10"/>
      <c r="K431" s="10" t="str">
        <f t="shared" si="36"/>
        <v/>
      </c>
      <c r="L431" s="10" t="str">
        <f t="shared" si="37"/>
        <v/>
      </c>
      <c r="M431" s="10" t="str">
        <f t="shared" si="38"/>
        <v/>
      </c>
      <c r="N431" s="10" t="str">
        <f t="shared" si="39"/>
        <v/>
      </c>
      <c r="O431" s="6"/>
      <c r="P431" s="6"/>
    </row>
    <row r="432" spans="1:16" x14ac:dyDescent="0.3">
      <c r="A432" s="6"/>
      <c r="B432" s="7"/>
      <c r="C432" s="6"/>
      <c r="D432" s="6"/>
      <c r="E432" s="6"/>
      <c r="F432" s="25"/>
      <c r="G432" s="25" t="str">
        <f>IF(A432="","",SUMIFS(Paradas_Detalhadas!$I:$I,Paradas_Detalhadas!$A:$A,A432,Paradas_Detalhadas!$B:$B,B432,Paradas_Detalhadas!$C:$C,C432,Paradas_Detalhadas!$D:$D,E432))</f>
        <v/>
      </c>
      <c r="H432" s="26" t="str">
        <f t="shared" si="35"/>
        <v/>
      </c>
      <c r="I432" s="10"/>
      <c r="J432" s="10"/>
      <c r="K432" s="10" t="str">
        <f t="shared" si="36"/>
        <v/>
      </c>
      <c r="L432" s="10" t="str">
        <f t="shared" si="37"/>
        <v/>
      </c>
      <c r="M432" s="10" t="str">
        <f t="shared" si="38"/>
        <v/>
      </c>
      <c r="N432" s="10" t="str">
        <f t="shared" si="39"/>
        <v/>
      </c>
      <c r="O432" s="6"/>
      <c r="P432" s="6"/>
    </row>
    <row r="433" spans="1:16" x14ac:dyDescent="0.3">
      <c r="A433" s="6"/>
      <c r="B433" s="7"/>
      <c r="C433" s="6"/>
      <c r="D433" s="6"/>
      <c r="E433" s="6"/>
      <c r="F433" s="25"/>
      <c r="G433" s="25" t="str">
        <f>IF(A433="","",SUMIFS(Paradas_Detalhadas!$I:$I,Paradas_Detalhadas!$A:$A,A433,Paradas_Detalhadas!$B:$B,B433,Paradas_Detalhadas!$C:$C,C433,Paradas_Detalhadas!$D:$D,E433))</f>
        <v/>
      </c>
      <c r="H433" s="26" t="str">
        <f t="shared" si="35"/>
        <v/>
      </c>
      <c r="I433" s="10"/>
      <c r="J433" s="10"/>
      <c r="K433" s="10" t="str">
        <f t="shared" si="36"/>
        <v/>
      </c>
      <c r="L433" s="10" t="str">
        <f t="shared" si="37"/>
        <v/>
      </c>
      <c r="M433" s="10" t="str">
        <f t="shared" si="38"/>
        <v/>
      </c>
      <c r="N433" s="10" t="str">
        <f t="shared" si="39"/>
        <v/>
      </c>
      <c r="O433" s="6"/>
      <c r="P433" s="6"/>
    </row>
    <row r="434" spans="1:16" x14ac:dyDescent="0.3">
      <c r="A434" s="6"/>
      <c r="B434" s="7"/>
      <c r="C434" s="6"/>
      <c r="D434" s="6"/>
      <c r="E434" s="6"/>
      <c r="F434" s="25"/>
      <c r="G434" s="25" t="str">
        <f>IF(A434="","",SUMIFS(Paradas_Detalhadas!$I:$I,Paradas_Detalhadas!$A:$A,A434,Paradas_Detalhadas!$B:$B,B434,Paradas_Detalhadas!$C:$C,C434,Paradas_Detalhadas!$D:$D,E434))</f>
        <v/>
      </c>
      <c r="H434" s="26" t="str">
        <f t="shared" si="35"/>
        <v/>
      </c>
      <c r="I434" s="10"/>
      <c r="J434" s="10"/>
      <c r="K434" s="10" t="str">
        <f t="shared" si="36"/>
        <v/>
      </c>
      <c r="L434" s="10" t="str">
        <f t="shared" si="37"/>
        <v/>
      </c>
      <c r="M434" s="10" t="str">
        <f t="shared" si="38"/>
        <v/>
      </c>
      <c r="N434" s="10" t="str">
        <f t="shared" si="39"/>
        <v/>
      </c>
      <c r="O434" s="6"/>
      <c r="P434" s="6"/>
    </row>
    <row r="435" spans="1:16" x14ac:dyDescent="0.3">
      <c r="A435" s="6"/>
      <c r="B435" s="7"/>
      <c r="C435" s="6"/>
      <c r="D435" s="6"/>
      <c r="E435" s="6"/>
      <c r="F435" s="25"/>
      <c r="G435" s="25" t="str">
        <f>IF(A435="","",SUMIFS(Paradas_Detalhadas!$I:$I,Paradas_Detalhadas!$A:$A,A435,Paradas_Detalhadas!$B:$B,B435,Paradas_Detalhadas!$C:$C,C435,Paradas_Detalhadas!$D:$D,E435))</f>
        <v/>
      </c>
      <c r="H435" s="26" t="str">
        <f t="shared" si="35"/>
        <v/>
      </c>
      <c r="I435" s="10"/>
      <c r="J435" s="10"/>
      <c r="K435" s="10" t="str">
        <f t="shared" si="36"/>
        <v/>
      </c>
      <c r="L435" s="10" t="str">
        <f t="shared" si="37"/>
        <v/>
      </c>
      <c r="M435" s="10" t="str">
        <f t="shared" si="38"/>
        <v/>
      </c>
      <c r="N435" s="10" t="str">
        <f t="shared" si="39"/>
        <v/>
      </c>
      <c r="O435" s="6"/>
      <c r="P435" s="6"/>
    </row>
    <row r="436" spans="1:16" x14ac:dyDescent="0.3">
      <c r="A436" s="6"/>
      <c r="B436" s="7"/>
      <c r="C436" s="6"/>
      <c r="D436" s="6"/>
      <c r="E436" s="6"/>
      <c r="F436" s="25"/>
      <c r="G436" s="25" t="str">
        <f>IF(A436="","",SUMIFS(Paradas_Detalhadas!$I:$I,Paradas_Detalhadas!$A:$A,A436,Paradas_Detalhadas!$B:$B,B436,Paradas_Detalhadas!$C:$C,C436,Paradas_Detalhadas!$D:$D,E436))</f>
        <v/>
      </c>
      <c r="H436" s="26" t="str">
        <f t="shared" si="35"/>
        <v/>
      </c>
      <c r="I436" s="10"/>
      <c r="J436" s="10"/>
      <c r="K436" s="10" t="str">
        <f t="shared" si="36"/>
        <v/>
      </c>
      <c r="L436" s="10" t="str">
        <f t="shared" si="37"/>
        <v/>
      </c>
      <c r="M436" s="10" t="str">
        <f t="shared" si="38"/>
        <v/>
      </c>
      <c r="N436" s="10" t="str">
        <f t="shared" si="39"/>
        <v/>
      </c>
      <c r="O436" s="6"/>
      <c r="P436" s="6"/>
    </row>
    <row r="437" spans="1:16" x14ac:dyDescent="0.3">
      <c r="A437" s="6"/>
      <c r="B437" s="7"/>
      <c r="C437" s="6"/>
      <c r="D437" s="6"/>
      <c r="E437" s="6"/>
      <c r="F437" s="25"/>
      <c r="G437" s="25" t="str">
        <f>IF(A437="","",SUMIFS(Paradas_Detalhadas!$I:$I,Paradas_Detalhadas!$A:$A,A437,Paradas_Detalhadas!$B:$B,B437,Paradas_Detalhadas!$C:$C,C437,Paradas_Detalhadas!$D:$D,E437))</f>
        <v/>
      </c>
      <c r="H437" s="26" t="str">
        <f t="shared" si="35"/>
        <v/>
      </c>
      <c r="I437" s="10"/>
      <c r="J437" s="10"/>
      <c r="K437" s="10" t="str">
        <f t="shared" si="36"/>
        <v/>
      </c>
      <c r="L437" s="10" t="str">
        <f t="shared" si="37"/>
        <v/>
      </c>
      <c r="M437" s="10" t="str">
        <f t="shared" si="38"/>
        <v/>
      </c>
      <c r="N437" s="10" t="str">
        <f t="shared" si="39"/>
        <v/>
      </c>
      <c r="O437" s="6"/>
      <c r="P437" s="6"/>
    </row>
    <row r="438" spans="1:16" x14ac:dyDescent="0.3">
      <c r="A438" s="6"/>
      <c r="B438" s="7"/>
      <c r="C438" s="6"/>
      <c r="D438" s="6"/>
      <c r="E438" s="6"/>
      <c r="F438" s="25"/>
      <c r="G438" s="25" t="str">
        <f>IF(A438="","",SUMIFS(Paradas_Detalhadas!$I:$I,Paradas_Detalhadas!$A:$A,A438,Paradas_Detalhadas!$B:$B,B438,Paradas_Detalhadas!$C:$C,C438,Paradas_Detalhadas!$D:$D,E438))</f>
        <v/>
      </c>
      <c r="H438" s="26" t="str">
        <f t="shared" si="35"/>
        <v/>
      </c>
      <c r="I438" s="10"/>
      <c r="J438" s="10"/>
      <c r="K438" s="10" t="str">
        <f t="shared" si="36"/>
        <v/>
      </c>
      <c r="L438" s="10" t="str">
        <f t="shared" si="37"/>
        <v/>
      </c>
      <c r="M438" s="10" t="str">
        <f t="shared" si="38"/>
        <v/>
      </c>
      <c r="N438" s="10" t="str">
        <f t="shared" si="39"/>
        <v/>
      </c>
      <c r="O438" s="6"/>
      <c r="P438" s="6"/>
    </row>
    <row r="439" spans="1:16" x14ac:dyDescent="0.3">
      <c r="A439" s="6"/>
      <c r="B439" s="7"/>
      <c r="C439" s="6"/>
      <c r="D439" s="6"/>
      <c r="E439" s="6"/>
      <c r="F439" s="25"/>
      <c r="G439" s="25" t="str">
        <f>IF(A439="","",SUMIFS(Paradas_Detalhadas!$I:$I,Paradas_Detalhadas!$A:$A,A439,Paradas_Detalhadas!$B:$B,B439,Paradas_Detalhadas!$C:$C,C439,Paradas_Detalhadas!$D:$D,E439))</f>
        <v/>
      </c>
      <c r="H439" s="26" t="str">
        <f t="shared" si="35"/>
        <v/>
      </c>
      <c r="I439" s="10"/>
      <c r="J439" s="10"/>
      <c r="K439" s="10" t="str">
        <f t="shared" si="36"/>
        <v/>
      </c>
      <c r="L439" s="10" t="str">
        <f t="shared" si="37"/>
        <v/>
      </c>
      <c r="M439" s="10" t="str">
        <f t="shared" si="38"/>
        <v/>
      </c>
      <c r="N439" s="10" t="str">
        <f t="shared" si="39"/>
        <v/>
      </c>
      <c r="O439" s="6"/>
      <c r="P439" s="6"/>
    </row>
    <row r="440" spans="1:16" x14ac:dyDescent="0.3">
      <c r="A440" s="6"/>
      <c r="B440" s="7"/>
      <c r="C440" s="6"/>
      <c r="D440" s="6"/>
      <c r="E440" s="6"/>
      <c r="F440" s="25"/>
      <c r="G440" s="25" t="str">
        <f>IF(A440="","",SUMIFS(Paradas_Detalhadas!$I:$I,Paradas_Detalhadas!$A:$A,A440,Paradas_Detalhadas!$B:$B,B440,Paradas_Detalhadas!$C:$C,C440,Paradas_Detalhadas!$D:$D,E440))</f>
        <v/>
      </c>
      <c r="H440" s="26" t="str">
        <f t="shared" si="35"/>
        <v/>
      </c>
      <c r="I440" s="10"/>
      <c r="J440" s="10"/>
      <c r="K440" s="10" t="str">
        <f t="shared" si="36"/>
        <v/>
      </c>
      <c r="L440" s="10" t="str">
        <f t="shared" si="37"/>
        <v/>
      </c>
      <c r="M440" s="10" t="str">
        <f t="shared" si="38"/>
        <v/>
      </c>
      <c r="N440" s="10" t="str">
        <f t="shared" si="39"/>
        <v/>
      </c>
      <c r="O440" s="6"/>
      <c r="P440" s="6"/>
    </row>
    <row r="441" spans="1:16" x14ac:dyDescent="0.3">
      <c r="A441" s="6"/>
      <c r="B441" s="7"/>
      <c r="C441" s="6"/>
      <c r="D441" s="6"/>
      <c r="E441" s="6"/>
      <c r="F441" s="25"/>
      <c r="G441" s="25" t="str">
        <f>IF(A441="","",SUMIFS(Paradas_Detalhadas!$I:$I,Paradas_Detalhadas!$A:$A,A441,Paradas_Detalhadas!$B:$B,B441,Paradas_Detalhadas!$C:$C,C441,Paradas_Detalhadas!$D:$D,E441))</f>
        <v/>
      </c>
      <c r="H441" s="26" t="str">
        <f t="shared" si="35"/>
        <v/>
      </c>
      <c r="I441" s="10"/>
      <c r="J441" s="10"/>
      <c r="K441" s="10" t="str">
        <f t="shared" si="36"/>
        <v/>
      </c>
      <c r="L441" s="10" t="str">
        <f t="shared" si="37"/>
        <v/>
      </c>
      <c r="M441" s="10" t="str">
        <f t="shared" si="38"/>
        <v/>
      </c>
      <c r="N441" s="10" t="str">
        <f t="shared" si="39"/>
        <v/>
      </c>
      <c r="O441" s="6"/>
      <c r="P441" s="6"/>
    </row>
    <row r="442" spans="1:16" x14ac:dyDescent="0.3">
      <c r="A442" s="6"/>
      <c r="B442" s="7"/>
      <c r="C442" s="6"/>
      <c r="D442" s="6"/>
      <c r="E442" s="6"/>
      <c r="F442" s="25"/>
      <c r="G442" s="25" t="str">
        <f>IF(A442="","",SUMIFS(Paradas_Detalhadas!$I:$I,Paradas_Detalhadas!$A:$A,A442,Paradas_Detalhadas!$B:$B,B442,Paradas_Detalhadas!$C:$C,C442,Paradas_Detalhadas!$D:$D,E442))</f>
        <v/>
      </c>
      <c r="H442" s="26" t="str">
        <f t="shared" si="35"/>
        <v/>
      </c>
      <c r="I442" s="10"/>
      <c r="J442" s="10"/>
      <c r="K442" s="10" t="str">
        <f t="shared" si="36"/>
        <v/>
      </c>
      <c r="L442" s="10" t="str">
        <f t="shared" si="37"/>
        <v/>
      </c>
      <c r="M442" s="10" t="str">
        <f t="shared" si="38"/>
        <v/>
      </c>
      <c r="N442" s="10" t="str">
        <f t="shared" si="39"/>
        <v/>
      </c>
      <c r="O442" s="6"/>
      <c r="P442" s="6"/>
    </row>
    <row r="443" spans="1:16" x14ac:dyDescent="0.3">
      <c r="A443" s="6"/>
      <c r="B443" s="7"/>
      <c r="C443" s="6"/>
      <c r="D443" s="6"/>
      <c r="E443" s="6"/>
      <c r="F443" s="25"/>
      <c r="G443" s="25" t="str">
        <f>IF(A443="","",SUMIFS(Paradas_Detalhadas!$I:$I,Paradas_Detalhadas!$A:$A,A443,Paradas_Detalhadas!$B:$B,B443,Paradas_Detalhadas!$C:$C,C443,Paradas_Detalhadas!$D:$D,E443))</f>
        <v/>
      </c>
      <c r="H443" s="26" t="str">
        <f t="shared" si="35"/>
        <v/>
      </c>
      <c r="I443" s="10"/>
      <c r="J443" s="10"/>
      <c r="K443" s="10" t="str">
        <f t="shared" si="36"/>
        <v/>
      </c>
      <c r="L443" s="10" t="str">
        <f t="shared" si="37"/>
        <v/>
      </c>
      <c r="M443" s="10" t="str">
        <f t="shared" si="38"/>
        <v/>
      </c>
      <c r="N443" s="10" t="str">
        <f t="shared" si="39"/>
        <v/>
      </c>
      <c r="O443" s="6"/>
      <c r="P443" s="6"/>
    </row>
    <row r="444" spans="1:16" x14ac:dyDescent="0.3">
      <c r="A444" s="6"/>
      <c r="B444" s="7"/>
      <c r="C444" s="6"/>
      <c r="D444" s="6"/>
      <c r="E444" s="6"/>
      <c r="F444" s="25"/>
      <c r="G444" s="25" t="str">
        <f>IF(A444="","",SUMIFS(Paradas_Detalhadas!$I:$I,Paradas_Detalhadas!$A:$A,A444,Paradas_Detalhadas!$B:$B,B444,Paradas_Detalhadas!$C:$C,C444,Paradas_Detalhadas!$D:$D,E444))</f>
        <v/>
      </c>
      <c r="H444" s="26" t="str">
        <f t="shared" si="35"/>
        <v/>
      </c>
      <c r="I444" s="10"/>
      <c r="J444" s="10"/>
      <c r="K444" s="10" t="str">
        <f t="shared" si="36"/>
        <v/>
      </c>
      <c r="L444" s="10" t="str">
        <f t="shared" si="37"/>
        <v/>
      </c>
      <c r="M444" s="10" t="str">
        <f t="shared" si="38"/>
        <v/>
      </c>
      <c r="N444" s="10" t="str">
        <f t="shared" si="39"/>
        <v/>
      </c>
      <c r="O444" s="6"/>
      <c r="P444" s="6"/>
    </row>
    <row r="445" spans="1:16" x14ac:dyDescent="0.3">
      <c r="A445" s="6"/>
      <c r="B445" s="7"/>
      <c r="C445" s="6"/>
      <c r="D445" s="6"/>
      <c r="E445" s="6"/>
      <c r="F445" s="25"/>
      <c r="G445" s="25" t="str">
        <f>IF(A445="","",SUMIFS(Paradas_Detalhadas!$I:$I,Paradas_Detalhadas!$A:$A,A445,Paradas_Detalhadas!$B:$B,B445,Paradas_Detalhadas!$C:$C,C445,Paradas_Detalhadas!$D:$D,E445))</f>
        <v/>
      </c>
      <c r="H445" s="26" t="str">
        <f t="shared" si="35"/>
        <v/>
      </c>
      <c r="I445" s="10"/>
      <c r="J445" s="10"/>
      <c r="K445" s="10" t="str">
        <f t="shared" si="36"/>
        <v/>
      </c>
      <c r="L445" s="10" t="str">
        <f t="shared" si="37"/>
        <v/>
      </c>
      <c r="M445" s="10" t="str">
        <f t="shared" si="38"/>
        <v/>
      </c>
      <c r="N445" s="10" t="str">
        <f t="shared" si="39"/>
        <v/>
      </c>
      <c r="O445" s="6"/>
      <c r="P445" s="6"/>
    </row>
    <row r="446" spans="1:16" x14ac:dyDescent="0.3">
      <c r="A446" s="6"/>
      <c r="B446" s="7"/>
      <c r="C446" s="6"/>
      <c r="D446" s="6"/>
      <c r="E446" s="6"/>
      <c r="F446" s="25"/>
      <c r="G446" s="25" t="str">
        <f>IF(A446="","",SUMIFS(Paradas_Detalhadas!$I:$I,Paradas_Detalhadas!$A:$A,A446,Paradas_Detalhadas!$B:$B,B446,Paradas_Detalhadas!$C:$C,C446,Paradas_Detalhadas!$D:$D,E446))</f>
        <v/>
      </c>
      <c r="H446" s="26" t="str">
        <f t="shared" si="35"/>
        <v/>
      </c>
      <c r="I446" s="10"/>
      <c r="J446" s="10"/>
      <c r="K446" s="10" t="str">
        <f t="shared" si="36"/>
        <v/>
      </c>
      <c r="L446" s="10" t="str">
        <f t="shared" si="37"/>
        <v/>
      </c>
      <c r="M446" s="10" t="str">
        <f t="shared" si="38"/>
        <v/>
      </c>
      <c r="N446" s="10" t="str">
        <f t="shared" si="39"/>
        <v/>
      </c>
      <c r="O446" s="6"/>
      <c r="P446" s="6"/>
    </row>
    <row r="447" spans="1:16" x14ac:dyDescent="0.3">
      <c r="A447" s="6"/>
      <c r="B447" s="7"/>
      <c r="C447" s="6"/>
      <c r="D447" s="6"/>
      <c r="E447" s="6"/>
      <c r="F447" s="25"/>
      <c r="G447" s="25" t="str">
        <f>IF(A447="","",SUMIFS(Paradas_Detalhadas!$I:$I,Paradas_Detalhadas!$A:$A,A447,Paradas_Detalhadas!$B:$B,B447,Paradas_Detalhadas!$C:$C,C447,Paradas_Detalhadas!$D:$D,E447))</f>
        <v/>
      </c>
      <c r="H447" s="26" t="str">
        <f t="shared" si="35"/>
        <v/>
      </c>
      <c r="I447" s="10"/>
      <c r="J447" s="10"/>
      <c r="K447" s="10" t="str">
        <f t="shared" si="36"/>
        <v/>
      </c>
      <c r="L447" s="10" t="str">
        <f t="shared" si="37"/>
        <v/>
      </c>
      <c r="M447" s="10" t="str">
        <f t="shared" si="38"/>
        <v/>
      </c>
      <c r="N447" s="10" t="str">
        <f t="shared" si="39"/>
        <v/>
      </c>
      <c r="O447" s="6"/>
      <c r="P447" s="6"/>
    </row>
    <row r="448" spans="1:16" x14ac:dyDescent="0.3">
      <c r="A448" s="6"/>
      <c r="B448" s="7"/>
      <c r="C448" s="6"/>
      <c r="D448" s="6"/>
      <c r="E448" s="6"/>
      <c r="F448" s="25"/>
      <c r="G448" s="25" t="str">
        <f>IF(A448="","",SUMIFS(Paradas_Detalhadas!$I:$I,Paradas_Detalhadas!$A:$A,A448,Paradas_Detalhadas!$B:$B,B448,Paradas_Detalhadas!$C:$C,C448,Paradas_Detalhadas!$D:$D,E448))</f>
        <v/>
      </c>
      <c r="H448" s="26" t="str">
        <f t="shared" si="35"/>
        <v/>
      </c>
      <c r="I448" s="10"/>
      <c r="J448" s="10"/>
      <c r="K448" s="10" t="str">
        <f t="shared" si="36"/>
        <v/>
      </c>
      <c r="L448" s="10" t="str">
        <f t="shared" si="37"/>
        <v/>
      </c>
      <c r="M448" s="10" t="str">
        <f t="shared" si="38"/>
        <v/>
      </c>
      <c r="N448" s="10" t="str">
        <f t="shared" si="39"/>
        <v/>
      </c>
      <c r="O448" s="6"/>
      <c r="P448" s="6"/>
    </row>
    <row r="449" spans="1:16" x14ac:dyDescent="0.3">
      <c r="A449" s="6"/>
      <c r="B449" s="7"/>
      <c r="C449" s="6"/>
      <c r="D449" s="6"/>
      <c r="E449" s="6"/>
      <c r="F449" s="25"/>
      <c r="G449" s="25" t="str">
        <f>IF(A449="","",SUMIFS(Paradas_Detalhadas!$I:$I,Paradas_Detalhadas!$A:$A,A449,Paradas_Detalhadas!$B:$B,B449,Paradas_Detalhadas!$C:$C,C449,Paradas_Detalhadas!$D:$D,E449))</f>
        <v/>
      </c>
      <c r="H449" s="26" t="str">
        <f t="shared" si="35"/>
        <v/>
      </c>
      <c r="I449" s="10"/>
      <c r="J449" s="10"/>
      <c r="K449" s="10" t="str">
        <f t="shared" si="36"/>
        <v/>
      </c>
      <c r="L449" s="10" t="str">
        <f t="shared" si="37"/>
        <v/>
      </c>
      <c r="M449" s="10" t="str">
        <f t="shared" si="38"/>
        <v/>
      </c>
      <c r="N449" s="10" t="str">
        <f t="shared" si="39"/>
        <v/>
      </c>
      <c r="O449" s="6"/>
      <c r="P449" s="6"/>
    </row>
    <row r="450" spans="1:16" x14ac:dyDescent="0.3">
      <c r="A450" s="6"/>
      <c r="B450" s="7"/>
      <c r="C450" s="6"/>
      <c r="D450" s="6"/>
      <c r="E450" s="6"/>
      <c r="F450" s="25"/>
      <c r="G450" s="25" t="str">
        <f>IF(A450="","",SUMIFS(Paradas_Detalhadas!$I:$I,Paradas_Detalhadas!$A:$A,A450,Paradas_Detalhadas!$B:$B,B450,Paradas_Detalhadas!$C:$C,C450,Paradas_Detalhadas!$D:$D,E450))</f>
        <v/>
      </c>
      <c r="H450" s="26" t="str">
        <f t="shared" si="35"/>
        <v/>
      </c>
      <c r="I450" s="10"/>
      <c r="J450" s="10"/>
      <c r="K450" s="10" t="str">
        <f t="shared" si="36"/>
        <v/>
      </c>
      <c r="L450" s="10" t="str">
        <f t="shared" si="37"/>
        <v/>
      </c>
      <c r="M450" s="10" t="str">
        <f t="shared" si="38"/>
        <v/>
      </c>
      <c r="N450" s="10" t="str">
        <f t="shared" si="39"/>
        <v/>
      </c>
      <c r="O450" s="6"/>
      <c r="P450" s="6"/>
    </row>
    <row r="451" spans="1:16" x14ac:dyDescent="0.3">
      <c r="A451" s="6"/>
      <c r="B451" s="7"/>
      <c r="C451" s="6"/>
      <c r="D451" s="6"/>
      <c r="E451" s="6"/>
      <c r="F451" s="25"/>
      <c r="G451" s="25" t="str">
        <f>IF(A451="","",SUMIFS(Paradas_Detalhadas!$I:$I,Paradas_Detalhadas!$A:$A,A451,Paradas_Detalhadas!$B:$B,B451,Paradas_Detalhadas!$C:$C,C451,Paradas_Detalhadas!$D:$D,E451))</f>
        <v/>
      </c>
      <c r="H451" s="26" t="str">
        <f t="shared" si="35"/>
        <v/>
      </c>
      <c r="I451" s="10"/>
      <c r="J451" s="10"/>
      <c r="K451" s="10" t="str">
        <f t="shared" si="36"/>
        <v/>
      </c>
      <c r="L451" s="10" t="str">
        <f t="shared" si="37"/>
        <v/>
      </c>
      <c r="M451" s="10" t="str">
        <f t="shared" si="38"/>
        <v/>
      </c>
      <c r="N451" s="10" t="str">
        <f t="shared" si="39"/>
        <v/>
      </c>
      <c r="O451" s="6"/>
      <c r="P451" s="6"/>
    </row>
    <row r="452" spans="1:16" x14ac:dyDescent="0.3">
      <c r="A452" s="6"/>
      <c r="B452" s="7"/>
      <c r="C452" s="6"/>
      <c r="D452" s="6"/>
      <c r="E452" s="6"/>
      <c r="F452" s="25"/>
      <c r="G452" s="25" t="str">
        <f>IF(A452="","",SUMIFS(Paradas_Detalhadas!$I:$I,Paradas_Detalhadas!$A:$A,A452,Paradas_Detalhadas!$B:$B,B452,Paradas_Detalhadas!$C:$C,C452,Paradas_Detalhadas!$D:$D,E452))</f>
        <v/>
      </c>
      <c r="H452" s="26" t="str">
        <f t="shared" si="35"/>
        <v/>
      </c>
      <c r="I452" s="10"/>
      <c r="J452" s="10"/>
      <c r="K452" s="10" t="str">
        <f t="shared" si="36"/>
        <v/>
      </c>
      <c r="L452" s="10" t="str">
        <f t="shared" si="37"/>
        <v/>
      </c>
      <c r="M452" s="10" t="str">
        <f t="shared" si="38"/>
        <v/>
      </c>
      <c r="N452" s="10" t="str">
        <f t="shared" si="39"/>
        <v/>
      </c>
      <c r="O452" s="6"/>
      <c r="P452" s="6"/>
    </row>
    <row r="453" spans="1:16" x14ac:dyDescent="0.3">
      <c r="A453" s="6"/>
      <c r="B453" s="7"/>
      <c r="C453" s="6"/>
      <c r="D453" s="6"/>
      <c r="E453" s="6"/>
      <c r="F453" s="25"/>
      <c r="G453" s="25" t="str">
        <f>IF(A453="","",SUMIFS(Paradas_Detalhadas!$I:$I,Paradas_Detalhadas!$A:$A,A453,Paradas_Detalhadas!$B:$B,B453,Paradas_Detalhadas!$C:$C,C453,Paradas_Detalhadas!$D:$D,E453))</f>
        <v/>
      </c>
      <c r="H453" s="26" t="str">
        <f t="shared" si="35"/>
        <v/>
      </c>
      <c r="I453" s="10"/>
      <c r="J453" s="10"/>
      <c r="K453" s="10" t="str">
        <f t="shared" si="36"/>
        <v/>
      </c>
      <c r="L453" s="10" t="str">
        <f t="shared" si="37"/>
        <v/>
      </c>
      <c r="M453" s="10" t="str">
        <f t="shared" si="38"/>
        <v/>
      </c>
      <c r="N453" s="10" t="str">
        <f t="shared" si="39"/>
        <v/>
      </c>
      <c r="O453" s="6"/>
      <c r="P453" s="6"/>
    </row>
    <row r="454" spans="1:16" x14ac:dyDescent="0.3">
      <c r="A454" s="6"/>
      <c r="B454" s="7"/>
      <c r="C454" s="6"/>
      <c r="D454" s="6"/>
      <c r="E454" s="6"/>
      <c r="F454" s="25"/>
      <c r="G454" s="25" t="str">
        <f>IF(A454="","",SUMIFS(Paradas_Detalhadas!$I:$I,Paradas_Detalhadas!$A:$A,A454,Paradas_Detalhadas!$B:$B,B454,Paradas_Detalhadas!$C:$C,C454,Paradas_Detalhadas!$D:$D,E454))</f>
        <v/>
      </c>
      <c r="H454" s="26" t="str">
        <f t="shared" si="35"/>
        <v/>
      </c>
      <c r="I454" s="10"/>
      <c r="J454" s="10"/>
      <c r="K454" s="10" t="str">
        <f t="shared" si="36"/>
        <v/>
      </c>
      <c r="L454" s="10" t="str">
        <f t="shared" si="37"/>
        <v/>
      </c>
      <c r="M454" s="10" t="str">
        <f t="shared" si="38"/>
        <v/>
      </c>
      <c r="N454" s="10" t="str">
        <f t="shared" si="39"/>
        <v/>
      </c>
      <c r="O454" s="6"/>
      <c r="P454" s="6"/>
    </row>
    <row r="455" spans="1:16" x14ac:dyDescent="0.3">
      <c r="A455" s="6"/>
      <c r="B455" s="7"/>
      <c r="C455" s="6"/>
      <c r="D455" s="6"/>
      <c r="E455" s="6"/>
      <c r="F455" s="25"/>
      <c r="G455" s="25" t="str">
        <f>IF(A455="","",SUMIFS(Paradas_Detalhadas!$I:$I,Paradas_Detalhadas!$A:$A,A455,Paradas_Detalhadas!$B:$B,B455,Paradas_Detalhadas!$C:$C,C455,Paradas_Detalhadas!$D:$D,E455))</f>
        <v/>
      </c>
      <c r="H455" s="26" t="str">
        <f t="shared" si="35"/>
        <v/>
      </c>
      <c r="I455" s="10"/>
      <c r="J455" s="10"/>
      <c r="K455" s="10" t="str">
        <f t="shared" si="36"/>
        <v/>
      </c>
      <c r="L455" s="10" t="str">
        <f t="shared" si="37"/>
        <v/>
      </c>
      <c r="M455" s="10" t="str">
        <f t="shared" si="38"/>
        <v/>
      </c>
      <c r="N455" s="10" t="str">
        <f t="shared" si="39"/>
        <v/>
      </c>
      <c r="O455" s="6"/>
      <c r="P455" s="6"/>
    </row>
    <row r="456" spans="1:16" x14ac:dyDescent="0.3">
      <c r="A456" s="6"/>
      <c r="B456" s="7"/>
      <c r="C456" s="6"/>
      <c r="D456" s="6"/>
      <c r="E456" s="6"/>
      <c r="F456" s="25"/>
      <c r="G456" s="25" t="str">
        <f>IF(A456="","",SUMIFS(Paradas_Detalhadas!$I:$I,Paradas_Detalhadas!$A:$A,A456,Paradas_Detalhadas!$B:$B,B456,Paradas_Detalhadas!$C:$C,C456,Paradas_Detalhadas!$D:$D,E456))</f>
        <v/>
      </c>
      <c r="H456" s="26" t="str">
        <f t="shared" si="35"/>
        <v/>
      </c>
      <c r="I456" s="10"/>
      <c r="J456" s="10"/>
      <c r="K456" s="10" t="str">
        <f t="shared" si="36"/>
        <v/>
      </c>
      <c r="L456" s="10" t="str">
        <f t="shared" si="37"/>
        <v/>
      </c>
      <c r="M456" s="10" t="str">
        <f t="shared" si="38"/>
        <v/>
      </c>
      <c r="N456" s="10" t="str">
        <f t="shared" si="39"/>
        <v/>
      </c>
      <c r="O456" s="6"/>
      <c r="P456" s="6"/>
    </row>
    <row r="457" spans="1:16" x14ac:dyDescent="0.3">
      <c r="A457" s="6"/>
      <c r="B457" s="7"/>
      <c r="C457" s="6"/>
      <c r="D457" s="6"/>
      <c r="E457" s="6"/>
      <c r="F457" s="25"/>
      <c r="G457" s="25" t="str">
        <f>IF(A457="","",SUMIFS(Paradas_Detalhadas!$I:$I,Paradas_Detalhadas!$A:$A,A457,Paradas_Detalhadas!$B:$B,B457,Paradas_Detalhadas!$C:$C,C457,Paradas_Detalhadas!$D:$D,E457))</f>
        <v/>
      </c>
      <c r="H457" s="26" t="str">
        <f t="shared" si="35"/>
        <v/>
      </c>
      <c r="I457" s="10"/>
      <c r="J457" s="10"/>
      <c r="K457" s="10" t="str">
        <f t="shared" si="36"/>
        <v/>
      </c>
      <c r="L457" s="10" t="str">
        <f t="shared" si="37"/>
        <v/>
      </c>
      <c r="M457" s="10" t="str">
        <f t="shared" si="38"/>
        <v/>
      </c>
      <c r="N457" s="10" t="str">
        <f t="shared" si="39"/>
        <v/>
      </c>
      <c r="O457" s="6"/>
      <c r="P457" s="6"/>
    </row>
    <row r="458" spans="1:16" x14ac:dyDescent="0.3">
      <c r="A458" s="6"/>
      <c r="B458" s="7"/>
      <c r="C458" s="6"/>
      <c r="D458" s="6"/>
      <c r="E458" s="6"/>
      <c r="F458" s="25"/>
      <c r="G458" s="25" t="str">
        <f>IF(A458="","",SUMIFS(Paradas_Detalhadas!$I:$I,Paradas_Detalhadas!$A:$A,A458,Paradas_Detalhadas!$B:$B,B458,Paradas_Detalhadas!$C:$C,C458,Paradas_Detalhadas!$D:$D,E458))</f>
        <v/>
      </c>
      <c r="H458" s="26" t="str">
        <f t="shared" si="35"/>
        <v/>
      </c>
      <c r="I458" s="10"/>
      <c r="J458" s="10"/>
      <c r="K458" s="10" t="str">
        <f t="shared" si="36"/>
        <v/>
      </c>
      <c r="L458" s="10" t="str">
        <f t="shared" si="37"/>
        <v/>
      </c>
      <c r="M458" s="10" t="str">
        <f t="shared" si="38"/>
        <v/>
      </c>
      <c r="N458" s="10" t="str">
        <f t="shared" si="39"/>
        <v/>
      </c>
      <c r="O458" s="6"/>
      <c r="P458" s="6"/>
    </row>
    <row r="459" spans="1:16" x14ac:dyDescent="0.3">
      <c r="A459" s="6"/>
      <c r="B459" s="7"/>
      <c r="C459" s="6"/>
      <c r="D459" s="6"/>
      <c r="E459" s="6"/>
      <c r="F459" s="25"/>
      <c r="G459" s="25" t="str">
        <f>IF(A459="","",SUMIFS(Paradas_Detalhadas!$I:$I,Paradas_Detalhadas!$A:$A,A459,Paradas_Detalhadas!$B:$B,B459,Paradas_Detalhadas!$C:$C,C459,Paradas_Detalhadas!$D:$D,E459))</f>
        <v/>
      </c>
      <c r="H459" s="26" t="str">
        <f t="shared" si="35"/>
        <v/>
      </c>
      <c r="I459" s="10"/>
      <c r="J459" s="10"/>
      <c r="K459" s="10" t="str">
        <f t="shared" si="36"/>
        <v/>
      </c>
      <c r="L459" s="10" t="str">
        <f t="shared" si="37"/>
        <v/>
      </c>
      <c r="M459" s="10" t="str">
        <f t="shared" si="38"/>
        <v/>
      </c>
      <c r="N459" s="10" t="str">
        <f t="shared" si="39"/>
        <v/>
      </c>
      <c r="O459" s="6"/>
      <c r="P459" s="6"/>
    </row>
    <row r="460" spans="1:16" x14ac:dyDescent="0.3">
      <c r="A460" s="6"/>
      <c r="B460" s="7"/>
      <c r="C460" s="6"/>
      <c r="D460" s="6"/>
      <c r="E460" s="6"/>
      <c r="F460" s="25"/>
      <c r="G460" s="25" t="str">
        <f>IF(A460="","",SUMIFS(Paradas_Detalhadas!$I:$I,Paradas_Detalhadas!$A:$A,A460,Paradas_Detalhadas!$B:$B,B460,Paradas_Detalhadas!$C:$C,C460,Paradas_Detalhadas!$D:$D,E460))</f>
        <v/>
      </c>
      <c r="H460" s="26" t="str">
        <f t="shared" si="35"/>
        <v/>
      </c>
      <c r="I460" s="10"/>
      <c r="J460" s="10"/>
      <c r="K460" s="10" t="str">
        <f t="shared" si="36"/>
        <v/>
      </c>
      <c r="L460" s="10" t="str">
        <f t="shared" si="37"/>
        <v/>
      </c>
      <c r="M460" s="10" t="str">
        <f t="shared" si="38"/>
        <v/>
      </c>
      <c r="N460" s="10" t="str">
        <f t="shared" si="39"/>
        <v/>
      </c>
      <c r="O460" s="6"/>
      <c r="P460" s="6"/>
    </row>
    <row r="461" spans="1:16" x14ac:dyDescent="0.3">
      <c r="A461" s="6"/>
      <c r="B461" s="7"/>
      <c r="C461" s="6"/>
      <c r="D461" s="6"/>
      <c r="E461" s="6"/>
      <c r="F461" s="25"/>
      <c r="G461" s="25" t="str">
        <f>IF(A461="","",SUMIFS(Paradas_Detalhadas!$I:$I,Paradas_Detalhadas!$A:$A,A461,Paradas_Detalhadas!$B:$B,B461,Paradas_Detalhadas!$C:$C,C461,Paradas_Detalhadas!$D:$D,E461))</f>
        <v/>
      </c>
      <c r="H461" s="26" t="str">
        <f t="shared" si="35"/>
        <v/>
      </c>
      <c r="I461" s="10"/>
      <c r="J461" s="10"/>
      <c r="K461" s="10" t="str">
        <f t="shared" si="36"/>
        <v/>
      </c>
      <c r="L461" s="10" t="str">
        <f t="shared" si="37"/>
        <v/>
      </c>
      <c r="M461" s="10" t="str">
        <f t="shared" si="38"/>
        <v/>
      </c>
      <c r="N461" s="10" t="str">
        <f t="shared" si="39"/>
        <v/>
      </c>
      <c r="O461" s="6"/>
      <c r="P461" s="6"/>
    </row>
    <row r="462" spans="1:16" x14ac:dyDescent="0.3">
      <c r="A462" s="6"/>
      <c r="B462" s="7"/>
      <c r="C462" s="6"/>
      <c r="D462" s="6"/>
      <c r="E462" s="6"/>
      <c r="F462" s="25"/>
      <c r="G462" s="25" t="str">
        <f>IF(A462="","",SUMIFS(Paradas_Detalhadas!$I:$I,Paradas_Detalhadas!$A:$A,A462,Paradas_Detalhadas!$B:$B,B462,Paradas_Detalhadas!$C:$C,C462,Paradas_Detalhadas!$D:$D,E462))</f>
        <v/>
      </c>
      <c r="H462" s="26" t="str">
        <f t="shared" si="35"/>
        <v/>
      </c>
      <c r="I462" s="10"/>
      <c r="J462" s="10"/>
      <c r="K462" s="10" t="str">
        <f t="shared" si="36"/>
        <v/>
      </c>
      <c r="L462" s="10" t="str">
        <f t="shared" si="37"/>
        <v/>
      </c>
      <c r="M462" s="10" t="str">
        <f t="shared" si="38"/>
        <v/>
      </c>
      <c r="N462" s="10" t="str">
        <f t="shared" si="39"/>
        <v/>
      </c>
      <c r="O462" s="6"/>
      <c r="P462" s="6"/>
    </row>
    <row r="463" spans="1:16" x14ac:dyDescent="0.3">
      <c r="A463" s="6"/>
      <c r="B463" s="7"/>
      <c r="C463" s="6"/>
      <c r="D463" s="6"/>
      <c r="E463" s="6"/>
      <c r="F463" s="25"/>
      <c r="G463" s="25" t="str">
        <f>IF(A463="","",SUMIFS(Paradas_Detalhadas!$I:$I,Paradas_Detalhadas!$A:$A,A463,Paradas_Detalhadas!$B:$B,B463,Paradas_Detalhadas!$C:$C,C463,Paradas_Detalhadas!$D:$D,E463))</f>
        <v/>
      </c>
      <c r="H463" s="26" t="str">
        <f t="shared" si="35"/>
        <v/>
      </c>
      <c r="I463" s="10"/>
      <c r="J463" s="10"/>
      <c r="K463" s="10" t="str">
        <f t="shared" si="36"/>
        <v/>
      </c>
      <c r="L463" s="10" t="str">
        <f t="shared" si="37"/>
        <v/>
      </c>
      <c r="M463" s="10" t="str">
        <f t="shared" si="38"/>
        <v/>
      </c>
      <c r="N463" s="10" t="str">
        <f t="shared" si="39"/>
        <v/>
      </c>
      <c r="O463" s="6"/>
      <c r="P463" s="6"/>
    </row>
    <row r="464" spans="1:16" x14ac:dyDescent="0.3">
      <c r="A464" s="6"/>
      <c r="B464" s="7"/>
      <c r="C464" s="6"/>
      <c r="D464" s="6"/>
      <c r="E464" s="6"/>
      <c r="F464" s="25"/>
      <c r="G464" s="25" t="str">
        <f>IF(A464="","",SUMIFS(Paradas_Detalhadas!$I:$I,Paradas_Detalhadas!$A:$A,A464,Paradas_Detalhadas!$B:$B,B464,Paradas_Detalhadas!$C:$C,C464,Paradas_Detalhadas!$D:$D,E464))</f>
        <v/>
      </c>
      <c r="H464" s="26" t="str">
        <f t="shared" si="35"/>
        <v/>
      </c>
      <c r="I464" s="10"/>
      <c r="J464" s="10"/>
      <c r="K464" s="10" t="str">
        <f t="shared" si="36"/>
        <v/>
      </c>
      <c r="L464" s="10" t="str">
        <f t="shared" si="37"/>
        <v/>
      </c>
      <c r="M464" s="10" t="str">
        <f t="shared" si="38"/>
        <v/>
      </c>
      <c r="N464" s="10" t="str">
        <f t="shared" si="39"/>
        <v/>
      </c>
      <c r="O464" s="6"/>
      <c r="P464" s="6"/>
    </row>
    <row r="465" spans="1:16" x14ac:dyDescent="0.3">
      <c r="A465" s="6"/>
      <c r="B465" s="7"/>
      <c r="C465" s="6"/>
      <c r="D465" s="6"/>
      <c r="E465" s="6"/>
      <c r="F465" s="25"/>
      <c r="G465" s="25" t="str">
        <f>IF(A465="","",SUMIFS(Paradas_Detalhadas!$I:$I,Paradas_Detalhadas!$A:$A,A465,Paradas_Detalhadas!$B:$B,B465,Paradas_Detalhadas!$C:$C,C465,Paradas_Detalhadas!$D:$D,E465))</f>
        <v/>
      </c>
      <c r="H465" s="26" t="str">
        <f t="shared" si="35"/>
        <v/>
      </c>
      <c r="I465" s="10"/>
      <c r="J465" s="10"/>
      <c r="K465" s="10" t="str">
        <f t="shared" si="36"/>
        <v/>
      </c>
      <c r="L465" s="10" t="str">
        <f t="shared" si="37"/>
        <v/>
      </c>
      <c r="M465" s="10" t="str">
        <f t="shared" si="38"/>
        <v/>
      </c>
      <c r="N465" s="10" t="str">
        <f t="shared" si="39"/>
        <v/>
      </c>
      <c r="O465" s="6"/>
      <c r="P465" s="6"/>
    </row>
    <row r="466" spans="1:16" x14ac:dyDescent="0.3">
      <c r="A466" s="6"/>
      <c r="B466" s="7"/>
      <c r="C466" s="6"/>
      <c r="D466" s="6"/>
      <c r="E466" s="6"/>
      <c r="F466" s="25"/>
      <c r="G466" s="25" t="str">
        <f>IF(A466="","",SUMIFS(Paradas_Detalhadas!$I:$I,Paradas_Detalhadas!$A:$A,A466,Paradas_Detalhadas!$B:$B,B466,Paradas_Detalhadas!$C:$C,C466,Paradas_Detalhadas!$D:$D,E466))</f>
        <v/>
      </c>
      <c r="H466" s="26" t="str">
        <f t="shared" si="35"/>
        <v/>
      </c>
      <c r="I466" s="10"/>
      <c r="J466" s="10"/>
      <c r="K466" s="10" t="str">
        <f t="shared" si="36"/>
        <v/>
      </c>
      <c r="L466" s="10" t="str">
        <f t="shared" si="37"/>
        <v/>
      </c>
      <c r="M466" s="10" t="str">
        <f t="shared" si="38"/>
        <v/>
      </c>
      <c r="N466" s="10" t="str">
        <f t="shared" si="39"/>
        <v/>
      </c>
      <c r="O466" s="6"/>
      <c r="P466" s="6"/>
    </row>
    <row r="467" spans="1:16" x14ac:dyDescent="0.3">
      <c r="A467" s="6"/>
      <c r="B467" s="7"/>
      <c r="C467" s="6"/>
      <c r="D467" s="6"/>
      <c r="E467" s="6"/>
      <c r="F467" s="25"/>
      <c r="G467" s="25" t="str">
        <f>IF(A467="","",SUMIFS(Paradas_Detalhadas!$I:$I,Paradas_Detalhadas!$A:$A,A467,Paradas_Detalhadas!$B:$B,B467,Paradas_Detalhadas!$C:$C,C467,Paradas_Detalhadas!$D:$D,E467))</f>
        <v/>
      </c>
      <c r="H467" s="26" t="str">
        <f t="shared" si="35"/>
        <v/>
      </c>
      <c r="I467" s="10"/>
      <c r="J467" s="10"/>
      <c r="K467" s="10" t="str">
        <f t="shared" si="36"/>
        <v/>
      </c>
      <c r="L467" s="10" t="str">
        <f t="shared" si="37"/>
        <v/>
      </c>
      <c r="M467" s="10" t="str">
        <f t="shared" si="38"/>
        <v/>
      </c>
      <c r="N467" s="10" t="str">
        <f t="shared" si="39"/>
        <v/>
      </c>
      <c r="O467" s="6"/>
      <c r="P467" s="6"/>
    </row>
    <row r="468" spans="1:16" x14ac:dyDescent="0.3">
      <c r="A468" s="6"/>
      <c r="B468" s="7"/>
      <c r="C468" s="6"/>
      <c r="D468" s="6"/>
      <c r="E468" s="6"/>
      <c r="F468" s="25"/>
      <c r="G468" s="25" t="str">
        <f>IF(A468="","",SUMIFS(Paradas_Detalhadas!$I:$I,Paradas_Detalhadas!$A:$A,A468,Paradas_Detalhadas!$B:$B,B468,Paradas_Detalhadas!$C:$C,C468,Paradas_Detalhadas!$D:$D,E468))</f>
        <v/>
      </c>
      <c r="H468" s="26" t="str">
        <f t="shared" si="35"/>
        <v/>
      </c>
      <c r="I468" s="10"/>
      <c r="J468" s="10"/>
      <c r="K468" s="10" t="str">
        <f t="shared" si="36"/>
        <v/>
      </c>
      <c r="L468" s="10" t="str">
        <f t="shared" si="37"/>
        <v/>
      </c>
      <c r="M468" s="10" t="str">
        <f t="shared" si="38"/>
        <v/>
      </c>
      <c r="N468" s="10" t="str">
        <f t="shared" si="39"/>
        <v/>
      </c>
      <c r="O468" s="6"/>
      <c r="P468" s="6"/>
    </row>
    <row r="469" spans="1:16" x14ac:dyDescent="0.3">
      <c r="A469" s="6"/>
      <c r="B469" s="7"/>
      <c r="C469" s="6"/>
      <c r="D469" s="6"/>
      <c r="E469" s="6"/>
      <c r="F469" s="25"/>
      <c r="G469" s="25" t="str">
        <f>IF(A469="","",SUMIFS(Paradas_Detalhadas!$I:$I,Paradas_Detalhadas!$A:$A,A469,Paradas_Detalhadas!$B:$B,B469,Paradas_Detalhadas!$C:$C,C469,Paradas_Detalhadas!$D:$D,E469))</f>
        <v/>
      </c>
      <c r="H469" s="26" t="str">
        <f t="shared" si="35"/>
        <v/>
      </c>
      <c r="I469" s="10"/>
      <c r="J469" s="10"/>
      <c r="K469" s="10" t="str">
        <f t="shared" si="36"/>
        <v/>
      </c>
      <c r="L469" s="10" t="str">
        <f t="shared" si="37"/>
        <v/>
      </c>
      <c r="M469" s="10" t="str">
        <f t="shared" si="38"/>
        <v/>
      </c>
      <c r="N469" s="10" t="str">
        <f t="shared" si="39"/>
        <v/>
      </c>
      <c r="O469" s="6"/>
      <c r="P469" s="6"/>
    </row>
    <row r="470" spans="1:16" x14ac:dyDescent="0.3">
      <c r="A470" s="6"/>
      <c r="B470" s="7"/>
      <c r="C470" s="6"/>
      <c r="D470" s="6"/>
      <c r="E470" s="6"/>
      <c r="F470" s="25"/>
      <c r="G470" s="25" t="str">
        <f>IF(A470="","",SUMIFS(Paradas_Detalhadas!$I:$I,Paradas_Detalhadas!$A:$A,A470,Paradas_Detalhadas!$B:$B,B470,Paradas_Detalhadas!$C:$C,C470,Paradas_Detalhadas!$D:$D,E470))</f>
        <v/>
      </c>
      <c r="H470" s="26" t="str">
        <f t="shared" si="35"/>
        <v/>
      </c>
      <c r="I470" s="10"/>
      <c r="J470" s="10"/>
      <c r="K470" s="10" t="str">
        <f t="shared" si="36"/>
        <v/>
      </c>
      <c r="L470" s="10" t="str">
        <f t="shared" si="37"/>
        <v/>
      </c>
      <c r="M470" s="10" t="str">
        <f t="shared" si="38"/>
        <v/>
      </c>
      <c r="N470" s="10" t="str">
        <f t="shared" si="39"/>
        <v/>
      </c>
      <c r="O470" s="6"/>
      <c r="P470" s="6"/>
    </row>
    <row r="471" spans="1:16" x14ac:dyDescent="0.3">
      <c r="A471" s="6"/>
      <c r="B471" s="7"/>
      <c r="C471" s="6"/>
      <c r="D471" s="6"/>
      <c r="E471" s="6"/>
      <c r="F471" s="25"/>
      <c r="G471" s="25" t="str">
        <f>IF(A471="","",SUMIFS(Paradas_Detalhadas!$I:$I,Paradas_Detalhadas!$A:$A,A471,Paradas_Detalhadas!$B:$B,B471,Paradas_Detalhadas!$C:$C,C471,Paradas_Detalhadas!$D:$D,E471))</f>
        <v/>
      </c>
      <c r="H471" s="26" t="str">
        <f t="shared" si="35"/>
        <v/>
      </c>
      <c r="I471" s="10"/>
      <c r="J471" s="10"/>
      <c r="K471" s="10" t="str">
        <f t="shared" si="36"/>
        <v/>
      </c>
      <c r="L471" s="10" t="str">
        <f t="shared" si="37"/>
        <v/>
      </c>
      <c r="M471" s="10" t="str">
        <f t="shared" si="38"/>
        <v/>
      </c>
      <c r="N471" s="10" t="str">
        <f t="shared" si="39"/>
        <v/>
      </c>
      <c r="O471" s="6"/>
      <c r="P471" s="6"/>
    </row>
    <row r="472" spans="1:16" x14ac:dyDescent="0.3">
      <c r="A472" s="6"/>
      <c r="B472" s="7"/>
      <c r="C472" s="6"/>
      <c r="D472" s="6"/>
      <c r="E472" s="6"/>
      <c r="F472" s="25"/>
      <c r="G472" s="25" t="str">
        <f>IF(A472="","",SUMIFS(Paradas_Detalhadas!$I:$I,Paradas_Detalhadas!$A:$A,A472,Paradas_Detalhadas!$B:$B,B472,Paradas_Detalhadas!$C:$C,C472,Paradas_Detalhadas!$D:$D,E472))</f>
        <v/>
      </c>
      <c r="H472" s="26" t="str">
        <f t="shared" si="35"/>
        <v/>
      </c>
      <c r="I472" s="10"/>
      <c r="J472" s="10"/>
      <c r="K472" s="10" t="str">
        <f t="shared" si="36"/>
        <v/>
      </c>
      <c r="L472" s="10" t="str">
        <f t="shared" si="37"/>
        <v/>
      </c>
      <c r="M472" s="10" t="str">
        <f t="shared" si="38"/>
        <v/>
      </c>
      <c r="N472" s="10" t="str">
        <f t="shared" si="39"/>
        <v/>
      </c>
      <c r="O472" s="6"/>
      <c r="P472" s="6"/>
    </row>
    <row r="473" spans="1:16" x14ac:dyDescent="0.3">
      <c r="A473" s="6"/>
      <c r="B473" s="7"/>
      <c r="C473" s="6"/>
      <c r="D473" s="6"/>
      <c r="E473" s="6"/>
      <c r="F473" s="25"/>
      <c r="G473" s="25" t="str">
        <f>IF(A473="","",SUMIFS(Paradas_Detalhadas!$I:$I,Paradas_Detalhadas!$A:$A,A473,Paradas_Detalhadas!$B:$B,B473,Paradas_Detalhadas!$C:$C,C473,Paradas_Detalhadas!$D:$D,E473))</f>
        <v/>
      </c>
      <c r="H473" s="26" t="str">
        <f t="shared" si="35"/>
        <v/>
      </c>
      <c r="I473" s="10"/>
      <c r="J473" s="10"/>
      <c r="K473" s="10" t="str">
        <f t="shared" si="36"/>
        <v/>
      </c>
      <c r="L473" s="10" t="str">
        <f t="shared" si="37"/>
        <v/>
      </c>
      <c r="M473" s="10" t="str">
        <f t="shared" si="38"/>
        <v/>
      </c>
      <c r="N473" s="10" t="str">
        <f t="shared" si="39"/>
        <v/>
      </c>
      <c r="O473" s="6"/>
      <c r="P473" s="6"/>
    </row>
    <row r="474" spans="1:16" x14ac:dyDescent="0.3">
      <c r="A474" s="6"/>
      <c r="B474" s="7"/>
      <c r="C474" s="6"/>
      <c r="D474" s="6"/>
      <c r="E474" s="6"/>
      <c r="F474" s="25"/>
      <c r="G474" s="25" t="str">
        <f>IF(A474="","",SUMIFS(Paradas_Detalhadas!$I:$I,Paradas_Detalhadas!$A:$A,A474,Paradas_Detalhadas!$B:$B,B474,Paradas_Detalhadas!$C:$C,C474,Paradas_Detalhadas!$D:$D,E474))</f>
        <v/>
      </c>
      <c r="H474" s="26" t="str">
        <f t="shared" si="35"/>
        <v/>
      </c>
      <c r="I474" s="10"/>
      <c r="J474" s="10"/>
      <c r="K474" s="10" t="str">
        <f t="shared" si="36"/>
        <v/>
      </c>
      <c r="L474" s="10" t="str">
        <f t="shared" si="37"/>
        <v/>
      </c>
      <c r="M474" s="10" t="str">
        <f t="shared" si="38"/>
        <v/>
      </c>
      <c r="N474" s="10" t="str">
        <f t="shared" si="39"/>
        <v/>
      </c>
      <c r="O474" s="6"/>
      <c r="P474" s="6"/>
    </row>
    <row r="475" spans="1:16" x14ac:dyDescent="0.3">
      <c r="A475" s="6"/>
      <c r="B475" s="7"/>
      <c r="C475" s="6"/>
      <c r="D475" s="6"/>
      <c r="E475" s="6"/>
      <c r="F475" s="25"/>
      <c r="G475" s="25" t="str">
        <f>IF(A475="","",SUMIFS(Paradas_Detalhadas!$I:$I,Paradas_Detalhadas!$A:$A,A475,Paradas_Detalhadas!$B:$B,B475,Paradas_Detalhadas!$C:$C,C475,Paradas_Detalhadas!$D:$D,E475))</f>
        <v/>
      </c>
      <c r="H475" s="26" t="str">
        <f t="shared" si="35"/>
        <v/>
      </c>
      <c r="I475" s="10"/>
      <c r="J475" s="10"/>
      <c r="K475" s="10" t="str">
        <f t="shared" si="36"/>
        <v/>
      </c>
      <c r="L475" s="10" t="str">
        <f t="shared" si="37"/>
        <v/>
      </c>
      <c r="M475" s="10" t="str">
        <f t="shared" si="38"/>
        <v/>
      </c>
      <c r="N475" s="10" t="str">
        <f t="shared" si="39"/>
        <v/>
      </c>
      <c r="O475" s="6"/>
      <c r="P475" s="6"/>
    </row>
    <row r="476" spans="1:16" x14ac:dyDescent="0.3">
      <c r="A476" s="6"/>
      <c r="B476" s="7"/>
      <c r="C476" s="6"/>
      <c r="D476" s="6"/>
      <c r="E476" s="6"/>
      <c r="F476" s="25"/>
      <c r="G476" s="25" t="str">
        <f>IF(A476="","",SUMIFS(Paradas_Detalhadas!$I:$I,Paradas_Detalhadas!$A:$A,A476,Paradas_Detalhadas!$B:$B,B476,Paradas_Detalhadas!$C:$C,C476,Paradas_Detalhadas!$D:$D,E476))</f>
        <v/>
      </c>
      <c r="H476" s="26" t="str">
        <f t="shared" si="35"/>
        <v/>
      </c>
      <c r="I476" s="10"/>
      <c r="J476" s="10"/>
      <c r="K476" s="10" t="str">
        <f t="shared" si="36"/>
        <v/>
      </c>
      <c r="L476" s="10" t="str">
        <f t="shared" si="37"/>
        <v/>
      </c>
      <c r="M476" s="10" t="str">
        <f t="shared" si="38"/>
        <v/>
      </c>
      <c r="N476" s="10" t="str">
        <f t="shared" si="39"/>
        <v/>
      </c>
      <c r="O476" s="6"/>
      <c r="P476" s="6"/>
    </row>
    <row r="477" spans="1:16" x14ac:dyDescent="0.3">
      <c r="A477" s="6"/>
      <c r="B477" s="7"/>
      <c r="C477" s="6"/>
      <c r="D477" s="6"/>
      <c r="E477" s="6"/>
      <c r="F477" s="25"/>
      <c r="G477" s="25" t="str">
        <f>IF(A477="","",SUMIFS(Paradas_Detalhadas!$I:$I,Paradas_Detalhadas!$A:$A,A477,Paradas_Detalhadas!$B:$B,B477,Paradas_Detalhadas!$C:$C,C477,Paradas_Detalhadas!$D:$D,E477))</f>
        <v/>
      </c>
      <c r="H477" s="26" t="str">
        <f t="shared" si="35"/>
        <v/>
      </c>
      <c r="I477" s="10"/>
      <c r="J477" s="10"/>
      <c r="K477" s="10" t="str">
        <f t="shared" si="36"/>
        <v/>
      </c>
      <c r="L477" s="10" t="str">
        <f t="shared" si="37"/>
        <v/>
      </c>
      <c r="M477" s="10" t="str">
        <f t="shared" si="38"/>
        <v/>
      </c>
      <c r="N477" s="10" t="str">
        <f t="shared" si="39"/>
        <v/>
      </c>
      <c r="O477" s="6"/>
      <c r="P477" s="6"/>
    </row>
    <row r="478" spans="1:16" x14ac:dyDescent="0.3">
      <c r="A478" s="6"/>
      <c r="B478" s="7"/>
      <c r="C478" s="6"/>
      <c r="D478" s="6"/>
      <c r="E478" s="6"/>
      <c r="F478" s="25"/>
      <c r="G478" s="25" t="str">
        <f>IF(A478="","",SUMIFS(Paradas_Detalhadas!$I:$I,Paradas_Detalhadas!$A:$A,A478,Paradas_Detalhadas!$B:$B,B478,Paradas_Detalhadas!$C:$C,C478,Paradas_Detalhadas!$D:$D,E478))</f>
        <v/>
      </c>
      <c r="H478" s="26" t="str">
        <f t="shared" si="35"/>
        <v/>
      </c>
      <c r="I478" s="10"/>
      <c r="J478" s="10"/>
      <c r="K478" s="10" t="str">
        <f t="shared" si="36"/>
        <v/>
      </c>
      <c r="L478" s="10" t="str">
        <f t="shared" si="37"/>
        <v/>
      </c>
      <c r="M478" s="10" t="str">
        <f t="shared" si="38"/>
        <v/>
      </c>
      <c r="N478" s="10" t="str">
        <f t="shared" si="39"/>
        <v/>
      </c>
      <c r="O478" s="6"/>
      <c r="P478" s="6"/>
    </row>
    <row r="479" spans="1:16" x14ac:dyDescent="0.3">
      <c r="A479" s="6"/>
      <c r="B479" s="7"/>
      <c r="C479" s="6"/>
      <c r="D479" s="6"/>
      <c r="E479" s="6"/>
      <c r="F479" s="25"/>
      <c r="G479" s="25" t="str">
        <f>IF(A479="","",SUMIFS(Paradas_Detalhadas!$I:$I,Paradas_Detalhadas!$A:$A,A479,Paradas_Detalhadas!$B:$B,B479,Paradas_Detalhadas!$C:$C,C479,Paradas_Detalhadas!$D:$D,E479))</f>
        <v/>
      </c>
      <c r="H479" s="26" t="str">
        <f t="shared" si="35"/>
        <v/>
      </c>
      <c r="I479" s="10"/>
      <c r="J479" s="10"/>
      <c r="K479" s="10" t="str">
        <f t="shared" si="36"/>
        <v/>
      </c>
      <c r="L479" s="10" t="str">
        <f t="shared" si="37"/>
        <v/>
      </c>
      <c r="M479" s="10" t="str">
        <f t="shared" si="38"/>
        <v/>
      </c>
      <c r="N479" s="10" t="str">
        <f t="shared" si="39"/>
        <v/>
      </c>
      <c r="O479" s="6"/>
      <c r="P479" s="6"/>
    </row>
    <row r="480" spans="1:16" x14ac:dyDescent="0.3">
      <c r="A480" s="6"/>
      <c r="B480" s="7"/>
      <c r="C480" s="6"/>
      <c r="D480" s="6"/>
      <c r="E480" s="6"/>
      <c r="F480" s="25"/>
      <c r="G480" s="25" t="str">
        <f>IF(A480="","",SUMIFS(Paradas_Detalhadas!$I:$I,Paradas_Detalhadas!$A:$A,A480,Paradas_Detalhadas!$B:$B,B480,Paradas_Detalhadas!$C:$C,C480,Paradas_Detalhadas!$D:$D,E480))</f>
        <v/>
      </c>
      <c r="H480" s="26" t="str">
        <f t="shared" si="35"/>
        <v/>
      </c>
      <c r="I480" s="10"/>
      <c r="J480" s="10"/>
      <c r="K480" s="10" t="str">
        <f t="shared" si="36"/>
        <v/>
      </c>
      <c r="L480" s="10" t="str">
        <f t="shared" si="37"/>
        <v/>
      </c>
      <c r="M480" s="10" t="str">
        <f t="shared" si="38"/>
        <v/>
      </c>
      <c r="N480" s="10" t="str">
        <f t="shared" si="39"/>
        <v/>
      </c>
      <c r="O480" s="6"/>
      <c r="P480" s="6"/>
    </row>
    <row r="481" spans="1:16" x14ac:dyDescent="0.3">
      <c r="A481" s="6"/>
      <c r="B481" s="7"/>
      <c r="C481" s="6"/>
      <c r="D481" s="6"/>
      <c r="E481" s="6"/>
      <c r="F481" s="25"/>
      <c r="G481" s="25" t="str">
        <f>IF(A481="","",SUMIFS(Paradas_Detalhadas!$I:$I,Paradas_Detalhadas!$A:$A,A481,Paradas_Detalhadas!$B:$B,B481,Paradas_Detalhadas!$C:$C,C481,Paradas_Detalhadas!$D:$D,E481))</f>
        <v/>
      </c>
      <c r="H481" s="26" t="str">
        <f t="shared" si="35"/>
        <v/>
      </c>
      <c r="I481" s="10"/>
      <c r="J481" s="10"/>
      <c r="K481" s="10" t="str">
        <f t="shared" si="36"/>
        <v/>
      </c>
      <c r="L481" s="10" t="str">
        <f t="shared" si="37"/>
        <v/>
      </c>
      <c r="M481" s="10" t="str">
        <f t="shared" si="38"/>
        <v/>
      </c>
      <c r="N481" s="10" t="str">
        <f t="shared" si="39"/>
        <v/>
      </c>
      <c r="O481" s="6"/>
      <c r="P481" s="6"/>
    </row>
    <row r="482" spans="1:16" x14ac:dyDescent="0.3">
      <c r="A482" s="6"/>
      <c r="B482" s="7"/>
      <c r="C482" s="6"/>
      <c r="D482" s="6"/>
      <c r="E482" s="6"/>
      <c r="F482" s="25"/>
      <c r="G482" s="25" t="str">
        <f>IF(A482="","",SUMIFS(Paradas_Detalhadas!$I:$I,Paradas_Detalhadas!$A:$A,A482,Paradas_Detalhadas!$B:$B,B482,Paradas_Detalhadas!$C:$C,C482,Paradas_Detalhadas!$D:$D,E482))</f>
        <v/>
      </c>
      <c r="H482" s="26" t="str">
        <f t="shared" si="35"/>
        <v/>
      </c>
      <c r="I482" s="10"/>
      <c r="J482" s="10"/>
      <c r="K482" s="10" t="str">
        <f t="shared" si="36"/>
        <v/>
      </c>
      <c r="L482" s="10" t="str">
        <f t="shared" si="37"/>
        <v/>
      </c>
      <c r="M482" s="10" t="str">
        <f t="shared" si="38"/>
        <v/>
      </c>
      <c r="N482" s="10" t="str">
        <f t="shared" si="39"/>
        <v/>
      </c>
      <c r="O482" s="6"/>
      <c r="P482" s="6"/>
    </row>
    <row r="483" spans="1:16" x14ac:dyDescent="0.3">
      <c r="A483" s="6"/>
      <c r="B483" s="7"/>
      <c r="C483" s="6"/>
      <c r="D483" s="6"/>
      <c r="E483" s="6"/>
      <c r="F483" s="25"/>
      <c r="G483" s="25" t="str">
        <f>IF(A483="","",SUMIFS(Paradas_Detalhadas!$I:$I,Paradas_Detalhadas!$A:$A,A483,Paradas_Detalhadas!$B:$B,B483,Paradas_Detalhadas!$C:$C,C483,Paradas_Detalhadas!$D:$D,E483))</f>
        <v/>
      </c>
      <c r="H483" s="26" t="str">
        <f t="shared" si="35"/>
        <v/>
      </c>
      <c r="I483" s="10"/>
      <c r="J483" s="10"/>
      <c r="K483" s="10" t="str">
        <f t="shared" si="36"/>
        <v/>
      </c>
      <c r="L483" s="10" t="str">
        <f t="shared" si="37"/>
        <v/>
      </c>
      <c r="M483" s="10" t="str">
        <f t="shared" si="38"/>
        <v/>
      </c>
      <c r="N483" s="10" t="str">
        <f t="shared" si="39"/>
        <v/>
      </c>
      <c r="O483" s="6"/>
      <c r="P483" s="6"/>
    </row>
    <row r="484" spans="1:16" x14ac:dyDescent="0.3">
      <c r="A484" s="6"/>
      <c r="B484" s="7"/>
      <c r="C484" s="6"/>
      <c r="D484" s="6"/>
      <c r="E484" s="6"/>
      <c r="F484" s="25"/>
      <c r="G484" s="25" t="str">
        <f>IF(A484="","",SUMIFS(Paradas_Detalhadas!$I:$I,Paradas_Detalhadas!$A:$A,A484,Paradas_Detalhadas!$B:$B,B484,Paradas_Detalhadas!$C:$C,C484,Paradas_Detalhadas!$D:$D,E484))</f>
        <v/>
      </c>
      <c r="H484" s="26" t="str">
        <f t="shared" si="35"/>
        <v/>
      </c>
      <c r="I484" s="10"/>
      <c r="J484" s="10"/>
      <c r="K484" s="10" t="str">
        <f t="shared" si="36"/>
        <v/>
      </c>
      <c r="L484" s="10" t="str">
        <f t="shared" si="37"/>
        <v/>
      </c>
      <c r="M484" s="10" t="str">
        <f t="shared" si="38"/>
        <v/>
      </c>
      <c r="N484" s="10" t="str">
        <f t="shared" si="39"/>
        <v/>
      </c>
      <c r="O484" s="6"/>
      <c r="P484" s="6"/>
    </row>
    <row r="485" spans="1:16" x14ac:dyDescent="0.3">
      <c r="A485" s="6"/>
      <c r="B485" s="7"/>
      <c r="C485" s="6"/>
      <c r="D485" s="6"/>
      <c r="E485" s="6"/>
      <c r="F485" s="25"/>
      <c r="G485" s="25" t="str">
        <f>IF(A485="","",SUMIFS(Paradas_Detalhadas!$I:$I,Paradas_Detalhadas!$A:$A,A485,Paradas_Detalhadas!$B:$B,B485,Paradas_Detalhadas!$C:$C,C485,Paradas_Detalhadas!$D:$D,E485))</f>
        <v/>
      </c>
      <c r="H485" s="26" t="str">
        <f t="shared" si="35"/>
        <v/>
      </c>
      <c r="I485" s="10"/>
      <c r="J485" s="10"/>
      <c r="K485" s="10" t="str">
        <f t="shared" si="36"/>
        <v/>
      </c>
      <c r="L485" s="10" t="str">
        <f t="shared" si="37"/>
        <v/>
      </c>
      <c r="M485" s="10" t="str">
        <f t="shared" si="38"/>
        <v/>
      </c>
      <c r="N485" s="10" t="str">
        <f t="shared" si="39"/>
        <v/>
      </c>
      <c r="O485" s="6"/>
      <c r="P485" s="6"/>
    </row>
    <row r="486" spans="1:16" x14ac:dyDescent="0.3">
      <c r="A486" s="6"/>
      <c r="B486" s="7"/>
      <c r="C486" s="6"/>
      <c r="D486" s="6"/>
      <c r="E486" s="6"/>
      <c r="F486" s="25"/>
      <c r="G486" s="25" t="str">
        <f>IF(A486="","",SUMIFS(Paradas_Detalhadas!$I:$I,Paradas_Detalhadas!$A:$A,A486,Paradas_Detalhadas!$B:$B,B486,Paradas_Detalhadas!$C:$C,C486,Paradas_Detalhadas!$D:$D,E486))</f>
        <v/>
      </c>
      <c r="H486" s="26" t="str">
        <f t="shared" si="35"/>
        <v/>
      </c>
      <c r="I486" s="10"/>
      <c r="J486" s="10"/>
      <c r="K486" s="10" t="str">
        <f t="shared" si="36"/>
        <v/>
      </c>
      <c r="L486" s="10" t="str">
        <f t="shared" si="37"/>
        <v/>
      </c>
      <c r="M486" s="10" t="str">
        <f t="shared" si="38"/>
        <v/>
      </c>
      <c r="N486" s="10" t="str">
        <f t="shared" si="39"/>
        <v/>
      </c>
      <c r="O486" s="6"/>
      <c r="P486" s="6"/>
    </row>
    <row r="487" spans="1:16" x14ac:dyDescent="0.3">
      <c r="A487" s="6"/>
      <c r="B487" s="7"/>
      <c r="C487" s="6"/>
      <c r="D487" s="6"/>
      <c r="E487" s="6"/>
      <c r="F487" s="25"/>
      <c r="G487" s="25" t="str">
        <f>IF(A487="","",SUMIFS(Paradas_Detalhadas!$I:$I,Paradas_Detalhadas!$A:$A,A487,Paradas_Detalhadas!$B:$B,B487,Paradas_Detalhadas!$C:$C,C487,Paradas_Detalhadas!$D:$D,E487))</f>
        <v/>
      </c>
      <c r="H487" s="26" t="str">
        <f t="shared" si="35"/>
        <v/>
      </c>
      <c r="I487" s="10"/>
      <c r="J487" s="10"/>
      <c r="K487" s="10" t="str">
        <f t="shared" si="36"/>
        <v/>
      </c>
      <c r="L487" s="10" t="str">
        <f t="shared" si="37"/>
        <v/>
      </c>
      <c r="M487" s="10" t="str">
        <f t="shared" si="38"/>
        <v/>
      </c>
      <c r="N487" s="10" t="str">
        <f t="shared" si="39"/>
        <v/>
      </c>
      <c r="O487" s="6"/>
      <c r="P487" s="6"/>
    </row>
    <row r="488" spans="1:16" x14ac:dyDescent="0.3">
      <c r="A488" s="6"/>
      <c r="B488" s="7"/>
      <c r="C488" s="6"/>
      <c r="D488" s="6"/>
      <c r="E488" s="6"/>
      <c r="F488" s="25"/>
      <c r="G488" s="25" t="str">
        <f>IF(A488="","",SUMIFS(Paradas_Detalhadas!$I:$I,Paradas_Detalhadas!$A:$A,A488,Paradas_Detalhadas!$B:$B,B488,Paradas_Detalhadas!$C:$C,C488,Paradas_Detalhadas!$D:$D,E488))</f>
        <v/>
      </c>
      <c r="H488" s="26" t="str">
        <f t="shared" si="35"/>
        <v/>
      </c>
      <c r="I488" s="10"/>
      <c r="J488" s="10"/>
      <c r="K488" s="10" t="str">
        <f t="shared" si="36"/>
        <v/>
      </c>
      <c r="L488" s="10" t="str">
        <f t="shared" si="37"/>
        <v/>
      </c>
      <c r="M488" s="10" t="str">
        <f t="shared" si="38"/>
        <v/>
      </c>
      <c r="N488" s="10" t="str">
        <f t="shared" si="39"/>
        <v/>
      </c>
      <c r="O488" s="6"/>
      <c r="P488" s="6"/>
    </row>
    <row r="489" spans="1:16" x14ac:dyDescent="0.3">
      <c r="A489" s="6"/>
      <c r="B489" s="7"/>
      <c r="C489" s="6"/>
      <c r="D489" s="6"/>
      <c r="E489" s="6"/>
      <c r="F489" s="25"/>
      <c r="G489" s="25" t="str">
        <f>IF(A489="","",SUMIFS(Paradas_Detalhadas!$I:$I,Paradas_Detalhadas!$A:$A,A489,Paradas_Detalhadas!$B:$B,B489,Paradas_Detalhadas!$C:$C,C489,Paradas_Detalhadas!$D:$D,E489))</f>
        <v/>
      </c>
      <c r="H489" s="26" t="str">
        <f t="shared" si="35"/>
        <v/>
      </c>
      <c r="I489" s="10"/>
      <c r="J489" s="10"/>
      <c r="K489" s="10" t="str">
        <f t="shared" si="36"/>
        <v/>
      </c>
      <c r="L489" s="10" t="str">
        <f t="shared" si="37"/>
        <v/>
      </c>
      <c r="M489" s="10" t="str">
        <f t="shared" si="38"/>
        <v/>
      </c>
      <c r="N489" s="10" t="str">
        <f t="shared" si="39"/>
        <v/>
      </c>
      <c r="O489" s="6"/>
      <c r="P489" s="6"/>
    </row>
    <row r="490" spans="1:16" x14ac:dyDescent="0.3">
      <c r="A490" s="6"/>
      <c r="B490" s="7"/>
      <c r="C490" s="6"/>
      <c r="D490" s="6"/>
      <c r="E490" s="6"/>
      <c r="F490" s="25"/>
      <c r="G490" s="25" t="str">
        <f>IF(A490="","",SUMIFS(Paradas_Detalhadas!$I:$I,Paradas_Detalhadas!$A:$A,A490,Paradas_Detalhadas!$B:$B,B490,Paradas_Detalhadas!$C:$C,C490,Paradas_Detalhadas!$D:$D,E490))</f>
        <v/>
      </c>
      <c r="H490" s="26" t="str">
        <f t="shared" si="35"/>
        <v/>
      </c>
      <c r="I490" s="10"/>
      <c r="J490" s="10"/>
      <c r="K490" s="10" t="str">
        <f t="shared" si="36"/>
        <v/>
      </c>
      <c r="L490" s="10" t="str">
        <f t="shared" si="37"/>
        <v/>
      </c>
      <c r="M490" s="10" t="str">
        <f t="shared" si="38"/>
        <v/>
      </c>
      <c r="N490" s="10" t="str">
        <f t="shared" si="39"/>
        <v/>
      </c>
      <c r="O490" s="6"/>
      <c r="P490" s="6"/>
    </row>
    <row r="491" spans="1:16" x14ac:dyDescent="0.3">
      <c r="A491" s="6"/>
      <c r="B491" s="7"/>
      <c r="C491" s="6"/>
      <c r="D491" s="6"/>
      <c r="E491" s="6"/>
      <c r="F491" s="25"/>
      <c r="G491" s="25" t="str">
        <f>IF(A491="","",SUMIFS(Paradas_Detalhadas!$I:$I,Paradas_Detalhadas!$A:$A,A491,Paradas_Detalhadas!$B:$B,B491,Paradas_Detalhadas!$C:$C,C491,Paradas_Detalhadas!$D:$D,E491))</f>
        <v/>
      </c>
      <c r="H491" s="26" t="str">
        <f t="shared" si="35"/>
        <v/>
      </c>
      <c r="I491" s="10"/>
      <c r="J491" s="10"/>
      <c r="K491" s="10" t="str">
        <f t="shared" si="36"/>
        <v/>
      </c>
      <c r="L491" s="10" t="str">
        <f t="shared" si="37"/>
        <v/>
      </c>
      <c r="M491" s="10" t="str">
        <f t="shared" si="38"/>
        <v/>
      </c>
      <c r="N491" s="10" t="str">
        <f t="shared" si="39"/>
        <v/>
      </c>
      <c r="O491" s="6"/>
      <c r="P491" s="6"/>
    </row>
    <row r="492" spans="1:16" x14ac:dyDescent="0.3">
      <c r="A492" s="6"/>
      <c r="B492" s="7"/>
      <c r="C492" s="6"/>
      <c r="D492" s="6"/>
      <c r="E492" s="6"/>
      <c r="F492" s="25"/>
      <c r="G492" s="25" t="str">
        <f>IF(A492="","",SUMIFS(Paradas_Detalhadas!$I:$I,Paradas_Detalhadas!$A:$A,A492,Paradas_Detalhadas!$B:$B,B492,Paradas_Detalhadas!$C:$C,C492,Paradas_Detalhadas!$D:$D,E492))</f>
        <v/>
      </c>
      <c r="H492" s="26" t="str">
        <f t="shared" si="35"/>
        <v/>
      </c>
      <c r="I492" s="10"/>
      <c r="J492" s="10"/>
      <c r="K492" s="10" t="str">
        <f t="shared" si="36"/>
        <v/>
      </c>
      <c r="L492" s="10" t="str">
        <f t="shared" si="37"/>
        <v/>
      </c>
      <c r="M492" s="10" t="str">
        <f t="shared" si="38"/>
        <v/>
      </c>
      <c r="N492" s="10" t="str">
        <f t="shared" si="39"/>
        <v/>
      </c>
      <c r="O492" s="6"/>
      <c r="P492" s="6"/>
    </row>
    <row r="493" spans="1:16" x14ac:dyDescent="0.3">
      <c r="A493" s="6"/>
      <c r="B493" s="7"/>
      <c r="C493" s="6"/>
      <c r="D493" s="6"/>
      <c r="E493" s="6"/>
      <c r="F493" s="25"/>
      <c r="G493" s="25" t="str">
        <f>IF(A493="","",SUMIFS(Paradas_Detalhadas!$I:$I,Paradas_Detalhadas!$A:$A,A493,Paradas_Detalhadas!$B:$B,B493,Paradas_Detalhadas!$C:$C,C493,Paradas_Detalhadas!$D:$D,E493))</f>
        <v/>
      </c>
      <c r="H493" s="26" t="str">
        <f t="shared" si="35"/>
        <v/>
      </c>
      <c r="I493" s="10"/>
      <c r="J493" s="10"/>
      <c r="K493" s="10" t="str">
        <f t="shared" si="36"/>
        <v/>
      </c>
      <c r="L493" s="10" t="str">
        <f t="shared" si="37"/>
        <v/>
      </c>
      <c r="M493" s="10" t="str">
        <f t="shared" si="38"/>
        <v/>
      </c>
      <c r="N493" s="10" t="str">
        <f t="shared" si="39"/>
        <v/>
      </c>
      <c r="O493" s="6"/>
      <c r="P493" s="6"/>
    </row>
    <row r="494" spans="1:16" x14ac:dyDescent="0.3">
      <c r="A494" s="6"/>
      <c r="B494" s="7"/>
      <c r="C494" s="6"/>
      <c r="D494" s="6"/>
      <c r="E494" s="6"/>
      <c r="F494" s="25"/>
      <c r="G494" s="25" t="str">
        <f>IF(A494="","",SUMIFS(Paradas_Detalhadas!$I:$I,Paradas_Detalhadas!$A:$A,A494,Paradas_Detalhadas!$B:$B,B494,Paradas_Detalhadas!$C:$C,C494,Paradas_Detalhadas!$D:$D,E494))</f>
        <v/>
      </c>
      <c r="H494" s="26" t="str">
        <f t="shared" ref="H494:H557" si="40">IF(OR(F494="",G494=""),"",MAX(F494-G494,0))</f>
        <v/>
      </c>
      <c r="I494" s="10"/>
      <c r="J494" s="10"/>
      <c r="K494" s="10" t="str">
        <f t="shared" ref="K494:K557" si="41">IF(AND(I494="",J494=""),"",SUM(I494:J494))</f>
        <v/>
      </c>
      <c r="L494" s="10" t="str">
        <f t="shared" ref="L494:L557" si="42">IFERROR(K494/H494,"")</f>
        <v/>
      </c>
      <c r="M494" s="10" t="str">
        <f t="shared" ref="M494:M557" si="43">IFERROR(I494/H494,"")</f>
        <v/>
      </c>
      <c r="N494" s="10" t="str">
        <f t="shared" ref="N494:N557" si="44">IFERROR(J494/H494,"")</f>
        <v/>
      </c>
      <c r="O494" s="6"/>
      <c r="P494" s="6"/>
    </row>
    <row r="495" spans="1:16" x14ac:dyDescent="0.3">
      <c r="A495" s="6"/>
      <c r="B495" s="7"/>
      <c r="C495" s="6"/>
      <c r="D495" s="6"/>
      <c r="E495" s="6"/>
      <c r="F495" s="25"/>
      <c r="G495" s="25" t="str">
        <f>IF(A495="","",SUMIFS(Paradas_Detalhadas!$I:$I,Paradas_Detalhadas!$A:$A,A495,Paradas_Detalhadas!$B:$B,B495,Paradas_Detalhadas!$C:$C,C495,Paradas_Detalhadas!$D:$D,E495))</f>
        <v/>
      </c>
      <c r="H495" s="26" t="str">
        <f t="shared" si="40"/>
        <v/>
      </c>
      <c r="I495" s="10"/>
      <c r="J495" s="10"/>
      <c r="K495" s="10" t="str">
        <f t="shared" si="41"/>
        <v/>
      </c>
      <c r="L495" s="10" t="str">
        <f t="shared" si="42"/>
        <v/>
      </c>
      <c r="M495" s="10" t="str">
        <f t="shared" si="43"/>
        <v/>
      </c>
      <c r="N495" s="10" t="str">
        <f t="shared" si="44"/>
        <v/>
      </c>
      <c r="O495" s="6"/>
      <c r="P495" s="6"/>
    </row>
    <row r="496" spans="1:16" x14ac:dyDescent="0.3">
      <c r="A496" s="6"/>
      <c r="B496" s="7"/>
      <c r="C496" s="6"/>
      <c r="D496" s="6"/>
      <c r="E496" s="6"/>
      <c r="F496" s="25"/>
      <c r="G496" s="25" t="str">
        <f>IF(A496="","",SUMIFS(Paradas_Detalhadas!$I:$I,Paradas_Detalhadas!$A:$A,A496,Paradas_Detalhadas!$B:$B,B496,Paradas_Detalhadas!$C:$C,C496,Paradas_Detalhadas!$D:$D,E496))</f>
        <v/>
      </c>
      <c r="H496" s="26" t="str">
        <f t="shared" si="40"/>
        <v/>
      </c>
      <c r="I496" s="10"/>
      <c r="J496" s="10"/>
      <c r="K496" s="10" t="str">
        <f t="shared" si="41"/>
        <v/>
      </c>
      <c r="L496" s="10" t="str">
        <f t="shared" si="42"/>
        <v/>
      </c>
      <c r="M496" s="10" t="str">
        <f t="shared" si="43"/>
        <v/>
      </c>
      <c r="N496" s="10" t="str">
        <f t="shared" si="44"/>
        <v/>
      </c>
      <c r="O496" s="6"/>
      <c r="P496" s="6"/>
    </row>
    <row r="497" spans="1:16" x14ac:dyDescent="0.3">
      <c r="A497" s="6"/>
      <c r="B497" s="7"/>
      <c r="C497" s="6"/>
      <c r="D497" s="6"/>
      <c r="E497" s="6"/>
      <c r="F497" s="25"/>
      <c r="G497" s="25" t="str">
        <f>IF(A497="","",SUMIFS(Paradas_Detalhadas!$I:$I,Paradas_Detalhadas!$A:$A,A497,Paradas_Detalhadas!$B:$B,B497,Paradas_Detalhadas!$C:$C,C497,Paradas_Detalhadas!$D:$D,E497))</f>
        <v/>
      </c>
      <c r="H497" s="26" t="str">
        <f t="shared" si="40"/>
        <v/>
      </c>
      <c r="I497" s="10"/>
      <c r="J497" s="10"/>
      <c r="K497" s="10" t="str">
        <f t="shared" si="41"/>
        <v/>
      </c>
      <c r="L497" s="10" t="str">
        <f t="shared" si="42"/>
        <v/>
      </c>
      <c r="M497" s="10" t="str">
        <f t="shared" si="43"/>
        <v/>
      </c>
      <c r="N497" s="10" t="str">
        <f t="shared" si="44"/>
        <v/>
      </c>
      <c r="O497" s="6"/>
      <c r="P497" s="6"/>
    </row>
    <row r="498" spans="1:16" x14ac:dyDescent="0.3">
      <c r="A498" s="6"/>
      <c r="B498" s="7"/>
      <c r="C498" s="6"/>
      <c r="D498" s="6"/>
      <c r="E498" s="6"/>
      <c r="F498" s="25"/>
      <c r="G498" s="25" t="str">
        <f>IF(A498="","",SUMIFS(Paradas_Detalhadas!$I:$I,Paradas_Detalhadas!$A:$A,A498,Paradas_Detalhadas!$B:$B,B498,Paradas_Detalhadas!$C:$C,C498,Paradas_Detalhadas!$D:$D,E498))</f>
        <v/>
      </c>
      <c r="H498" s="26" t="str">
        <f t="shared" si="40"/>
        <v/>
      </c>
      <c r="I498" s="10"/>
      <c r="J498" s="10"/>
      <c r="K498" s="10" t="str">
        <f t="shared" si="41"/>
        <v/>
      </c>
      <c r="L498" s="10" t="str">
        <f t="shared" si="42"/>
        <v/>
      </c>
      <c r="M498" s="10" t="str">
        <f t="shared" si="43"/>
        <v/>
      </c>
      <c r="N498" s="10" t="str">
        <f t="shared" si="44"/>
        <v/>
      </c>
      <c r="O498" s="6"/>
      <c r="P498" s="6"/>
    </row>
    <row r="499" spans="1:16" x14ac:dyDescent="0.3">
      <c r="A499" s="6"/>
      <c r="B499" s="7"/>
      <c r="C499" s="6"/>
      <c r="D499" s="6"/>
      <c r="E499" s="6"/>
      <c r="F499" s="25"/>
      <c r="G499" s="25" t="str">
        <f>IF(A499="","",SUMIFS(Paradas_Detalhadas!$I:$I,Paradas_Detalhadas!$A:$A,A499,Paradas_Detalhadas!$B:$B,B499,Paradas_Detalhadas!$C:$C,C499,Paradas_Detalhadas!$D:$D,E499))</f>
        <v/>
      </c>
      <c r="H499" s="26" t="str">
        <f t="shared" si="40"/>
        <v/>
      </c>
      <c r="I499" s="10"/>
      <c r="J499" s="10"/>
      <c r="K499" s="10" t="str">
        <f t="shared" si="41"/>
        <v/>
      </c>
      <c r="L499" s="10" t="str">
        <f t="shared" si="42"/>
        <v/>
      </c>
      <c r="M499" s="10" t="str">
        <f t="shared" si="43"/>
        <v/>
      </c>
      <c r="N499" s="10" t="str">
        <f t="shared" si="44"/>
        <v/>
      </c>
      <c r="O499" s="6"/>
      <c r="P499" s="6"/>
    </row>
    <row r="500" spans="1:16" x14ac:dyDescent="0.3">
      <c r="A500" s="6"/>
      <c r="B500" s="7"/>
      <c r="C500" s="6"/>
      <c r="D500" s="6"/>
      <c r="E500" s="6"/>
      <c r="F500" s="25"/>
      <c r="G500" s="25" t="str">
        <f>IF(A500="","",SUMIFS(Paradas_Detalhadas!$I:$I,Paradas_Detalhadas!$A:$A,A500,Paradas_Detalhadas!$B:$B,B500,Paradas_Detalhadas!$C:$C,C500,Paradas_Detalhadas!$D:$D,E500))</f>
        <v/>
      </c>
      <c r="H500" s="26" t="str">
        <f t="shared" si="40"/>
        <v/>
      </c>
      <c r="I500" s="10"/>
      <c r="J500" s="10"/>
      <c r="K500" s="10" t="str">
        <f t="shared" si="41"/>
        <v/>
      </c>
      <c r="L500" s="10" t="str">
        <f t="shared" si="42"/>
        <v/>
      </c>
      <c r="M500" s="10" t="str">
        <f t="shared" si="43"/>
        <v/>
      </c>
      <c r="N500" s="10" t="str">
        <f t="shared" si="44"/>
        <v/>
      </c>
      <c r="O500" s="6"/>
      <c r="P500" s="6"/>
    </row>
    <row r="501" spans="1:16" x14ac:dyDescent="0.3">
      <c r="A501" s="6"/>
      <c r="B501" s="7"/>
      <c r="C501" s="6"/>
      <c r="D501" s="6"/>
      <c r="E501" s="6"/>
      <c r="F501" s="25"/>
      <c r="G501" s="25" t="str">
        <f>IF(A501="","",SUMIFS(Paradas_Detalhadas!$I:$I,Paradas_Detalhadas!$A:$A,A501,Paradas_Detalhadas!$B:$B,B501,Paradas_Detalhadas!$C:$C,C501,Paradas_Detalhadas!$D:$D,E501))</f>
        <v/>
      </c>
      <c r="H501" s="26" t="str">
        <f t="shared" si="40"/>
        <v/>
      </c>
      <c r="I501" s="10"/>
      <c r="J501" s="10"/>
      <c r="K501" s="10" t="str">
        <f t="shared" si="41"/>
        <v/>
      </c>
      <c r="L501" s="10" t="str">
        <f t="shared" si="42"/>
        <v/>
      </c>
      <c r="M501" s="10" t="str">
        <f t="shared" si="43"/>
        <v/>
      </c>
      <c r="N501" s="10" t="str">
        <f t="shared" si="44"/>
        <v/>
      </c>
      <c r="O501" s="6"/>
      <c r="P501" s="6"/>
    </row>
    <row r="502" spans="1:16" x14ac:dyDescent="0.3">
      <c r="A502" s="6"/>
      <c r="B502" s="7"/>
      <c r="C502" s="6"/>
      <c r="D502" s="6"/>
      <c r="E502" s="6"/>
      <c r="F502" s="25"/>
      <c r="G502" s="25" t="str">
        <f>IF(A502="","",SUMIFS(Paradas_Detalhadas!$I:$I,Paradas_Detalhadas!$A:$A,A502,Paradas_Detalhadas!$B:$B,B502,Paradas_Detalhadas!$C:$C,C502,Paradas_Detalhadas!$D:$D,E502))</f>
        <v/>
      </c>
      <c r="H502" s="26" t="str">
        <f t="shared" si="40"/>
        <v/>
      </c>
      <c r="I502" s="10"/>
      <c r="J502" s="10"/>
      <c r="K502" s="10" t="str">
        <f t="shared" si="41"/>
        <v/>
      </c>
      <c r="L502" s="10" t="str">
        <f t="shared" si="42"/>
        <v/>
      </c>
      <c r="M502" s="10" t="str">
        <f t="shared" si="43"/>
        <v/>
      </c>
      <c r="N502" s="10" t="str">
        <f t="shared" si="44"/>
        <v/>
      </c>
      <c r="O502" s="6"/>
      <c r="P502" s="6"/>
    </row>
    <row r="503" spans="1:16" x14ac:dyDescent="0.3">
      <c r="A503" s="6"/>
      <c r="B503" s="7"/>
      <c r="C503" s="6"/>
      <c r="D503" s="6"/>
      <c r="E503" s="6"/>
      <c r="F503" s="25"/>
      <c r="G503" s="25" t="str">
        <f>IF(A503="","",SUMIFS(Paradas_Detalhadas!$I:$I,Paradas_Detalhadas!$A:$A,A503,Paradas_Detalhadas!$B:$B,B503,Paradas_Detalhadas!$C:$C,C503,Paradas_Detalhadas!$D:$D,E503))</f>
        <v/>
      </c>
      <c r="H503" s="26" t="str">
        <f t="shared" si="40"/>
        <v/>
      </c>
      <c r="I503" s="10"/>
      <c r="J503" s="10"/>
      <c r="K503" s="10" t="str">
        <f t="shared" si="41"/>
        <v/>
      </c>
      <c r="L503" s="10" t="str">
        <f t="shared" si="42"/>
        <v/>
      </c>
      <c r="M503" s="10" t="str">
        <f t="shared" si="43"/>
        <v/>
      </c>
      <c r="N503" s="10" t="str">
        <f t="shared" si="44"/>
        <v/>
      </c>
      <c r="O503" s="6"/>
      <c r="P503" s="6"/>
    </row>
    <row r="504" spans="1:16" x14ac:dyDescent="0.3">
      <c r="A504" s="6"/>
      <c r="B504" s="7"/>
      <c r="C504" s="6"/>
      <c r="D504" s="6"/>
      <c r="E504" s="6"/>
      <c r="F504" s="25"/>
      <c r="G504" s="25" t="str">
        <f>IF(A504="","",SUMIFS(Paradas_Detalhadas!$I:$I,Paradas_Detalhadas!$A:$A,A504,Paradas_Detalhadas!$B:$B,B504,Paradas_Detalhadas!$C:$C,C504,Paradas_Detalhadas!$D:$D,E504))</f>
        <v/>
      </c>
      <c r="H504" s="26" t="str">
        <f t="shared" si="40"/>
        <v/>
      </c>
      <c r="I504" s="10"/>
      <c r="J504" s="10"/>
      <c r="K504" s="10" t="str">
        <f t="shared" si="41"/>
        <v/>
      </c>
      <c r="L504" s="10" t="str">
        <f t="shared" si="42"/>
        <v/>
      </c>
      <c r="M504" s="10" t="str">
        <f t="shared" si="43"/>
        <v/>
      </c>
      <c r="N504" s="10" t="str">
        <f t="shared" si="44"/>
        <v/>
      </c>
      <c r="O504" s="6"/>
      <c r="P504" s="6"/>
    </row>
    <row r="505" spans="1:16" x14ac:dyDescent="0.3">
      <c r="A505" s="6"/>
      <c r="B505" s="7"/>
      <c r="C505" s="6"/>
      <c r="D505" s="6"/>
      <c r="E505" s="6"/>
      <c r="F505" s="25"/>
      <c r="G505" s="25" t="str">
        <f>IF(A505="","",SUMIFS(Paradas_Detalhadas!$I:$I,Paradas_Detalhadas!$A:$A,A505,Paradas_Detalhadas!$B:$B,B505,Paradas_Detalhadas!$C:$C,C505,Paradas_Detalhadas!$D:$D,E505))</f>
        <v/>
      </c>
      <c r="H505" s="26" t="str">
        <f t="shared" si="40"/>
        <v/>
      </c>
      <c r="I505" s="10"/>
      <c r="J505" s="10"/>
      <c r="K505" s="10" t="str">
        <f t="shared" si="41"/>
        <v/>
      </c>
      <c r="L505" s="10" t="str">
        <f t="shared" si="42"/>
        <v/>
      </c>
      <c r="M505" s="10" t="str">
        <f t="shared" si="43"/>
        <v/>
      </c>
      <c r="N505" s="10" t="str">
        <f t="shared" si="44"/>
        <v/>
      </c>
      <c r="O505" s="6"/>
      <c r="P505" s="6"/>
    </row>
    <row r="506" spans="1:16" x14ac:dyDescent="0.3">
      <c r="A506" s="6"/>
      <c r="B506" s="7"/>
      <c r="C506" s="6"/>
      <c r="D506" s="6"/>
      <c r="E506" s="6"/>
      <c r="F506" s="25"/>
      <c r="G506" s="25" t="str">
        <f>IF(A506="","",SUMIFS(Paradas_Detalhadas!$I:$I,Paradas_Detalhadas!$A:$A,A506,Paradas_Detalhadas!$B:$B,B506,Paradas_Detalhadas!$C:$C,C506,Paradas_Detalhadas!$D:$D,E506))</f>
        <v/>
      </c>
      <c r="H506" s="26" t="str">
        <f t="shared" si="40"/>
        <v/>
      </c>
      <c r="I506" s="10"/>
      <c r="J506" s="10"/>
      <c r="K506" s="10" t="str">
        <f t="shared" si="41"/>
        <v/>
      </c>
      <c r="L506" s="10" t="str">
        <f t="shared" si="42"/>
        <v/>
      </c>
      <c r="M506" s="10" t="str">
        <f t="shared" si="43"/>
        <v/>
      </c>
      <c r="N506" s="10" t="str">
        <f t="shared" si="44"/>
        <v/>
      </c>
      <c r="O506" s="6"/>
      <c r="P506" s="6"/>
    </row>
    <row r="507" spans="1:16" x14ac:dyDescent="0.3">
      <c r="A507" s="6"/>
      <c r="B507" s="7"/>
      <c r="C507" s="6"/>
      <c r="D507" s="6"/>
      <c r="E507" s="6"/>
      <c r="F507" s="25"/>
      <c r="G507" s="25" t="str">
        <f>IF(A507="","",SUMIFS(Paradas_Detalhadas!$I:$I,Paradas_Detalhadas!$A:$A,A507,Paradas_Detalhadas!$B:$B,B507,Paradas_Detalhadas!$C:$C,C507,Paradas_Detalhadas!$D:$D,E507))</f>
        <v/>
      </c>
      <c r="H507" s="26" t="str">
        <f t="shared" si="40"/>
        <v/>
      </c>
      <c r="I507" s="10"/>
      <c r="J507" s="10"/>
      <c r="K507" s="10" t="str">
        <f t="shared" si="41"/>
        <v/>
      </c>
      <c r="L507" s="10" t="str">
        <f t="shared" si="42"/>
        <v/>
      </c>
      <c r="M507" s="10" t="str">
        <f t="shared" si="43"/>
        <v/>
      </c>
      <c r="N507" s="10" t="str">
        <f t="shared" si="44"/>
        <v/>
      </c>
      <c r="O507" s="6"/>
      <c r="P507" s="6"/>
    </row>
    <row r="508" spans="1:16" x14ac:dyDescent="0.3">
      <c r="A508" s="6"/>
      <c r="B508" s="7"/>
      <c r="C508" s="6"/>
      <c r="D508" s="6"/>
      <c r="E508" s="6"/>
      <c r="F508" s="25"/>
      <c r="G508" s="25" t="str">
        <f>IF(A508="","",SUMIFS(Paradas_Detalhadas!$I:$I,Paradas_Detalhadas!$A:$A,A508,Paradas_Detalhadas!$B:$B,B508,Paradas_Detalhadas!$C:$C,C508,Paradas_Detalhadas!$D:$D,E508))</f>
        <v/>
      </c>
      <c r="H508" s="26" t="str">
        <f t="shared" si="40"/>
        <v/>
      </c>
      <c r="I508" s="10"/>
      <c r="J508" s="10"/>
      <c r="K508" s="10" t="str">
        <f t="shared" si="41"/>
        <v/>
      </c>
      <c r="L508" s="10" t="str">
        <f t="shared" si="42"/>
        <v/>
      </c>
      <c r="M508" s="10" t="str">
        <f t="shared" si="43"/>
        <v/>
      </c>
      <c r="N508" s="10" t="str">
        <f t="shared" si="44"/>
        <v/>
      </c>
      <c r="O508" s="6"/>
      <c r="P508" s="6"/>
    </row>
    <row r="509" spans="1:16" x14ac:dyDescent="0.3">
      <c r="A509" s="6"/>
      <c r="B509" s="7"/>
      <c r="C509" s="6"/>
      <c r="D509" s="6"/>
      <c r="E509" s="6"/>
      <c r="F509" s="25"/>
      <c r="G509" s="25" t="str">
        <f>IF(A509="","",SUMIFS(Paradas_Detalhadas!$I:$I,Paradas_Detalhadas!$A:$A,A509,Paradas_Detalhadas!$B:$B,B509,Paradas_Detalhadas!$C:$C,C509,Paradas_Detalhadas!$D:$D,E509))</f>
        <v/>
      </c>
      <c r="H509" s="26" t="str">
        <f t="shared" si="40"/>
        <v/>
      </c>
      <c r="I509" s="10"/>
      <c r="J509" s="10"/>
      <c r="K509" s="10" t="str">
        <f t="shared" si="41"/>
        <v/>
      </c>
      <c r="L509" s="10" t="str">
        <f t="shared" si="42"/>
        <v/>
      </c>
      <c r="M509" s="10" t="str">
        <f t="shared" si="43"/>
        <v/>
      </c>
      <c r="N509" s="10" t="str">
        <f t="shared" si="44"/>
        <v/>
      </c>
      <c r="O509" s="6"/>
      <c r="P509" s="6"/>
    </row>
    <row r="510" spans="1:16" x14ac:dyDescent="0.3">
      <c r="A510" s="6"/>
      <c r="B510" s="7"/>
      <c r="C510" s="6"/>
      <c r="D510" s="6"/>
      <c r="E510" s="6"/>
      <c r="F510" s="25"/>
      <c r="G510" s="25" t="str">
        <f>IF(A510="","",SUMIFS(Paradas_Detalhadas!$I:$I,Paradas_Detalhadas!$A:$A,A510,Paradas_Detalhadas!$B:$B,B510,Paradas_Detalhadas!$C:$C,C510,Paradas_Detalhadas!$D:$D,E510))</f>
        <v/>
      </c>
      <c r="H510" s="26" t="str">
        <f t="shared" si="40"/>
        <v/>
      </c>
      <c r="I510" s="10"/>
      <c r="J510" s="10"/>
      <c r="K510" s="10" t="str">
        <f t="shared" si="41"/>
        <v/>
      </c>
      <c r="L510" s="10" t="str">
        <f t="shared" si="42"/>
        <v/>
      </c>
      <c r="M510" s="10" t="str">
        <f t="shared" si="43"/>
        <v/>
      </c>
      <c r="N510" s="10" t="str">
        <f t="shared" si="44"/>
        <v/>
      </c>
      <c r="O510" s="6"/>
      <c r="P510" s="6"/>
    </row>
    <row r="511" spans="1:16" x14ac:dyDescent="0.3">
      <c r="A511" s="6"/>
      <c r="B511" s="7"/>
      <c r="C511" s="6"/>
      <c r="D511" s="6"/>
      <c r="E511" s="6"/>
      <c r="F511" s="25"/>
      <c r="G511" s="25" t="str">
        <f>IF(A511="","",SUMIFS(Paradas_Detalhadas!$I:$I,Paradas_Detalhadas!$A:$A,A511,Paradas_Detalhadas!$B:$B,B511,Paradas_Detalhadas!$C:$C,C511,Paradas_Detalhadas!$D:$D,E511))</f>
        <v/>
      </c>
      <c r="H511" s="26" t="str">
        <f t="shared" si="40"/>
        <v/>
      </c>
      <c r="I511" s="10"/>
      <c r="J511" s="10"/>
      <c r="K511" s="10" t="str">
        <f t="shared" si="41"/>
        <v/>
      </c>
      <c r="L511" s="10" t="str">
        <f t="shared" si="42"/>
        <v/>
      </c>
      <c r="M511" s="10" t="str">
        <f t="shared" si="43"/>
        <v/>
      </c>
      <c r="N511" s="10" t="str">
        <f t="shared" si="44"/>
        <v/>
      </c>
      <c r="O511" s="6"/>
      <c r="P511" s="6"/>
    </row>
    <row r="512" spans="1:16" x14ac:dyDescent="0.3">
      <c r="A512" s="6"/>
      <c r="B512" s="7"/>
      <c r="C512" s="6"/>
      <c r="D512" s="6"/>
      <c r="E512" s="6"/>
      <c r="F512" s="25"/>
      <c r="G512" s="25" t="str">
        <f>IF(A512="","",SUMIFS(Paradas_Detalhadas!$I:$I,Paradas_Detalhadas!$A:$A,A512,Paradas_Detalhadas!$B:$B,B512,Paradas_Detalhadas!$C:$C,C512,Paradas_Detalhadas!$D:$D,E512))</f>
        <v/>
      </c>
      <c r="H512" s="26" t="str">
        <f t="shared" si="40"/>
        <v/>
      </c>
      <c r="I512" s="10"/>
      <c r="J512" s="10"/>
      <c r="K512" s="10" t="str">
        <f t="shared" si="41"/>
        <v/>
      </c>
      <c r="L512" s="10" t="str">
        <f t="shared" si="42"/>
        <v/>
      </c>
      <c r="M512" s="10" t="str">
        <f t="shared" si="43"/>
        <v/>
      </c>
      <c r="N512" s="10" t="str">
        <f t="shared" si="44"/>
        <v/>
      </c>
      <c r="O512" s="6"/>
      <c r="P512" s="6"/>
    </row>
    <row r="513" spans="1:16" x14ac:dyDescent="0.3">
      <c r="A513" s="6"/>
      <c r="B513" s="7"/>
      <c r="C513" s="6"/>
      <c r="D513" s="6"/>
      <c r="E513" s="6"/>
      <c r="F513" s="25"/>
      <c r="G513" s="25" t="str">
        <f>IF(A513="","",SUMIFS(Paradas_Detalhadas!$I:$I,Paradas_Detalhadas!$A:$A,A513,Paradas_Detalhadas!$B:$B,B513,Paradas_Detalhadas!$C:$C,C513,Paradas_Detalhadas!$D:$D,E513))</f>
        <v/>
      </c>
      <c r="H513" s="26" t="str">
        <f t="shared" si="40"/>
        <v/>
      </c>
      <c r="I513" s="10"/>
      <c r="J513" s="10"/>
      <c r="K513" s="10" t="str">
        <f t="shared" si="41"/>
        <v/>
      </c>
      <c r="L513" s="10" t="str">
        <f t="shared" si="42"/>
        <v/>
      </c>
      <c r="M513" s="10" t="str">
        <f t="shared" si="43"/>
        <v/>
      </c>
      <c r="N513" s="10" t="str">
        <f t="shared" si="44"/>
        <v/>
      </c>
      <c r="O513" s="6"/>
      <c r="P513" s="6"/>
    </row>
    <row r="514" spans="1:16" x14ac:dyDescent="0.3">
      <c r="A514" s="6"/>
      <c r="B514" s="7"/>
      <c r="C514" s="6"/>
      <c r="D514" s="6"/>
      <c r="E514" s="6"/>
      <c r="F514" s="25"/>
      <c r="G514" s="25" t="str">
        <f>IF(A514="","",SUMIFS(Paradas_Detalhadas!$I:$I,Paradas_Detalhadas!$A:$A,A514,Paradas_Detalhadas!$B:$B,B514,Paradas_Detalhadas!$C:$C,C514,Paradas_Detalhadas!$D:$D,E514))</f>
        <v/>
      </c>
      <c r="H514" s="26" t="str">
        <f t="shared" si="40"/>
        <v/>
      </c>
      <c r="I514" s="10"/>
      <c r="J514" s="10"/>
      <c r="K514" s="10" t="str">
        <f t="shared" si="41"/>
        <v/>
      </c>
      <c r="L514" s="10" t="str">
        <f t="shared" si="42"/>
        <v/>
      </c>
      <c r="M514" s="10" t="str">
        <f t="shared" si="43"/>
        <v/>
      </c>
      <c r="N514" s="10" t="str">
        <f t="shared" si="44"/>
        <v/>
      </c>
      <c r="O514" s="6"/>
      <c r="P514" s="6"/>
    </row>
    <row r="515" spans="1:16" x14ac:dyDescent="0.3">
      <c r="A515" s="6"/>
      <c r="B515" s="7"/>
      <c r="C515" s="6"/>
      <c r="D515" s="6"/>
      <c r="E515" s="6"/>
      <c r="F515" s="25"/>
      <c r="G515" s="25" t="str">
        <f>IF(A515="","",SUMIFS(Paradas_Detalhadas!$I:$I,Paradas_Detalhadas!$A:$A,A515,Paradas_Detalhadas!$B:$B,B515,Paradas_Detalhadas!$C:$C,C515,Paradas_Detalhadas!$D:$D,E515))</f>
        <v/>
      </c>
      <c r="H515" s="26" t="str">
        <f t="shared" si="40"/>
        <v/>
      </c>
      <c r="I515" s="10"/>
      <c r="J515" s="10"/>
      <c r="K515" s="10" t="str">
        <f t="shared" si="41"/>
        <v/>
      </c>
      <c r="L515" s="10" t="str">
        <f t="shared" si="42"/>
        <v/>
      </c>
      <c r="M515" s="10" t="str">
        <f t="shared" si="43"/>
        <v/>
      </c>
      <c r="N515" s="10" t="str">
        <f t="shared" si="44"/>
        <v/>
      </c>
      <c r="O515" s="6"/>
      <c r="P515" s="6"/>
    </row>
    <row r="516" spans="1:16" x14ac:dyDescent="0.3">
      <c r="A516" s="6"/>
      <c r="B516" s="7"/>
      <c r="C516" s="6"/>
      <c r="D516" s="6"/>
      <c r="E516" s="6"/>
      <c r="F516" s="25"/>
      <c r="G516" s="25" t="str">
        <f>IF(A516="","",SUMIFS(Paradas_Detalhadas!$I:$I,Paradas_Detalhadas!$A:$A,A516,Paradas_Detalhadas!$B:$B,B516,Paradas_Detalhadas!$C:$C,C516,Paradas_Detalhadas!$D:$D,E516))</f>
        <v/>
      </c>
      <c r="H516" s="26" t="str">
        <f t="shared" si="40"/>
        <v/>
      </c>
      <c r="I516" s="10"/>
      <c r="J516" s="10"/>
      <c r="K516" s="10" t="str">
        <f t="shared" si="41"/>
        <v/>
      </c>
      <c r="L516" s="10" t="str">
        <f t="shared" si="42"/>
        <v/>
      </c>
      <c r="M516" s="10" t="str">
        <f t="shared" si="43"/>
        <v/>
      </c>
      <c r="N516" s="10" t="str">
        <f t="shared" si="44"/>
        <v/>
      </c>
      <c r="O516" s="6"/>
      <c r="P516" s="6"/>
    </row>
    <row r="517" spans="1:16" x14ac:dyDescent="0.3">
      <c r="A517" s="6"/>
      <c r="B517" s="7"/>
      <c r="C517" s="6"/>
      <c r="D517" s="6"/>
      <c r="E517" s="6"/>
      <c r="F517" s="25"/>
      <c r="G517" s="25" t="str">
        <f>IF(A517="","",SUMIFS(Paradas_Detalhadas!$I:$I,Paradas_Detalhadas!$A:$A,A517,Paradas_Detalhadas!$B:$B,B517,Paradas_Detalhadas!$C:$C,C517,Paradas_Detalhadas!$D:$D,E517))</f>
        <v/>
      </c>
      <c r="H517" s="26" t="str">
        <f t="shared" si="40"/>
        <v/>
      </c>
      <c r="I517" s="10"/>
      <c r="J517" s="10"/>
      <c r="K517" s="10" t="str">
        <f t="shared" si="41"/>
        <v/>
      </c>
      <c r="L517" s="10" t="str">
        <f t="shared" si="42"/>
        <v/>
      </c>
      <c r="M517" s="10" t="str">
        <f t="shared" si="43"/>
        <v/>
      </c>
      <c r="N517" s="10" t="str">
        <f t="shared" si="44"/>
        <v/>
      </c>
      <c r="O517" s="6"/>
      <c r="P517" s="6"/>
    </row>
    <row r="518" spans="1:16" x14ac:dyDescent="0.3">
      <c r="A518" s="6"/>
      <c r="B518" s="7"/>
      <c r="C518" s="6"/>
      <c r="D518" s="6"/>
      <c r="E518" s="6"/>
      <c r="F518" s="25"/>
      <c r="G518" s="25" t="str">
        <f>IF(A518="","",SUMIFS(Paradas_Detalhadas!$I:$I,Paradas_Detalhadas!$A:$A,A518,Paradas_Detalhadas!$B:$B,B518,Paradas_Detalhadas!$C:$C,C518,Paradas_Detalhadas!$D:$D,E518))</f>
        <v/>
      </c>
      <c r="H518" s="26" t="str">
        <f t="shared" si="40"/>
        <v/>
      </c>
      <c r="I518" s="10"/>
      <c r="J518" s="10"/>
      <c r="K518" s="10" t="str">
        <f t="shared" si="41"/>
        <v/>
      </c>
      <c r="L518" s="10" t="str">
        <f t="shared" si="42"/>
        <v/>
      </c>
      <c r="M518" s="10" t="str">
        <f t="shared" si="43"/>
        <v/>
      </c>
      <c r="N518" s="10" t="str">
        <f t="shared" si="44"/>
        <v/>
      </c>
      <c r="O518" s="6"/>
      <c r="P518" s="6"/>
    </row>
    <row r="519" spans="1:16" x14ac:dyDescent="0.3">
      <c r="A519" s="6"/>
      <c r="B519" s="7"/>
      <c r="C519" s="6"/>
      <c r="D519" s="6"/>
      <c r="E519" s="6"/>
      <c r="F519" s="25"/>
      <c r="G519" s="25" t="str">
        <f>IF(A519="","",SUMIFS(Paradas_Detalhadas!$I:$I,Paradas_Detalhadas!$A:$A,A519,Paradas_Detalhadas!$B:$B,B519,Paradas_Detalhadas!$C:$C,C519,Paradas_Detalhadas!$D:$D,E519))</f>
        <v/>
      </c>
      <c r="H519" s="26" t="str">
        <f t="shared" si="40"/>
        <v/>
      </c>
      <c r="I519" s="10"/>
      <c r="J519" s="10"/>
      <c r="K519" s="10" t="str">
        <f t="shared" si="41"/>
        <v/>
      </c>
      <c r="L519" s="10" t="str">
        <f t="shared" si="42"/>
        <v/>
      </c>
      <c r="M519" s="10" t="str">
        <f t="shared" si="43"/>
        <v/>
      </c>
      <c r="N519" s="10" t="str">
        <f t="shared" si="44"/>
        <v/>
      </c>
      <c r="O519" s="6"/>
      <c r="P519" s="6"/>
    </row>
    <row r="520" spans="1:16" x14ac:dyDescent="0.3">
      <c r="A520" s="6"/>
      <c r="B520" s="7"/>
      <c r="C520" s="6"/>
      <c r="D520" s="6"/>
      <c r="E520" s="6"/>
      <c r="F520" s="25"/>
      <c r="G520" s="25" t="str">
        <f>IF(A520="","",SUMIFS(Paradas_Detalhadas!$I:$I,Paradas_Detalhadas!$A:$A,A520,Paradas_Detalhadas!$B:$B,B520,Paradas_Detalhadas!$C:$C,C520,Paradas_Detalhadas!$D:$D,E520))</f>
        <v/>
      </c>
      <c r="H520" s="26" t="str">
        <f t="shared" si="40"/>
        <v/>
      </c>
      <c r="I520" s="10"/>
      <c r="J520" s="10"/>
      <c r="K520" s="10" t="str">
        <f t="shared" si="41"/>
        <v/>
      </c>
      <c r="L520" s="10" t="str">
        <f t="shared" si="42"/>
        <v/>
      </c>
      <c r="M520" s="10" t="str">
        <f t="shared" si="43"/>
        <v/>
      </c>
      <c r="N520" s="10" t="str">
        <f t="shared" si="44"/>
        <v/>
      </c>
      <c r="O520" s="6"/>
      <c r="P520" s="6"/>
    </row>
    <row r="521" spans="1:16" x14ac:dyDescent="0.3">
      <c r="A521" s="6"/>
      <c r="B521" s="7"/>
      <c r="C521" s="6"/>
      <c r="D521" s="6"/>
      <c r="E521" s="6"/>
      <c r="F521" s="25"/>
      <c r="G521" s="25" t="str">
        <f>IF(A521="","",SUMIFS(Paradas_Detalhadas!$I:$I,Paradas_Detalhadas!$A:$A,A521,Paradas_Detalhadas!$B:$B,B521,Paradas_Detalhadas!$C:$C,C521,Paradas_Detalhadas!$D:$D,E521))</f>
        <v/>
      </c>
      <c r="H521" s="26" t="str">
        <f t="shared" si="40"/>
        <v/>
      </c>
      <c r="I521" s="10"/>
      <c r="J521" s="10"/>
      <c r="K521" s="10" t="str">
        <f t="shared" si="41"/>
        <v/>
      </c>
      <c r="L521" s="10" t="str">
        <f t="shared" si="42"/>
        <v/>
      </c>
      <c r="M521" s="10" t="str">
        <f t="shared" si="43"/>
        <v/>
      </c>
      <c r="N521" s="10" t="str">
        <f t="shared" si="44"/>
        <v/>
      </c>
      <c r="O521" s="6"/>
      <c r="P521" s="6"/>
    </row>
    <row r="522" spans="1:16" x14ac:dyDescent="0.3">
      <c r="A522" s="6"/>
      <c r="B522" s="7"/>
      <c r="C522" s="6"/>
      <c r="D522" s="6"/>
      <c r="E522" s="6"/>
      <c r="F522" s="25"/>
      <c r="G522" s="25" t="str">
        <f>IF(A522="","",SUMIFS(Paradas_Detalhadas!$I:$I,Paradas_Detalhadas!$A:$A,A522,Paradas_Detalhadas!$B:$B,B522,Paradas_Detalhadas!$C:$C,C522,Paradas_Detalhadas!$D:$D,E522))</f>
        <v/>
      </c>
      <c r="H522" s="26" t="str">
        <f t="shared" si="40"/>
        <v/>
      </c>
      <c r="I522" s="10"/>
      <c r="J522" s="10"/>
      <c r="K522" s="10" t="str">
        <f t="shared" si="41"/>
        <v/>
      </c>
      <c r="L522" s="10" t="str">
        <f t="shared" si="42"/>
        <v/>
      </c>
      <c r="M522" s="10" t="str">
        <f t="shared" si="43"/>
        <v/>
      </c>
      <c r="N522" s="10" t="str">
        <f t="shared" si="44"/>
        <v/>
      </c>
      <c r="O522" s="6"/>
      <c r="P522" s="6"/>
    </row>
    <row r="523" spans="1:16" x14ac:dyDescent="0.3">
      <c r="A523" s="6"/>
      <c r="B523" s="7"/>
      <c r="C523" s="6"/>
      <c r="D523" s="6"/>
      <c r="E523" s="6"/>
      <c r="F523" s="25"/>
      <c r="G523" s="25" t="str">
        <f>IF(A523="","",SUMIFS(Paradas_Detalhadas!$I:$I,Paradas_Detalhadas!$A:$A,A523,Paradas_Detalhadas!$B:$B,B523,Paradas_Detalhadas!$C:$C,C523,Paradas_Detalhadas!$D:$D,E523))</f>
        <v/>
      </c>
      <c r="H523" s="26" t="str">
        <f t="shared" si="40"/>
        <v/>
      </c>
      <c r="I523" s="10"/>
      <c r="J523" s="10"/>
      <c r="K523" s="10" t="str">
        <f t="shared" si="41"/>
        <v/>
      </c>
      <c r="L523" s="10" t="str">
        <f t="shared" si="42"/>
        <v/>
      </c>
      <c r="M523" s="10" t="str">
        <f t="shared" si="43"/>
        <v/>
      </c>
      <c r="N523" s="10" t="str">
        <f t="shared" si="44"/>
        <v/>
      </c>
      <c r="O523" s="6"/>
      <c r="P523" s="6"/>
    </row>
    <row r="524" spans="1:16" x14ac:dyDescent="0.3">
      <c r="A524" s="6"/>
      <c r="B524" s="7"/>
      <c r="C524" s="6"/>
      <c r="D524" s="6"/>
      <c r="E524" s="6"/>
      <c r="F524" s="25"/>
      <c r="G524" s="25" t="str">
        <f>IF(A524="","",SUMIFS(Paradas_Detalhadas!$I:$I,Paradas_Detalhadas!$A:$A,A524,Paradas_Detalhadas!$B:$B,B524,Paradas_Detalhadas!$C:$C,C524,Paradas_Detalhadas!$D:$D,E524))</f>
        <v/>
      </c>
      <c r="H524" s="26" t="str">
        <f t="shared" si="40"/>
        <v/>
      </c>
      <c r="I524" s="10"/>
      <c r="J524" s="10"/>
      <c r="K524" s="10" t="str">
        <f t="shared" si="41"/>
        <v/>
      </c>
      <c r="L524" s="10" t="str">
        <f t="shared" si="42"/>
        <v/>
      </c>
      <c r="M524" s="10" t="str">
        <f t="shared" si="43"/>
        <v/>
      </c>
      <c r="N524" s="10" t="str">
        <f t="shared" si="44"/>
        <v/>
      </c>
      <c r="O524" s="6"/>
      <c r="P524" s="6"/>
    </row>
    <row r="525" spans="1:16" x14ac:dyDescent="0.3">
      <c r="A525" s="6"/>
      <c r="B525" s="7"/>
      <c r="C525" s="6"/>
      <c r="D525" s="6"/>
      <c r="E525" s="6"/>
      <c r="F525" s="25"/>
      <c r="G525" s="25" t="str">
        <f>IF(A525="","",SUMIFS(Paradas_Detalhadas!$I:$I,Paradas_Detalhadas!$A:$A,A525,Paradas_Detalhadas!$B:$B,B525,Paradas_Detalhadas!$C:$C,C525,Paradas_Detalhadas!$D:$D,E525))</f>
        <v/>
      </c>
      <c r="H525" s="26" t="str">
        <f t="shared" si="40"/>
        <v/>
      </c>
      <c r="I525" s="10"/>
      <c r="J525" s="10"/>
      <c r="K525" s="10" t="str">
        <f t="shared" si="41"/>
        <v/>
      </c>
      <c r="L525" s="10" t="str">
        <f t="shared" si="42"/>
        <v/>
      </c>
      <c r="M525" s="10" t="str">
        <f t="shared" si="43"/>
        <v/>
      </c>
      <c r="N525" s="10" t="str">
        <f t="shared" si="44"/>
        <v/>
      </c>
      <c r="O525" s="6"/>
      <c r="P525" s="6"/>
    </row>
    <row r="526" spans="1:16" x14ac:dyDescent="0.3">
      <c r="A526" s="6"/>
      <c r="B526" s="7"/>
      <c r="C526" s="6"/>
      <c r="D526" s="6"/>
      <c r="E526" s="6"/>
      <c r="F526" s="25"/>
      <c r="G526" s="25" t="str">
        <f>IF(A526="","",SUMIFS(Paradas_Detalhadas!$I:$I,Paradas_Detalhadas!$A:$A,A526,Paradas_Detalhadas!$B:$B,B526,Paradas_Detalhadas!$C:$C,C526,Paradas_Detalhadas!$D:$D,E526))</f>
        <v/>
      </c>
      <c r="H526" s="26" t="str">
        <f t="shared" si="40"/>
        <v/>
      </c>
      <c r="I526" s="10"/>
      <c r="J526" s="10"/>
      <c r="K526" s="10" t="str">
        <f t="shared" si="41"/>
        <v/>
      </c>
      <c r="L526" s="10" t="str">
        <f t="shared" si="42"/>
        <v/>
      </c>
      <c r="M526" s="10" t="str">
        <f t="shared" si="43"/>
        <v/>
      </c>
      <c r="N526" s="10" t="str">
        <f t="shared" si="44"/>
        <v/>
      </c>
      <c r="O526" s="6"/>
      <c r="P526" s="6"/>
    </row>
    <row r="527" spans="1:16" x14ac:dyDescent="0.3">
      <c r="A527" s="6"/>
      <c r="B527" s="7"/>
      <c r="C527" s="6"/>
      <c r="D527" s="6"/>
      <c r="E527" s="6"/>
      <c r="F527" s="25"/>
      <c r="G527" s="25" t="str">
        <f>IF(A527="","",SUMIFS(Paradas_Detalhadas!$I:$I,Paradas_Detalhadas!$A:$A,A527,Paradas_Detalhadas!$B:$B,B527,Paradas_Detalhadas!$C:$C,C527,Paradas_Detalhadas!$D:$D,E527))</f>
        <v/>
      </c>
      <c r="H527" s="26" t="str">
        <f t="shared" si="40"/>
        <v/>
      </c>
      <c r="I527" s="10"/>
      <c r="J527" s="10"/>
      <c r="K527" s="10" t="str">
        <f t="shared" si="41"/>
        <v/>
      </c>
      <c r="L527" s="10" t="str">
        <f t="shared" si="42"/>
        <v/>
      </c>
      <c r="M527" s="10" t="str">
        <f t="shared" si="43"/>
        <v/>
      </c>
      <c r="N527" s="10" t="str">
        <f t="shared" si="44"/>
        <v/>
      </c>
      <c r="O527" s="6"/>
      <c r="P527" s="6"/>
    </row>
    <row r="528" spans="1:16" x14ac:dyDescent="0.3">
      <c r="A528" s="6"/>
      <c r="B528" s="7"/>
      <c r="C528" s="6"/>
      <c r="D528" s="6"/>
      <c r="E528" s="6"/>
      <c r="F528" s="25"/>
      <c r="G528" s="25" t="str">
        <f>IF(A528="","",SUMIFS(Paradas_Detalhadas!$I:$I,Paradas_Detalhadas!$A:$A,A528,Paradas_Detalhadas!$B:$B,B528,Paradas_Detalhadas!$C:$C,C528,Paradas_Detalhadas!$D:$D,E528))</f>
        <v/>
      </c>
      <c r="H528" s="26" t="str">
        <f t="shared" si="40"/>
        <v/>
      </c>
      <c r="I528" s="10"/>
      <c r="J528" s="10"/>
      <c r="K528" s="10" t="str">
        <f t="shared" si="41"/>
        <v/>
      </c>
      <c r="L528" s="10" t="str">
        <f t="shared" si="42"/>
        <v/>
      </c>
      <c r="M528" s="10" t="str">
        <f t="shared" si="43"/>
        <v/>
      </c>
      <c r="N528" s="10" t="str">
        <f t="shared" si="44"/>
        <v/>
      </c>
      <c r="O528" s="6"/>
      <c r="P528" s="6"/>
    </row>
    <row r="529" spans="1:16" x14ac:dyDescent="0.3">
      <c r="A529" s="6"/>
      <c r="B529" s="7"/>
      <c r="C529" s="6"/>
      <c r="D529" s="6"/>
      <c r="E529" s="6"/>
      <c r="F529" s="25"/>
      <c r="G529" s="25" t="str">
        <f>IF(A529="","",SUMIFS(Paradas_Detalhadas!$I:$I,Paradas_Detalhadas!$A:$A,A529,Paradas_Detalhadas!$B:$B,B529,Paradas_Detalhadas!$C:$C,C529,Paradas_Detalhadas!$D:$D,E529))</f>
        <v/>
      </c>
      <c r="H529" s="26" t="str">
        <f t="shared" si="40"/>
        <v/>
      </c>
      <c r="I529" s="10"/>
      <c r="J529" s="10"/>
      <c r="K529" s="10" t="str">
        <f t="shared" si="41"/>
        <v/>
      </c>
      <c r="L529" s="10" t="str">
        <f t="shared" si="42"/>
        <v/>
      </c>
      <c r="M529" s="10" t="str">
        <f t="shared" si="43"/>
        <v/>
      </c>
      <c r="N529" s="10" t="str">
        <f t="shared" si="44"/>
        <v/>
      </c>
      <c r="O529" s="6"/>
      <c r="P529" s="6"/>
    </row>
    <row r="530" spans="1:16" x14ac:dyDescent="0.3">
      <c r="A530" s="6"/>
      <c r="B530" s="7"/>
      <c r="C530" s="6"/>
      <c r="D530" s="6"/>
      <c r="E530" s="6"/>
      <c r="F530" s="25"/>
      <c r="G530" s="25" t="str">
        <f>IF(A530="","",SUMIFS(Paradas_Detalhadas!$I:$I,Paradas_Detalhadas!$A:$A,A530,Paradas_Detalhadas!$B:$B,B530,Paradas_Detalhadas!$C:$C,C530,Paradas_Detalhadas!$D:$D,E530))</f>
        <v/>
      </c>
      <c r="H530" s="26" t="str">
        <f t="shared" si="40"/>
        <v/>
      </c>
      <c r="I530" s="10"/>
      <c r="J530" s="10"/>
      <c r="K530" s="10" t="str">
        <f t="shared" si="41"/>
        <v/>
      </c>
      <c r="L530" s="10" t="str">
        <f t="shared" si="42"/>
        <v/>
      </c>
      <c r="M530" s="10" t="str">
        <f t="shared" si="43"/>
        <v/>
      </c>
      <c r="N530" s="10" t="str">
        <f t="shared" si="44"/>
        <v/>
      </c>
      <c r="O530" s="6"/>
      <c r="P530" s="6"/>
    </row>
    <row r="531" spans="1:16" x14ac:dyDescent="0.3">
      <c r="A531" s="6"/>
      <c r="B531" s="7"/>
      <c r="C531" s="6"/>
      <c r="D531" s="6"/>
      <c r="E531" s="6"/>
      <c r="F531" s="25"/>
      <c r="G531" s="25" t="str">
        <f>IF(A531="","",SUMIFS(Paradas_Detalhadas!$I:$I,Paradas_Detalhadas!$A:$A,A531,Paradas_Detalhadas!$B:$B,B531,Paradas_Detalhadas!$C:$C,C531,Paradas_Detalhadas!$D:$D,E531))</f>
        <v/>
      </c>
      <c r="H531" s="26" t="str">
        <f t="shared" si="40"/>
        <v/>
      </c>
      <c r="I531" s="10"/>
      <c r="J531" s="10"/>
      <c r="K531" s="10" t="str">
        <f t="shared" si="41"/>
        <v/>
      </c>
      <c r="L531" s="10" t="str">
        <f t="shared" si="42"/>
        <v/>
      </c>
      <c r="M531" s="10" t="str">
        <f t="shared" si="43"/>
        <v/>
      </c>
      <c r="N531" s="10" t="str">
        <f t="shared" si="44"/>
        <v/>
      </c>
      <c r="O531" s="6"/>
      <c r="P531" s="6"/>
    </row>
    <row r="532" spans="1:16" x14ac:dyDescent="0.3">
      <c r="A532" s="6"/>
      <c r="B532" s="7"/>
      <c r="C532" s="6"/>
      <c r="D532" s="6"/>
      <c r="E532" s="6"/>
      <c r="F532" s="25"/>
      <c r="G532" s="25" t="str">
        <f>IF(A532="","",SUMIFS(Paradas_Detalhadas!$I:$I,Paradas_Detalhadas!$A:$A,A532,Paradas_Detalhadas!$B:$B,B532,Paradas_Detalhadas!$C:$C,C532,Paradas_Detalhadas!$D:$D,E532))</f>
        <v/>
      </c>
      <c r="H532" s="26" t="str">
        <f t="shared" si="40"/>
        <v/>
      </c>
      <c r="I532" s="10"/>
      <c r="J532" s="10"/>
      <c r="K532" s="10" t="str">
        <f t="shared" si="41"/>
        <v/>
      </c>
      <c r="L532" s="10" t="str">
        <f t="shared" si="42"/>
        <v/>
      </c>
      <c r="M532" s="10" t="str">
        <f t="shared" si="43"/>
        <v/>
      </c>
      <c r="N532" s="10" t="str">
        <f t="shared" si="44"/>
        <v/>
      </c>
      <c r="O532" s="6"/>
      <c r="P532" s="6"/>
    </row>
    <row r="533" spans="1:16" x14ac:dyDescent="0.3">
      <c r="A533" s="6"/>
      <c r="B533" s="7"/>
      <c r="C533" s="6"/>
      <c r="D533" s="6"/>
      <c r="E533" s="6"/>
      <c r="F533" s="25"/>
      <c r="G533" s="25" t="str">
        <f>IF(A533="","",SUMIFS(Paradas_Detalhadas!$I:$I,Paradas_Detalhadas!$A:$A,A533,Paradas_Detalhadas!$B:$B,B533,Paradas_Detalhadas!$C:$C,C533,Paradas_Detalhadas!$D:$D,E533))</f>
        <v/>
      </c>
      <c r="H533" s="26" t="str">
        <f t="shared" si="40"/>
        <v/>
      </c>
      <c r="I533" s="10"/>
      <c r="J533" s="10"/>
      <c r="K533" s="10" t="str">
        <f t="shared" si="41"/>
        <v/>
      </c>
      <c r="L533" s="10" t="str">
        <f t="shared" si="42"/>
        <v/>
      </c>
      <c r="M533" s="10" t="str">
        <f t="shared" si="43"/>
        <v/>
      </c>
      <c r="N533" s="10" t="str">
        <f t="shared" si="44"/>
        <v/>
      </c>
      <c r="O533" s="6"/>
      <c r="P533" s="6"/>
    </row>
    <row r="534" spans="1:16" x14ac:dyDescent="0.3">
      <c r="A534" s="6"/>
      <c r="B534" s="7"/>
      <c r="C534" s="6"/>
      <c r="D534" s="6"/>
      <c r="E534" s="6"/>
      <c r="F534" s="25"/>
      <c r="G534" s="25" t="str">
        <f>IF(A534="","",SUMIFS(Paradas_Detalhadas!$I:$I,Paradas_Detalhadas!$A:$A,A534,Paradas_Detalhadas!$B:$B,B534,Paradas_Detalhadas!$C:$C,C534,Paradas_Detalhadas!$D:$D,E534))</f>
        <v/>
      </c>
      <c r="H534" s="26" t="str">
        <f t="shared" si="40"/>
        <v/>
      </c>
      <c r="I534" s="10"/>
      <c r="J534" s="10"/>
      <c r="K534" s="10" t="str">
        <f t="shared" si="41"/>
        <v/>
      </c>
      <c r="L534" s="10" t="str">
        <f t="shared" si="42"/>
        <v/>
      </c>
      <c r="M534" s="10" t="str">
        <f t="shared" si="43"/>
        <v/>
      </c>
      <c r="N534" s="10" t="str">
        <f t="shared" si="44"/>
        <v/>
      </c>
      <c r="O534" s="6"/>
      <c r="P534" s="6"/>
    </row>
    <row r="535" spans="1:16" x14ac:dyDescent="0.3">
      <c r="A535" s="6"/>
      <c r="B535" s="7"/>
      <c r="C535" s="6"/>
      <c r="D535" s="6"/>
      <c r="E535" s="6"/>
      <c r="F535" s="25"/>
      <c r="G535" s="25" t="str">
        <f>IF(A535="","",SUMIFS(Paradas_Detalhadas!$I:$I,Paradas_Detalhadas!$A:$A,A535,Paradas_Detalhadas!$B:$B,B535,Paradas_Detalhadas!$C:$C,C535,Paradas_Detalhadas!$D:$D,E535))</f>
        <v/>
      </c>
      <c r="H535" s="26" t="str">
        <f t="shared" si="40"/>
        <v/>
      </c>
      <c r="I535" s="10"/>
      <c r="J535" s="10"/>
      <c r="K535" s="10" t="str">
        <f t="shared" si="41"/>
        <v/>
      </c>
      <c r="L535" s="10" t="str">
        <f t="shared" si="42"/>
        <v/>
      </c>
      <c r="M535" s="10" t="str">
        <f t="shared" si="43"/>
        <v/>
      </c>
      <c r="N535" s="10" t="str">
        <f t="shared" si="44"/>
        <v/>
      </c>
      <c r="O535" s="6"/>
      <c r="P535" s="6"/>
    </row>
    <row r="536" spans="1:16" x14ac:dyDescent="0.3">
      <c r="A536" s="6"/>
      <c r="B536" s="7"/>
      <c r="C536" s="6"/>
      <c r="D536" s="6"/>
      <c r="E536" s="6"/>
      <c r="F536" s="25"/>
      <c r="G536" s="25" t="str">
        <f>IF(A536="","",SUMIFS(Paradas_Detalhadas!$I:$I,Paradas_Detalhadas!$A:$A,A536,Paradas_Detalhadas!$B:$B,B536,Paradas_Detalhadas!$C:$C,C536,Paradas_Detalhadas!$D:$D,E536))</f>
        <v/>
      </c>
      <c r="H536" s="26" t="str">
        <f t="shared" si="40"/>
        <v/>
      </c>
      <c r="I536" s="10"/>
      <c r="J536" s="10"/>
      <c r="K536" s="10" t="str">
        <f t="shared" si="41"/>
        <v/>
      </c>
      <c r="L536" s="10" t="str">
        <f t="shared" si="42"/>
        <v/>
      </c>
      <c r="M536" s="10" t="str">
        <f t="shared" si="43"/>
        <v/>
      </c>
      <c r="N536" s="10" t="str">
        <f t="shared" si="44"/>
        <v/>
      </c>
      <c r="O536" s="6"/>
      <c r="P536" s="6"/>
    </row>
    <row r="537" spans="1:16" x14ac:dyDescent="0.3">
      <c r="A537" s="6"/>
      <c r="B537" s="7"/>
      <c r="C537" s="6"/>
      <c r="D537" s="6"/>
      <c r="E537" s="6"/>
      <c r="F537" s="25"/>
      <c r="G537" s="25" t="str">
        <f>IF(A537="","",SUMIFS(Paradas_Detalhadas!$I:$I,Paradas_Detalhadas!$A:$A,A537,Paradas_Detalhadas!$B:$B,B537,Paradas_Detalhadas!$C:$C,C537,Paradas_Detalhadas!$D:$D,E537))</f>
        <v/>
      </c>
      <c r="H537" s="26" t="str">
        <f t="shared" si="40"/>
        <v/>
      </c>
      <c r="I537" s="10"/>
      <c r="J537" s="10"/>
      <c r="K537" s="10" t="str">
        <f t="shared" si="41"/>
        <v/>
      </c>
      <c r="L537" s="10" t="str">
        <f t="shared" si="42"/>
        <v/>
      </c>
      <c r="M537" s="10" t="str">
        <f t="shared" si="43"/>
        <v/>
      </c>
      <c r="N537" s="10" t="str">
        <f t="shared" si="44"/>
        <v/>
      </c>
      <c r="O537" s="6"/>
      <c r="P537" s="6"/>
    </row>
    <row r="538" spans="1:16" x14ac:dyDescent="0.3">
      <c r="A538" s="6"/>
      <c r="B538" s="7"/>
      <c r="C538" s="6"/>
      <c r="D538" s="6"/>
      <c r="E538" s="6"/>
      <c r="F538" s="25"/>
      <c r="G538" s="25" t="str">
        <f>IF(A538="","",SUMIFS(Paradas_Detalhadas!$I:$I,Paradas_Detalhadas!$A:$A,A538,Paradas_Detalhadas!$B:$B,B538,Paradas_Detalhadas!$C:$C,C538,Paradas_Detalhadas!$D:$D,E538))</f>
        <v/>
      </c>
      <c r="H538" s="26" t="str">
        <f t="shared" si="40"/>
        <v/>
      </c>
      <c r="I538" s="10"/>
      <c r="J538" s="10"/>
      <c r="K538" s="10" t="str">
        <f t="shared" si="41"/>
        <v/>
      </c>
      <c r="L538" s="10" t="str">
        <f t="shared" si="42"/>
        <v/>
      </c>
      <c r="M538" s="10" t="str">
        <f t="shared" si="43"/>
        <v/>
      </c>
      <c r="N538" s="10" t="str">
        <f t="shared" si="44"/>
        <v/>
      </c>
      <c r="O538" s="6"/>
      <c r="P538" s="6"/>
    </row>
    <row r="539" spans="1:16" x14ac:dyDescent="0.3">
      <c r="A539" s="6"/>
      <c r="B539" s="7"/>
      <c r="C539" s="6"/>
      <c r="D539" s="6"/>
      <c r="E539" s="6"/>
      <c r="F539" s="25"/>
      <c r="G539" s="25" t="str">
        <f>IF(A539="","",SUMIFS(Paradas_Detalhadas!$I:$I,Paradas_Detalhadas!$A:$A,A539,Paradas_Detalhadas!$B:$B,B539,Paradas_Detalhadas!$C:$C,C539,Paradas_Detalhadas!$D:$D,E539))</f>
        <v/>
      </c>
      <c r="H539" s="26" t="str">
        <f t="shared" si="40"/>
        <v/>
      </c>
      <c r="I539" s="10"/>
      <c r="J539" s="10"/>
      <c r="K539" s="10" t="str">
        <f t="shared" si="41"/>
        <v/>
      </c>
      <c r="L539" s="10" t="str">
        <f t="shared" si="42"/>
        <v/>
      </c>
      <c r="M539" s="10" t="str">
        <f t="shared" si="43"/>
        <v/>
      </c>
      <c r="N539" s="10" t="str">
        <f t="shared" si="44"/>
        <v/>
      </c>
      <c r="O539" s="6"/>
      <c r="P539" s="6"/>
    </row>
    <row r="540" spans="1:16" x14ac:dyDescent="0.3">
      <c r="A540" s="6"/>
      <c r="B540" s="7"/>
      <c r="C540" s="6"/>
      <c r="D540" s="6"/>
      <c r="E540" s="6"/>
      <c r="F540" s="25"/>
      <c r="G540" s="25" t="str">
        <f>IF(A540="","",SUMIFS(Paradas_Detalhadas!$I:$I,Paradas_Detalhadas!$A:$A,A540,Paradas_Detalhadas!$B:$B,B540,Paradas_Detalhadas!$C:$C,C540,Paradas_Detalhadas!$D:$D,E540))</f>
        <v/>
      </c>
      <c r="H540" s="26" t="str">
        <f t="shared" si="40"/>
        <v/>
      </c>
      <c r="I540" s="10"/>
      <c r="J540" s="10"/>
      <c r="K540" s="10" t="str">
        <f t="shared" si="41"/>
        <v/>
      </c>
      <c r="L540" s="10" t="str">
        <f t="shared" si="42"/>
        <v/>
      </c>
      <c r="M540" s="10" t="str">
        <f t="shared" si="43"/>
        <v/>
      </c>
      <c r="N540" s="10" t="str">
        <f t="shared" si="44"/>
        <v/>
      </c>
      <c r="O540" s="6"/>
      <c r="P540" s="6"/>
    </row>
    <row r="541" spans="1:16" x14ac:dyDescent="0.3">
      <c r="A541" s="6"/>
      <c r="B541" s="7"/>
      <c r="C541" s="6"/>
      <c r="D541" s="6"/>
      <c r="E541" s="6"/>
      <c r="F541" s="25"/>
      <c r="G541" s="25" t="str">
        <f>IF(A541="","",SUMIFS(Paradas_Detalhadas!$I:$I,Paradas_Detalhadas!$A:$A,A541,Paradas_Detalhadas!$B:$B,B541,Paradas_Detalhadas!$C:$C,C541,Paradas_Detalhadas!$D:$D,E541))</f>
        <v/>
      </c>
      <c r="H541" s="26" t="str">
        <f t="shared" si="40"/>
        <v/>
      </c>
      <c r="I541" s="10"/>
      <c r="J541" s="10"/>
      <c r="K541" s="10" t="str">
        <f t="shared" si="41"/>
        <v/>
      </c>
      <c r="L541" s="10" t="str">
        <f t="shared" si="42"/>
        <v/>
      </c>
      <c r="M541" s="10" t="str">
        <f t="shared" si="43"/>
        <v/>
      </c>
      <c r="N541" s="10" t="str">
        <f t="shared" si="44"/>
        <v/>
      </c>
      <c r="O541" s="6"/>
      <c r="P541" s="6"/>
    </row>
    <row r="542" spans="1:16" x14ac:dyDescent="0.3">
      <c r="A542" s="6"/>
      <c r="B542" s="7"/>
      <c r="C542" s="6"/>
      <c r="D542" s="6"/>
      <c r="E542" s="6"/>
      <c r="F542" s="25"/>
      <c r="G542" s="25" t="str">
        <f>IF(A542="","",SUMIFS(Paradas_Detalhadas!$I:$I,Paradas_Detalhadas!$A:$A,A542,Paradas_Detalhadas!$B:$B,B542,Paradas_Detalhadas!$C:$C,C542,Paradas_Detalhadas!$D:$D,E542))</f>
        <v/>
      </c>
      <c r="H542" s="26" t="str">
        <f t="shared" si="40"/>
        <v/>
      </c>
      <c r="I542" s="10"/>
      <c r="J542" s="10"/>
      <c r="K542" s="10" t="str">
        <f t="shared" si="41"/>
        <v/>
      </c>
      <c r="L542" s="10" t="str">
        <f t="shared" si="42"/>
        <v/>
      </c>
      <c r="M542" s="10" t="str">
        <f t="shared" si="43"/>
        <v/>
      </c>
      <c r="N542" s="10" t="str">
        <f t="shared" si="44"/>
        <v/>
      </c>
      <c r="O542" s="6"/>
      <c r="P542" s="6"/>
    </row>
    <row r="543" spans="1:16" x14ac:dyDescent="0.3">
      <c r="A543" s="6"/>
      <c r="B543" s="7"/>
      <c r="C543" s="6"/>
      <c r="D543" s="6"/>
      <c r="E543" s="6"/>
      <c r="F543" s="25"/>
      <c r="G543" s="25" t="str">
        <f>IF(A543="","",SUMIFS(Paradas_Detalhadas!$I:$I,Paradas_Detalhadas!$A:$A,A543,Paradas_Detalhadas!$B:$B,B543,Paradas_Detalhadas!$C:$C,C543,Paradas_Detalhadas!$D:$D,E543))</f>
        <v/>
      </c>
      <c r="H543" s="26" t="str">
        <f t="shared" si="40"/>
        <v/>
      </c>
      <c r="I543" s="10"/>
      <c r="J543" s="10"/>
      <c r="K543" s="10" t="str">
        <f t="shared" si="41"/>
        <v/>
      </c>
      <c r="L543" s="10" t="str">
        <f t="shared" si="42"/>
        <v/>
      </c>
      <c r="M543" s="10" t="str">
        <f t="shared" si="43"/>
        <v/>
      </c>
      <c r="N543" s="10" t="str">
        <f t="shared" si="44"/>
        <v/>
      </c>
      <c r="O543" s="6"/>
      <c r="P543" s="6"/>
    </row>
    <row r="544" spans="1:16" x14ac:dyDescent="0.3">
      <c r="A544" s="6"/>
      <c r="B544" s="7"/>
      <c r="C544" s="6"/>
      <c r="D544" s="6"/>
      <c r="E544" s="6"/>
      <c r="F544" s="25"/>
      <c r="G544" s="25" t="str">
        <f>IF(A544="","",SUMIFS(Paradas_Detalhadas!$I:$I,Paradas_Detalhadas!$A:$A,A544,Paradas_Detalhadas!$B:$B,B544,Paradas_Detalhadas!$C:$C,C544,Paradas_Detalhadas!$D:$D,E544))</f>
        <v/>
      </c>
      <c r="H544" s="26" t="str">
        <f t="shared" si="40"/>
        <v/>
      </c>
      <c r="I544" s="10"/>
      <c r="J544" s="10"/>
      <c r="K544" s="10" t="str">
        <f t="shared" si="41"/>
        <v/>
      </c>
      <c r="L544" s="10" t="str">
        <f t="shared" si="42"/>
        <v/>
      </c>
      <c r="M544" s="10" t="str">
        <f t="shared" si="43"/>
        <v/>
      </c>
      <c r="N544" s="10" t="str">
        <f t="shared" si="44"/>
        <v/>
      </c>
      <c r="O544" s="6"/>
      <c r="P544" s="6"/>
    </row>
    <row r="545" spans="1:16" x14ac:dyDescent="0.3">
      <c r="A545" s="6"/>
      <c r="B545" s="7"/>
      <c r="C545" s="6"/>
      <c r="D545" s="6"/>
      <c r="E545" s="6"/>
      <c r="F545" s="25"/>
      <c r="G545" s="25" t="str">
        <f>IF(A545="","",SUMIFS(Paradas_Detalhadas!$I:$I,Paradas_Detalhadas!$A:$A,A545,Paradas_Detalhadas!$B:$B,B545,Paradas_Detalhadas!$C:$C,C545,Paradas_Detalhadas!$D:$D,E545))</f>
        <v/>
      </c>
      <c r="H545" s="26" t="str">
        <f t="shared" si="40"/>
        <v/>
      </c>
      <c r="I545" s="10"/>
      <c r="J545" s="10"/>
      <c r="K545" s="10" t="str">
        <f t="shared" si="41"/>
        <v/>
      </c>
      <c r="L545" s="10" t="str">
        <f t="shared" si="42"/>
        <v/>
      </c>
      <c r="M545" s="10" t="str">
        <f t="shared" si="43"/>
        <v/>
      </c>
      <c r="N545" s="10" t="str">
        <f t="shared" si="44"/>
        <v/>
      </c>
      <c r="O545" s="6"/>
      <c r="P545" s="6"/>
    </row>
    <row r="546" spans="1:16" x14ac:dyDescent="0.3">
      <c r="A546" s="6"/>
      <c r="B546" s="7"/>
      <c r="C546" s="6"/>
      <c r="D546" s="6"/>
      <c r="E546" s="6"/>
      <c r="F546" s="25"/>
      <c r="G546" s="25" t="str">
        <f>IF(A546="","",SUMIFS(Paradas_Detalhadas!$I:$I,Paradas_Detalhadas!$A:$A,A546,Paradas_Detalhadas!$B:$B,B546,Paradas_Detalhadas!$C:$C,C546,Paradas_Detalhadas!$D:$D,E546))</f>
        <v/>
      </c>
      <c r="H546" s="26" t="str">
        <f t="shared" si="40"/>
        <v/>
      </c>
      <c r="I546" s="10"/>
      <c r="J546" s="10"/>
      <c r="K546" s="10" t="str">
        <f t="shared" si="41"/>
        <v/>
      </c>
      <c r="L546" s="10" t="str">
        <f t="shared" si="42"/>
        <v/>
      </c>
      <c r="M546" s="10" t="str">
        <f t="shared" si="43"/>
        <v/>
      </c>
      <c r="N546" s="10" t="str">
        <f t="shared" si="44"/>
        <v/>
      </c>
      <c r="O546" s="6"/>
      <c r="P546" s="6"/>
    </row>
    <row r="547" spans="1:16" x14ac:dyDescent="0.3">
      <c r="A547" s="6"/>
      <c r="B547" s="7"/>
      <c r="C547" s="6"/>
      <c r="D547" s="6"/>
      <c r="E547" s="6"/>
      <c r="F547" s="25"/>
      <c r="G547" s="25" t="str">
        <f>IF(A547="","",SUMIFS(Paradas_Detalhadas!$I:$I,Paradas_Detalhadas!$A:$A,A547,Paradas_Detalhadas!$B:$B,B547,Paradas_Detalhadas!$C:$C,C547,Paradas_Detalhadas!$D:$D,E547))</f>
        <v/>
      </c>
      <c r="H547" s="26" t="str">
        <f t="shared" si="40"/>
        <v/>
      </c>
      <c r="I547" s="10"/>
      <c r="J547" s="10"/>
      <c r="K547" s="10" t="str">
        <f t="shared" si="41"/>
        <v/>
      </c>
      <c r="L547" s="10" t="str">
        <f t="shared" si="42"/>
        <v/>
      </c>
      <c r="M547" s="10" t="str">
        <f t="shared" si="43"/>
        <v/>
      </c>
      <c r="N547" s="10" t="str">
        <f t="shared" si="44"/>
        <v/>
      </c>
      <c r="O547" s="6"/>
      <c r="P547" s="6"/>
    </row>
    <row r="548" spans="1:16" x14ac:dyDescent="0.3">
      <c r="A548" s="6"/>
      <c r="B548" s="7"/>
      <c r="C548" s="6"/>
      <c r="D548" s="6"/>
      <c r="E548" s="6"/>
      <c r="F548" s="25"/>
      <c r="G548" s="25" t="str">
        <f>IF(A548="","",SUMIFS(Paradas_Detalhadas!$I:$I,Paradas_Detalhadas!$A:$A,A548,Paradas_Detalhadas!$B:$B,B548,Paradas_Detalhadas!$C:$C,C548,Paradas_Detalhadas!$D:$D,E548))</f>
        <v/>
      </c>
      <c r="H548" s="26" t="str">
        <f t="shared" si="40"/>
        <v/>
      </c>
      <c r="I548" s="10"/>
      <c r="J548" s="10"/>
      <c r="K548" s="10" t="str">
        <f t="shared" si="41"/>
        <v/>
      </c>
      <c r="L548" s="10" t="str">
        <f t="shared" si="42"/>
        <v/>
      </c>
      <c r="M548" s="10" t="str">
        <f t="shared" si="43"/>
        <v/>
      </c>
      <c r="N548" s="10" t="str">
        <f t="shared" si="44"/>
        <v/>
      </c>
      <c r="O548" s="6"/>
      <c r="P548" s="6"/>
    </row>
    <row r="549" spans="1:16" x14ac:dyDescent="0.3">
      <c r="A549" s="6"/>
      <c r="B549" s="7"/>
      <c r="C549" s="6"/>
      <c r="D549" s="6"/>
      <c r="E549" s="6"/>
      <c r="F549" s="25"/>
      <c r="G549" s="25" t="str">
        <f>IF(A549="","",SUMIFS(Paradas_Detalhadas!$I:$I,Paradas_Detalhadas!$A:$A,A549,Paradas_Detalhadas!$B:$B,B549,Paradas_Detalhadas!$C:$C,C549,Paradas_Detalhadas!$D:$D,E549))</f>
        <v/>
      </c>
      <c r="H549" s="26" t="str">
        <f t="shared" si="40"/>
        <v/>
      </c>
      <c r="I549" s="10"/>
      <c r="J549" s="10"/>
      <c r="K549" s="10" t="str">
        <f t="shared" si="41"/>
        <v/>
      </c>
      <c r="L549" s="10" t="str">
        <f t="shared" si="42"/>
        <v/>
      </c>
      <c r="M549" s="10" t="str">
        <f t="shared" si="43"/>
        <v/>
      </c>
      <c r="N549" s="10" t="str">
        <f t="shared" si="44"/>
        <v/>
      </c>
      <c r="O549" s="6"/>
      <c r="P549" s="6"/>
    </row>
    <row r="550" spans="1:16" x14ac:dyDescent="0.3">
      <c r="A550" s="6"/>
      <c r="B550" s="7"/>
      <c r="C550" s="6"/>
      <c r="D550" s="6"/>
      <c r="E550" s="6"/>
      <c r="F550" s="25"/>
      <c r="G550" s="25" t="str">
        <f>IF(A550="","",SUMIFS(Paradas_Detalhadas!$I:$I,Paradas_Detalhadas!$A:$A,A550,Paradas_Detalhadas!$B:$B,B550,Paradas_Detalhadas!$C:$C,C550,Paradas_Detalhadas!$D:$D,E550))</f>
        <v/>
      </c>
      <c r="H550" s="26" t="str">
        <f t="shared" si="40"/>
        <v/>
      </c>
      <c r="I550" s="10"/>
      <c r="J550" s="10"/>
      <c r="K550" s="10" t="str">
        <f t="shared" si="41"/>
        <v/>
      </c>
      <c r="L550" s="10" t="str">
        <f t="shared" si="42"/>
        <v/>
      </c>
      <c r="M550" s="10" t="str">
        <f t="shared" si="43"/>
        <v/>
      </c>
      <c r="N550" s="10" t="str">
        <f t="shared" si="44"/>
        <v/>
      </c>
      <c r="O550" s="6"/>
      <c r="P550" s="6"/>
    </row>
    <row r="551" spans="1:16" x14ac:dyDescent="0.3">
      <c r="A551" s="6"/>
      <c r="B551" s="7"/>
      <c r="C551" s="6"/>
      <c r="D551" s="6"/>
      <c r="E551" s="6"/>
      <c r="F551" s="25"/>
      <c r="G551" s="25" t="str">
        <f>IF(A551="","",SUMIFS(Paradas_Detalhadas!$I:$I,Paradas_Detalhadas!$A:$A,A551,Paradas_Detalhadas!$B:$B,B551,Paradas_Detalhadas!$C:$C,C551,Paradas_Detalhadas!$D:$D,E551))</f>
        <v/>
      </c>
      <c r="H551" s="26" t="str">
        <f t="shared" si="40"/>
        <v/>
      </c>
      <c r="I551" s="10"/>
      <c r="J551" s="10"/>
      <c r="K551" s="10" t="str">
        <f t="shared" si="41"/>
        <v/>
      </c>
      <c r="L551" s="10" t="str">
        <f t="shared" si="42"/>
        <v/>
      </c>
      <c r="M551" s="10" t="str">
        <f t="shared" si="43"/>
        <v/>
      </c>
      <c r="N551" s="10" t="str">
        <f t="shared" si="44"/>
        <v/>
      </c>
      <c r="O551" s="6"/>
      <c r="P551" s="6"/>
    </row>
    <row r="552" spans="1:16" x14ac:dyDescent="0.3">
      <c r="A552" s="6"/>
      <c r="B552" s="7"/>
      <c r="C552" s="6"/>
      <c r="D552" s="6"/>
      <c r="E552" s="6"/>
      <c r="F552" s="25"/>
      <c r="G552" s="25" t="str">
        <f>IF(A552="","",SUMIFS(Paradas_Detalhadas!$I:$I,Paradas_Detalhadas!$A:$A,A552,Paradas_Detalhadas!$B:$B,B552,Paradas_Detalhadas!$C:$C,C552,Paradas_Detalhadas!$D:$D,E552))</f>
        <v/>
      </c>
      <c r="H552" s="26" t="str">
        <f t="shared" si="40"/>
        <v/>
      </c>
      <c r="I552" s="10"/>
      <c r="J552" s="10"/>
      <c r="K552" s="10" t="str">
        <f t="shared" si="41"/>
        <v/>
      </c>
      <c r="L552" s="10" t="str">
        <f t="shared" si="42"/>
        <v/>
      </c>
      <c r="M552" s="10" t="str">
        <f t="shared" si="43"/>
        <v/>
      </c>
      <c r="N552" s="10" t="str">
        <f t="shared" si="44"/>
        <v/>
      </c>
      <c r="O552" s="6"/>
      <c r="P552" s="6"/>
    </row>
    <row r="553" spans="1:16" x14ac:dyDescent="0.3">
      <c r="A553" s="6"/>
      <c r="B553" s="7"/>
      <c r="C553" s="6"/>
      <c r="D553" s="6"/>
      <c r="E553" s="6"/>
      <c r="F553" s="25"/>
      <c r="G553" s="25" t="str">
        <f>IF(A553="","",SUMIFS(Paradas_Detalhadas!$I:$I,Paradas_Detalhadas!$A:$A,A553,Paradas_Detalhadas!$B:$B,B553,Paradas_Detalhadas!$C:$C,C553,Paradas_Detalhadas!$D:$D,E553))</f>
        <v/>
      </c>
      <c r="H553" s="26" t="str">
        <f t="shared" si="40"/>
        <v/>
      </c>
      <c r="I553" s="10"/>
      <c r="J553" s="10"/>
      <c r="K553" s="10" t="str">
        <f t="shared" si="41"/>
        <v/>
      </c>
      <c r="L553" s="10" t="str">
        <f t="shared" si="42"/>
        <v/>
      </c>
      <c r="M553" s="10" t="str">
        <f t="shared" si="43"/>
        <v/>
      </c>
      <c r="N553" s="10" t="str">
        <f t="shared" si="44"/>
        <v/>
      </c>
      <c r="O553" s="6"/>
      <c r="P553" s="6"/>
    </row>
    <row r="554" spans="1:16" x14ac:dyDescent="0.3">
      <c r="A554" s="6"/>
      <c r="B554" s="7"/>
      <c r="C554" s="6"/>
      <c r="D554" s="6"/>
      <c r="E554" s="6"/>
      <c r="F554" s="25"/>
      <c r="G554" s="25" t="str">
        <f>IF(A554="","",SUMIFS(Paradas_Detalhadas!$I:$I,Paradas_Detalhadas!$A:$A,A554,Paradas_Detalhadas!$B:$B,B554,Paradas_Detalhadas!$C:$C,C554,Paradas_Detalhadas!$D:$D,E554))</f>
        <v/>
      </c>
      <c r="H554" s="26" t="str">
        <f t="shared" si="40"/>
        <v/>
      </c>
      <c r="I554" s="10"/>
      <c r="J554" s="10"/>
      <c r="K554" s="10" t="str">
        <f t="shared" si="41"/>
        <v/>
      </c>
      <c r="L554" s="10" t="str">
        <f t="shared" si="42"/>
        <v/>
      </c>
      <c r="M554" s="10" t="str">
        <f t="shared" si="43"/>
        <v/>
      </c>
      <c r="N554" s="10" t="str">
        <f t="shared" si="44"/>
        <v/>
      </c>
      <c r="O554" s="6"/>
      <c r="P554" s="6"/>
    </row>
    <row r="555" spans="1:16" x14ac:dyDescent="0.3">
      <c r="A555" s="6"/>
      <c r="B555" s="7"/>
      <c r="C555" s="6"/>
      <c r="D555" s="6"/>
      <c r="E555" s="6"/>
      <c r="F555" s="25"/>
      <c r="G555" s="25" t="str">
        <f>IF(A555="","",SUMIFS(Paradas_Detalhadas!$I:$I,Paradas_Detalhadas!$A:$A,A555,Paradas_Detalhadas!$B:$B,B555,Paradas_Detalhadas!$C:$C,C555,Paradas_Detalhadas!$D:$D,E555))</f>
        <v/>
      </c>
      <c r="H555" s="26" t="str">
        <f t="shared" si="40"/>
        <v/>
      </c>
      <c r="I555" s="10"/>
      <c r="J555" s="10"/>
      <c r="K555" s="10" t="str">
        <f t="shared" si="41"/>
        <v/>
      </c>
      <c r="L555" s="10" t="str">
        <f t="shared" si="42"/>
        <v/>
      </c>
      <c r="M555" s="10" t="str">
        <f t="shared" si="43"/>
        <v/>
      </c>
      <c r="N555" s="10" t="str">
        <f t="shared" si="44"/>
        <v/>
      </c>
      <c r="O555" s="6"/>
      <c r="P555" s="6"/>
    </row>
    <row r="556" spans="1:16" x14ac:dyDescent="0.3">
      <c r="A556" s="6"/>
      <c r="B556" s="7"/>
      <c r="C556" s="6"/>
      <c r="D556" s="6"/>
      <c r="E556" s="6"/>
      <c r="F556" s="25"/>
      <c r="G556" s="25" t="str">
        <f>IF(A556="","",SUMIFS(Paradas_Detalhadas!$I:$I,Paradas_Detalhadas!$A:$A,A556,Paradas_Detalhadas!$B:$B,B556,Paradas_Detalhadas!$C:$C,C556,Paradas_Detalhadas!$D:$D,E556))</f>
        <v/>
      </c>
      <c r="H556" s="26" t="str">
        <f t="shared" si="40"/>
        <v/>
      </c>
      <c r="I556" s="10"/>
      <c r="J556" s="10"/>
      <c r="K556" s="10" t="str">
        <f t="shared" si="41"/>
        <v/>
      </c>
      <c r="L556" s="10" t="str">
        <f t="shared" si="42"/>
        <v/>
      </c>
      <c r="M556" s="10" t="str">
        <f t="shared" si="43"/>
        <v/>
      </c>
      <c r="N556" s="10" t="str">
        <f t="shared" si="44"/>
        <v/>
      </c>
      <c r="O556" s="6"/>
      <c r="P556" s="6"/>
    </row>
    <row r="557" spans="1:16" x14ac:dyDescent="0.3">
      <c r="A557" s="6"/>
      <c r="B557" s="7"/>
      <c r="C557" s="6"/>
      <c r="D557" s="6"/>
      <c r="E557" s="6"/>
      <c r="F557" s="25"/>
      <c r="G557" s="25" t="str">
        <f>IF(A557="","",SUMIFS(Paradas_Detalhadas!$I:$I,Paradas_Detalhadas!$A:$A,A557,Paradas_Detalhadas!$B:$B,B557,Paradas_Detalhadas!$C:$C,C557,Paradas_Detalhadas!$D:$D,E557))</f>
        <v/>
      </c>
      <c r="H557" s="26" t="str">
        <f t="shared" si="40"/>
        <v/>
      </c>
      <c r="I557" s="10"/>
      <c r="J557" s="10"/>
      <c r="K557" s="10" t="str">
        <f t="shared" si="41"/>
        <v/>
      </c>
      <c r="L557" s="10" t="str">
        <f t="shared" si="42"/>
        <v/>
      </c>
      <c r="M557" s="10" t="str">
        <f t="shared" si="43"/>
        <v/>
      </c>
      <c r="N557" s="10" t="str">
        <f t="shared" si="44"/>
        <v/>
      </c>
      <c r="O557" s="6"/>
      <c r="P557" s="6"/>
    </row>
    <row r="558" spans="1:16" x14ac:dyDescent="0.3">
      <c r="A558" s="6"/>
      <c r="B558" s="7"/>
      <c r="C558" s="6"/>
      <c r="D558" s="6"/>
      <c r="E558" s="6"/>
      <c r="F558" s="25"/>
      <c r="G558" s="25" t="str">
        <f>IF(A558="","",SUMIFS(Paradas_Detalhadas!$I:$I,Paradas_Detalhadas!$A:$A,A558,Paradas_Detalhadas!$B:$B,B558,Paradas_Detalhadas!$C:$C,C558,Paradas_Detalhadas!$D:$D,E558))</f>
        <v/>
      </c>
      <c r="H558" s="26" t="str">
        <f t="shared" ref="H558:H621" si="45">IF(OR(F558="",G558=""),"",MAX(F558-G558,0))</f>
        <v/>
      </c>
      <c r="I558" s="10"/>
      <c r="J558" s="10"/>
      <c r="K558" s="10" t="str">
        <f t="shared" ref="K558:K621" si="46">IF(AND(I558="",J558=""),"",SUM(I558:J558))</f>
        <v/>
      </c>
      <c r="L558" s="10" t="str">
        <f t="shared" ref="L558:L621" si="47">IFERROR(K558/H558,"")</f>
        <v/>
      </c>
      <c r="M558" s="10" t="str">
        <f t="shared" ref="M558:M621" si="48">IFERROR(I558/H558,"")</f>
        <v/>
      </c>
      <c r="N558" s="10" t="str">
        <f t="shared" ref="N558:N621" si="49">IFERROR(J558/H558,"")</f>
        <v/>
      </c>
      <c r="O558" s="6"/>
      <c r="P558" s="6"/>
    </row>
    <row r="559" spans="1:16" x14ac:dyDescent="0.3">
      <c r="A559" s="6"/>
      <c r="B559" s="7"/>
      <c r="C559" s="6"/>
      <c r="D559" s="6"/>
      <c r="E559" s="6"/>
      <c r="F559" s="25"/>
      <c r="G559" s="25" t="str">
        <f>IF(A559="","",SUMIFS(Paradas_Detalhadas!$I:$I,Paradas_Detalhadas!$A:$A,A559,Paradas_Detalhadas!$B:$B,B559,Paradas_Detalhadas!$C:$C,C559,Paradas_Detalhadas!$D:$D,E559))</f>
        <v/>
      </c>
      <c r="H559" s="26" t="str">
        <f t="shared" si="45"/>
        <v/>
      </c>
      <c r="I559" s="10"/>
      <c r="J559" s="10"/>
      <c r="K559" s="10" t="str">
        <f t="shared" si="46"/>
        <v/>
      </c>
      <c r="L559" s="10" t="str">
        <f t="shared" si="47"/>
        <v/>
      </c>
      <c r="M559" s="10" t="str">
        <f t="shared" si="48"/>
        <v/>
      </c>
      <c r="N559" s="10" t="str">
        <f t="shared" si="49"/>
        <v/>
      </c>
      <c r="O559" s="6"/>
      <c r="P559" s="6"/>
    </row>
    <row r="560" spans="1:16" x14ac:dyDescent="0.3">
      <c r="A560" s="6"/>
      <c r="B560" s="7"/>
      <c r="C560" s="6"/>
      <c r="D560" s="6"/>
      <c r="E560" s="6"/>
      <c r="F560" s="25"/>
      <c r="G560" s="25" t="str">
        <f>IF(A560="","",SUMIFS(Paradas_Detalhadas!$I:$I,Paradas_Detalhadas!$A:$A,A560,Paradas_Detalhadas!$B:$B,B560,Paradas_Detalhadas!$C:$C,C560,Paradas_Detalhadas!$D:$D,E560))</f>
        <v/>
      </c>
      <c r="H560" s="26" t="str">
        <f t="shared" si="45"/>
        <v/>
      </c>
      <c r="I560" s="10"/>
      <c r="J560" s="10"/>
      <c r="K560" s="10" t="str">
        <f t="shared" si="46"/>
        <v/>
      </c>
      <c r="L560" s="10" t="str">
        <f t="shared" si="47"/>
        <v/>
      </c>
      <c r="M560" s="10" t="str">
        <f t="shared" si="48"/>
        <v/>
      </c>
      <c r="N560" s="10" t="str">
        <f t="shared" si="49"/>
        <v/>
      </c>
      <c r="O560" s="6"/>
      <c r="P560" s="6"/>
    </row>
    <row r="561" spans="1:16" x14ac:dyDescent="0.3">
      <c r="A561" s="6"/>
      <c r="B561" s="7"/>
      <c r="C561" s="6"/>
      <c r="D561" s="6"/>
      <c r="E561" s="6"/>
      <c r="F561" s="25"/>
      <c r="G561" s="25" t="str">
        <f>IF(A561="","",SUMIFS(Paradas_Detalhadas!$I:$I,Paradas_Detalhadas!$A:$A,A561,Paradas_Detalhadas!$B:$B,B561,Paradas_Detalhadas!$C:$C,C561,Paradas_Detalhadas!$D:$D,E561))</f>
        <v/>
      </c>
      <c r="H561" s="26" t="str">
        <f t="shared" si="45"/>
        <v/>
      </c>
      <c r="I561" s="10"/>
      <c r="J561" s="10"/>
      <c r="K561" s="10" t="str">
        <f t="shared" si="46"/>
        <v/>
      </c>
      <c r="L561" s="10" t="str">
        <f t="shared" si="47"/>
        <v/>
      </c>
      <c r="M561" s="10" t="str">
        <f t="shared" si="48"/>
        <v/>
      </c>
      <c r="N561" s="10" t="str">
        <f t="shared" si="49"/>
        <v/>
      </c>
      <c r="O561" s="6"/>
      <c r="P561" s="6"/>
    </row>
    <row r="562" spans="1:16" x14ac:dyDescent="0.3">
      <c r="A562" s="6"/>
      <c r="B562" s="7"/>
      <c r="C562" s="6"/>
      <c r="D562" s="6"/>
      <c r="E562" s="6"/>
      <c r="F562" s="25"/>
      <c r="G562" s="25" t="str">
        <f>IF(A562="","",SUMIFS(Paradas_Detalhadas!$I:$I,Paradas_Detalhadas!$A:$A,A562,Paradas_Detalhadas!$B:$B,B562,Paradas_Detalhadas!$C:$C,C562,Paradas_Detalhadas!$D:$D,E562))</f>
        <v/>
      </c>
      <c r="H562" s="26" t="str">
        <f t="shared" si="45"/>
        <v/>
      </c>
      <c r="I562" s="10"/>
      <c r="J562" s="10"/>
      <c r="K562" s="10" t="str">
        <f t="shared" si="46"/>
        <v/>
      </c>
      <c r="L562" s="10" t="str">
        <f t="shared" si="47"/>
        <v/>
      </c>
      <c r="M562" s="10" t="str">
        <f t="shared" si="48"/>
        <v/>
      </c>
      <c r="N562" s="10" t="str">
        <f t="shared" si="49"/>
        <v/>
      </c>
      <c r="O562" s="6"/>
      <c r="P562" s="6"/>
    </row>
    <row r="563" spans="1:16" x14ac:dyDescent="0.3">
      <c r="A563" s="6"/>
      <c r="B563" s="7"/>
      <c r="C563" s="6"/>
      <c r="D563" s="6"/>
      <c r="E563" s="6"/>
      <c r="F563" s="25"/>
      <c r="G563" s="25" t="str">
        <f>IF(A563="","",SUMIFS(Paradas_Detalhadas!$I:$I,Paradas_Detalhadas!$A:$A,A563,Paradas_Detalhadas!$B:$B,B563,Paradas_Detalhadas!$C:$C,C563,Paradas_Detalhadas!$D:$D,E563))</f>
        <v/>
      </c>
      <c r="H563" s="26" t="str">
        <f t="shared" si="45"/>
        <v/>
      </c>
      <c r="I563" s="10"/>
      <c r="J563" s="10"/>
      <c r="K563" s="10" t="str">
        <f t="shared" si="46"/>
        <v/>
      </c>
      <c r="L563" s="10" t="str">
        <f t="shared" si="47"/>
        <v/>
      </c>
      <c r="M563" s="10" t="str">
        <f t="shared" si="48"/>
        <v/>
      </c>
      <c r="N563" s="10" t="str">
        <f t="shared" si="49"/>
        <v/>
      </c>
      <c r="O563" s="6"/>
      <c r="P563" s="6"/>
    </row>
    <row r="564" spans="1:16" x14ac:dyDescent="0.3">
      <c r="A564" s="6"/>
      <c r="B564" s="7"/>
      <c r="C564" s="6"/>
      <c r="D564" s="6"/>
      <c r="E564" s="6"/>
      <c r="F564" s="25"/>
      <c r="G564" s="25" t="str">
        <f>IF(A564="","",SUMIFS(Paradas_Detalhadas!$I:$I,Paradas_Detalhadas!$A:$A,A564,Paradas_Detalhadas!$B:$B,B564,Paradas_Detalhadas!$C:$C,C564,Paradas_Detalhadas!$D:$D,E564))</f>
        <v/>
      </c>
      <c r="H564" s="26" t="str">
        <f t="shared" si="45"/>
        <v/>
      </c>
      <c r="I564" s="10"/>
      <c r="J564" s="10"/>
      <c r="K564" s="10" t="str">
        <f t="shared" si="46"/>
        <v/>
      </c>
      <c r="L564" s="10" t="str">
        <f t="shared" si="47"/>
        <v/>
      </c>
      <c r="M564" s="10" t="str">
        <f t="shared" si="48"/>
        <v/>
      </c>
      <c r="N564" s="10" t="str">
        <f t="shared" si="49"/>
        <v/>
      </c>
      <c r="O564" s="6"/>
      <c r="P564" s="6"/>
    </row>
    <row r="565" spans="1:16" x14ac:dyDescent="0.3">
      <c r="A565" s="6"/>
      <c r="B565" s="7"/>
      <c r="C565" s="6"/>
      <c r="D565" s="6"/>
      <c r="E565" s="6"/>
      <c r="F565" s="25"/>
      <c r="G565" s="25" t="str">
        <f>IF(A565="","",SUMIFS(Paradas_Detalhadas!$I:$I,Paradas_Detalhadas!$A:$A,A565,Paradas_Detalhadas!$B:$B,B565,Paradas_Detalhadas!$C:$C,C565,Paradas_Detalhadas!$D:$D,E565))</f>
        <v/>
      </c>
      <c r="H565" s="26" t="str">
        <f t="shared" si="45"/>
        <v/>
      </c>
      <c r="I565" s="10"/>
      <c r="J565" s="10"/>
      <c r="K565" s="10" t="str">
        <f t="shared" si="46"/>
        <v/>
      </c>
      <c r="L565" s="10" t="str">
        <f t="shared" si="47"/>
        <v/>
      </c>
      <c r="M565" s="10" t="str">
        <f t="shared" si="48"/>
        <v/>
      </c>
      <c r="N565" s="10" t="str">
        <f t="shared" si="49"/>
        <v/>
      </c>
      <c r="O565" s="6"/>
      <c r="P565" s="6"/>
    </row>
    <row r="566" spans="1:16" x14ac:dyDescent="0.3">
      <c r="A566" s="6"/>
      <c r="B566" s="7"/>
      <c r="C566" s="6"/>
      <c r="D566" s="6"/>
      <c r="E566" s="6"/>
      <c r="F566" s="25"/>
      <c r="G566" s="25" t="str">
        <f>IF(A566="","",SUMIFS(Paradas_Detalhadas!$I:$I,Paradas_Detalhadas!$A:$A,A566,Paradas_Detalhadas!$B:$B,B566,Paradas_Detalhadas!$C:$C,C566,Paradas_Detalhadas!$D:$D,E566))</f>
        <v/>
      </c>
      <c r="H566" s="26" t="str">
        <f t="shared" si="45"/>
        <v/>
      </c>
      <c r="I566" s="10"/>
      <c r="J566" s="10"/>
      <c r="K566" s="10" t="str">
        <f t="shared" si="46"/>
        <v/>
      </c>
      <c r="L566" s="10" t="str">
        <f t="shared" si="47"/>
        <v/>
      </c>
      <c r="M566" s="10" t="str">
        <f t="shared" si="48"/>
        <v/>
      </c>
      <c r="N566" s="10" t="str">
        <f t="shared" si="49"/>
        <v/>
      </c>
      <c r="O566" s="6"/>
      <c r="P566" s="6"/>
    </row>
    <row r="567" spans="1:16" x14ac:dyDescent="0.3">
      <c r="A567" s="6"/>
      <c r="B567" s="7"/>
      <c r="C567" s="6"/>
      <c r="D567" s="6"/>
      <c r="E567" s="6"/>
      <c r="F567" s="25"/>
      <c r="G567" s="25" t="str">
        <f>IF(A567="","",SUMIFS(Paradas_Detalhadas!$I:$I,Paradas_Detalhadas!$A:$A,A567,Paradas_Detalhadas!$B:$B,B567,Paradas_Detalhadas!$C:$C,C567,Paradas_Detalhadas!$D:$D,E567))</f>
        <v/>
      </c>
      <c r="H567" s="26" t="str">
        <f t="shared" si="45"/>
        <v/>
      </c>
      <c r="I567" s="10"/>
      <c r="J567" s="10"/>
      <c r="K567" s="10" t="str">
        <f t="shared" si="46"/>
        <v/>
      </c>
      <c r="L567" s="10" t="str">
        <f t="shared" si="47"/>
        <v/>
      </c>
      <c r="M567" s="10" t="str">
        <f t="shared" si="48"/>
        <v/>
      </c>
      <c r="N567" s="10" t="str">
        <f t="shared" si="49"/>
        <v/>
      </c>
      <c r="O567" s="6"/>
      <c r="P567" s="6"/>
    </row>
    <row r="568" spans="1:16" x14ac:dyDescent="0.3">
      <c r="A568" s="6"/>
      <c r="B568" s="7"/>
      <c r="C568" s="6"/>
      <c r="D568" s="6"/>
      <c r="E568" s="6"/>
      <c r="F568" s="25"/>
      <c r="G568" s="25" t="str">
        <f>IF(A568="","",SUMIFS(Paradas_Detalhadas!$I:$I,Paradas_Detalhadas!$A:$A,A568,Paradas_Detalhadas!$B:$B,B568,Paradas_Detalhadas!$C:$C,C568,Paradas_Detalhadas!$D:$D,E568))</f>
        <v/>
      </c>
      <c r="H568" s="26" t="str">
        <f t="shared" si="45"/>
        <v/>
      </c>
      <c r="I568" s="10"/>
      <c r="J568" s="10"/>
      <c r="K568" s="10" t="str">
        <f t="shared" si="46"/>
        <v/>
      </c>
      <c r="L568" s="10" t="str">
        <f t="shared" si="47"/>
        <v/>
      </c>
      <c r="M568" s="10" t="str">
        <f t="shared" si="48"/>
        <v/>
      </c>
      <c r="N568" s="10" t="str">
        <f t="shared" si="49"/>
        <v/>
      </c>
      <c r="O568" s="6"/>
      <c r="P568" s="6"/>
    </row>
    <row r="569" spans="1:16" x14ac:dyDescent="0.3">
      <c r="A569" s="6"/>
      <c r="B569" s="7"/>
      <c r="C569" s="6"/>
      <c r="D569" s="6"/>
      <c r="E569" s="6"/>
      <c r="F569" s="25"/>
      <c r="G569" s="25" t="str">
        <f>IF(A569="","",SUMIFS(Paradas_Detalhadas!$I:$I,Paradas_Detalhadas!$A:$A,A569,Paradas_Detalhadas!$B:$B,B569,Paradas_Detalhadas!$C:$C,C569,Paradas_Detalhadas!$D:$D,E569))</f>
        <v/>
      </c>
      <c r="H569" s="26" t="str">
        <f t="shared" si="45"/>
        <v/>
      </c>
      <c r="I569" s="10"/>
      <c r="J569" s="10"/>
      <c r="K569" s="10" t="str">
        <f t="shared" si="46"/>
        <v/>
      </c>
      <c r="L569" s="10" t="str">
        <f t="shared" si="47"/>
        <v/>
      </c>
      <c r="M569" s="10" t="str">
        <f t="shared" si="48"/>
        <v/>
      </c>
      <c r="N569" s="10" t="str">
        <f t="shared" si="49"/>
        <v/>
      </c>
      <c r="O569" s="6"/>
      <c r="P569" s="6"/>
    </row>
    <row r="570" spans="1:16" x14ac:dyDescent="0.3">
      <c r="A570" s="6"/>
      <c r="B570" s="7"/>
      <c r="C570" s="6"/>
      <c r="D570" s="6"/>
      <c r="E570" s="6"/>
      <c r="F570" s="25"/>
      <c r="G570" s="25" t="str">
        <f>IF(A570="","",SUMIFS(Paradas_Detalhadas!$I:$I,Paradas_Detalhadas!$A:$A,A570,Paradas_Detalhadas!$B:$B,B570,Paradas_Detalhadas!$C:$C,C570,Paradas_Detalhadas!$D:$D,E570))</f>
        <v/>
      </c>
      <c r="H570" s="26" t="str">
        <f t="shared" si="45"/>
        <v/>
      </c>
      <c r="I570" s="10"/>
      <c r="J570" s="10"/>
      <c r="K570" s="10" t="str">
        <f t="shared" si="46"/>
        <v/>
      </c>
      <c r="L570" s="10" t="str">
        <f t="shared" si="47"/>
        <v/>
      </c>
      <c r="M570" s="10" t="str">
        <f t="shared" si="48"/>
        <v/>
      </c>
      <c r="N570" s="10" t="str">
        <f t="shared" si="49"/>
        <v/>
      </c>
      <c r="O570" s="6"/>
      <c r="P570" s="6"/>
    </row>
    <row r="571" spans="1:16" x14ac:dyDescent="0.3">
      <c r="A571" s="6"/>
      <c r="B571" s="7"/>
      <c r="C571" s="6"/>
      <c r="D571" s="6"/>
      <c r="E571" s="6"/>
      <c r="F571" s="25"/>
      <c r="G571" s="25" t="str">
        <f>IF(A571="","",SUMIFS(Paradas_Detalhadas!$I:$I,Paradas_Detalhadas!$A:$A,A571,Paradas_Detalhadas!$B:$B,B571,Paradas_Detalhadas!$C:$C,C571,Paradas_Detalhadas!$D:$D,E571))</f>
        <v/>
      </c>
      <c r="H571" s="26" t="str">
        <f t="shared" si="45"/>
        <v/>
      </c>
      <c r="I571" s="10"/>
      <c r="J571" s="10"/>
      <c r="K571" s="10" t="str">
        <f t="shared" si="46"/>
        <v/>
      </c>
      <c r="L571" s="10" t="str">
        <f t="shared" si="47"/>
        <v/>
      </c>
      <c r="M571" s="10" t="str">
        <f t="shared" si="48"/>
        <v/>
      </c>
      <c r="N571" s="10" t="str">
        <f t="shared" si="49"/>
        <v/>
      </c>
      <c r="O571" s="6"/>
      <c r="P571" s="6"/>
    </row>
    <row r="572" spans="1:16" x14ac:dyDescent="0.3">
      <c r="A572" s="6"/>
      <c r="B572" s="7"/>
      <c r="C572" s="6"/>
      <c r="D572" s="6"/>
      <c r="E572" s="6"/>
      <c r="F572" s="25"/>
      <c r="G572" s="25" t="str">
        <f>IF(A572="","",SUMIFS(Paradas_Detalhadas!$I:$I,Paradas_Detalhadas!$A:$A,A572,Paradas_Detalhadas!$B:$B,B572,Paradas_Detalhadas!$C:$C,C572,Paradas_Detalhadas!$D:$D,E572))</f>
        <v/>
      </c>
      <c r="H572" s="26" t="str">
        <f t="shared" si="45"/>
        <v/>
      </c>
      <c r="I572" s="10"/>
      <c r="J572" s="10"/>
      <c r="K572" s="10" t="str">
        <f t="shared" si="46"/>
        <v/>
      </c>
      <c r="L572" s="10" t="str">
        <f t="shared" si="47"/>
        <v/>
      </c>
      <c r="M572" s="10" t="str">
        <f t="shared" si="48"/>
        <v/>
      </c>
      <c r="N572" s="10" t="str">
        <f t="shared" si="49"/>
        <v/>
      </c>
      <c r="O572" s="6"/>
      <c r="P572" s="6"/>
    </row>
    <row r="573" spans="1:16" x14ac:dyDescent="0.3">
      <c r="A573" s="6"/>
      <c r="B573" s="7"/>
      <c r="C573" s="6"/>
      <c r="D573" s="6"/>
      <c r="E573" s="6"/>
      <c r="F573" s="25"/>
      <c r="G573" s="25" t="str">
        <f>IF(A573="","",SUMIFS(Paradas_Detalhadas!$I:$I,Paradas_Detalhadas!$A:$A,A573,Paradas_Detalhadas!$B:$B,B573,Paradas_Detalhadas!$C:$C,C573,Paradas_Detalhadas!$D:$D,E573))</f>
        <v/>
      </c>
      <c r="H573" s="26" t="str">
        <f t="shared" si="45"/>
        <v/>
      </c>
      <c r="I573" s="10"/>
      <c r="J573" s="10"/>
      <c r="K573" s="10" t="str">
        <f t="shared" si="46"/>
        <v/>
      </c>
      <c r="L573" s="10" t="str">
        <f t="shared" si="47"/>
        <v/>
      </c>
      <c r="M573" s="10" t="str">
        <f t="shared" si="48"/>
        <v/>
      </c>
      <c r="N573" s="10" t="str">
        <f t="shared" si="49"/>
        <v/>
      </c>
      <c r="O573" s="6"/>
      <c r="P573" s="6"/>
    </row>
    <row r="574" spans="1:16" x14ac:dyDescent="0.3">
      <c r="A574" s="6"/>
      <c r="B574" s="7"/>
      <c r="C574" s="6"/>
      <c r="D574" s="6"/>
      <c r="E574" s="6"/>
      <c r="F574" s="25"/>
      <c r="G574" s="25" t="str">
        <f>IF(A574="","",SUMIFS(Paradas_Detalhadas!$I:$I,Paradas_Detalhadas!$A:$A,A574,Paradas_Detalhadas!$B:$B,B574,Paradas_Detalhadas!$C:$C,C574,Paradas_Detalhadas!$D:$D,E574))</f>
        <v/>
      </c>
      <c r="H574" s="26" t="str">
        <f t="shared" si="45"/>
        <v/>
      </c>
      <c r="I574" s="10"/>
      <c r="J574" s="10"/>
      <c r="K574" s="10" t="str">
        <f t="shared" si="46"/>
        <v/>
      </c>
      <c r="L574" s="10" t="str">
        <f t="shared" si="47"/>
        <v/>
      </c>
      <c r="M574" s="10" t="str">
        <f t="shared" si="48"/>
        <v/>
      </c>
      <c r="N574" s="10" t="str">
        <f t="shared" si="49"/>
        <v/>
      </c>
      <c r="O574" s="6"/>
      <c r="P574" s="6"/>
    </row>
    <row r="575" spans="1:16" x14ac:dyDescent="0.3">
      <c r="A575" s="6"/>
      <c r="B575" s="7"/>
      <c r="C575" s="6"/>
      <c r="D575" s="6"/>
      <c r="E575" s="6"/>
      <c r="F575" s="25"/>
      <c r="G575" s="25" t="str">
        <f>IF(A575="","",SUMIFS(Paradas_Detalhadas!$I:$I,Paradas_Detalhadas!$A:$A,A575,Paradas_Detalhadas!$B:$B,B575,Paradas_Detalhadas!$C:$C,C575,Paradas_Detalhadas!$D:$D,E575))</f>
        <v/>
      </c>
      <c r="H575" s="26" t="str">
        <f t="shared" si="45"/>
        <v/>
      </c>
      <c r="I575" s="10"/>
      <c r="J575" s="10"/>
      <c r="K575" s="10" t="str">
        <f t="shared" si="46"/>
        <v/>
      </c>
      <c r="L575" s="10" t="str">
        <f t="shared" si="47"/>
        <v/>
      </c>
      <c r="M575" s="10" t="str">
        <f t="shared" si="48"/>
        <v/>
      </c>
      <c r="N575" s="10" t="str">
        <f t="shared" si="49"/>
        <v/>
      </c>
      <c r="O575" s="6"/>
      <c r="P575" s="6"/>
    </row>
    <row r="576" spans="1:16" x14ac:dyDescent="0.3">
      <c r="A576" s="6"/>
      <c r="B576" s="7"/>
      <c r="C576" s="6"/>
      <c r="D576" s="6"/>
      <c r="E576" s="6"/>
      <c r="F576" s="25"/>
      <c r="G576" s="25" t="str">
        <f>IF(A576="","",SUMIFS(Paradas_Detalhadas!$I:$I,Paradas_Detalhadas!$A:$A,A576,Paradas_Detalhadas!$B:$B,B576,Paradas_Detalhadas!$C:$C,C576,Paradas_Detalhadas!$D:$D,E576))</f>
        <v/>
      </c>
      <c r="H576" s="26" t="str">
        <f t="shared" si="45"/>
        <v/>
      </c>
      <c r="I576" s="10"/>
      <c r="J576" s="10"/>
      <c r="K576" s="10" t="str">
        <f t="shared" si="46"/>
        <v/>
      </c>
      <c r="L576" s="10" t="str">
        <f t="shared" si="47"/>
        <v/>
      </c>
      <c r="M576" s="10" t="str">
        <f t="shared" si="48"/>
        <v/>
      </c>
      <c r="N576" s="10" t="str">
        <f t="shared" si="49"/>
        <v/>
      </c>
      <c r="O576" s="6"/>
      <c r="P576" s="6"/>
    </row>
    <row r="577" spans="1:16" x14ac:dyDescent="0.3">
      <c r="A577" s="6"/>
      <c r="B577" s="7"/>
      <c r="C577" s="6"/>
      <c r="D577" s="6"/>
      <c r="E577" s="6"/>
      <c r="F577" s="25"/>
      <c r="G577" s="25" t="str">
        <f>IF(A577="","",SUMIFS(Paradas_Detalhadas!$I:$I,Paradas_Detalhadas!$A:$A,A577,Paradas_Detalhadas!$B:$B,B577,Paradas_Detalhadas!$C:$C,C577,Paradas_Detalhadas!$D:$D,E577))</f>
        <v/>
      </c>
      <c r="H577" s="26" t="str">
        <f t="shared" si="45"/>
        <v/>
      </c>
      <c r="I577" s="10"/>
      <c r="J577" s="10"/>
      <c r="K577" s="10" t="str">
        <f t="shared" si="46"/>
        <v/>
      </c>
      <c r="L577" s="10" t="str">
        <f t="shared" si="47"/>
        <v/>
      </c>
      <c r="M577" s="10" t="str">
        <f t="shared" si="48"/>
        <v/>
      </c>
      <c r="N577" s="10" t="str">
        <f t="shared" si="49"/>
        <v/>
      </c>
      <c r="O577" s="6"/>
      <c r="P577" s="6"/>
    </row>
    <row r="578" spans="1:16" x14ac:dyDescent="0.3">
      <c r="A578" s="6"/>
      <c r="B578" s="7"/>
      <c r="C578" s="6"/>
      <c r="D578" s="6"/>
      <c r="E578" s="6"/>
      <c r="F578" s="25"/>
      <c r="G578" s="25" t="str">
        <f>IF(A578="","",SUMIFS(Paradas_Detalhadas!$I:$I,Paradas_Detalhadas!$A:$A,A578,Paradas_Detalhadas!$B:$B,B578,Paradas_Detalhadas!$C:$C,C578,Paradas_Detalhadas!$D:$D,E578))</f>
        <v/>
      </c>
      <c r="H578" s="26" t="str">
        <f t="shared" si="45"/>
        <v/>
      </c>
      <c r="I578" s="10"/>
      <c r="J578" s="10"/>
      <c r="K578" s="10" t="str">
        <f t="shared" si="46"/>
        <v/>
      </c>
      <c r="L578" s="10" t="str">
        <f t="shared" si="47"/>
        <v/>
      </c>
      <c r="M578" s="10" t="str">
        <f t="shared" si="48"/>
        <v/>
      </c>
      <c r="N578" s="10" t="str">
        <f t="shared" si="49"/>
        <v/>
      </c>
      <c r="O578" s="6"/>
      <c r="P578" s="6"/>
    </row>
    <row r="579" spans="1:16" x14ac:dyDescent="0.3">
      <c r="A579" s="6"/>
      <c r="B579" s="7"/>
      <c r="C579" s="6"/>
      <c r="D579" s="6"/>
      <c r="E579" s="6"/>
      <c r="F579" s="25"/>
      <c r="G579" s="25" t="str">
        <f>IF(A579="","",SUMIFS(Paradas_Detalhadas!$I:$I,Paradas_Detalhadas!$A:$A,A579,Paradas_Detalhadas!$B:$B,B579,Paradas_Detalhadas!$C:$C,C579,Paradas_Detalhadas!$D:$D,E579))</f>
        <v/>
      </c>
      <c r="H579" s="26" t="str">
        <f t="shared" si="45"/>
        <v/>
      </c>
      <c r="I579" s="10"/>
      <c r="J579" s="10"/>
      <c r="K579" s="10" t="str">
        <f t="shared" si="46"/>
        <v/>
      </c>
      <c r="L579" s="10" t="str">
        <f t="shared" si="47"/>
        <v/>
      </c>
      <c r="M579" s="10" t="str">
        <f t="shared" si="48"/>
        <v/>
      </c>
      <c r="N579" s="10" t="str">
        <f t="shared" si="49"/>
        <v/>
      </c>
      <c r="O579" s="6"/>
      <c r="P579" s="6"/>
    </row>
    <row r="580" spans="1:16" x14ac:dyDescent="0.3">
      <c r="A580" s="6"/>
      <c r="B580" s="7"/>
      <c r="C580" s="6"/>
      <c r="D580" s="6"/>
      <c r="E580" s="6"/>
      <c r="F580" s="25"/>
      <c r="G580" s="25" t="str">
        <f>IF(A580="","",SUMIFS(Paradas_Detalhadas!$I:$I,Paradas_Detalhadas!$A:$A,A580,Paradas_Detalhadas!$B:$B,B580,Paradas_Detalhadas!$C:$C,C580,Paradas_Detalhadas!$D:$D,E580))</f>
        <v/>
      </c>
      <c r="H580" s="26" t="str">
        <f t="shared" si="45"/>
        <v/>
      </c>
      <c r="I580" s="10"/>
      <c r="J580" s="10"/>
      <c r="K580" s="10" t="str">
        <f t="shared" si="46"/>
        <v/>
      </c>
      <c r="L580" s="10" t="str">
        <f t="shared" si="47"/>
        <v/>
      </c>
      <c r="M580" s="10" t="str">
        <f t="shared" si="48"/>
        <v/>
      </c>
      <c r="N580" s="10" t="str">
        <f t="shared" si="49"/>
        <v/>
      </c>
      <c r="O580" s="6"/>
      <c r="P580" s="6"/>
    </row>
    <row r="581" spans="1:16" x14ac:dyDescent="0.3">
      <c r="A581" s="6"/>
      <c r="B581" s="7"/>
      <c r="C581" s="6"/>
      <c r="D581" s="6"/>
      <c r="E581" s="6"/>
      <c r="F581" s="25"/>
      <c r="G581" s="25" t="str">
        <f>IF(A581="","",SUMIFS(Paradas_Detalhadas!$I:$I,Paradas_Detalhadas!$A:$A,A581,Paradas_Detalhadas!$B:$B,B581,Paradas_Detalhadas!$C:$C,C581,Paradas_Detalhadas!$D:$D,E581))</f>
        <v/>
      </c>
      <c r="H581" s="26" t="str">
        <f t="shared" si="45"/>
        <v/>
      </c>
      <c r="I581" s="10"/>
      <c r="J581" s="10"/>
      <c r="K581" s="10" t="str">
        <f t="shared" si="46"/>
        <v/>
      </c>
      <c r="L581" s="10" t="str">
        <f t="shared" si="47"/>
        <v/>
      </c>
      <c r="M581" s="10" t="str">
        <f t="shared" si="48"/>
        <v/>
      </c>
      <c r="N581" s="10" t="str">
        <f t="shared" si="49"/>
        <v/>
      </c>
      <c r="O581" s="6"/>
      <c r="P581" s="6"/>
    </row>
    <row r="582" spans="1:16" x14ac:dyDescent="0.3">
      <c r="A582" s="6"/>
      <c r="B582" s="7"/>
      <c r="C582" s="6"/>
      <c r="D582" s="6"/>
      <c r="E582" s="6"/>
      <c r="F582" s="25"/>
      <c r="G582" s="25" t="str">
        <f>IF(A582="","",SUMIFS(Paradas_Detalhadas!$I:$I,Paradas_Detalhadas!$A:$A,A582,Paradas_Detalhadas!$B:$B,B582,Paradas_Detalhadas!$C:$C,C582,Paradas_Detalhadas!$D:$D,E582))</f>
        <v/>
      </c>
      <c r="H582" s="26" t="str">
        <f t="shared" si="45"/>
        <v/>
      </c>
      <c r="I582" s="10"/>
      <c r="J582" s="10"/>
      <c r="K582" s="10" t="str">
        <f t="shared" si="46"/>
        <v/>
      </c>
      <c r="L582" s="10" t="str">
        <f t="shared" si="47"/>
        <v/>
      </c>
      <c r="M582" s="10" t="str">
        <f t="shared" si="48"/>
        <v/>
      </c>
      <c r="N582" s="10" t="str">
        <f t="shared" si="49"/>
        <v/>
      </c>
      <c r="O582" s="6"/>
      <c r="P582" s="6"/>
    </row>
    <row r="583" spans="1:16" x14ac:dyDescent="0.3">
      <c r="A583" s="6"/>
      <c r="B583" s="7"/>
      <c r="C583" s="6"/>
      <c r="D583" s="6"/>
      <c r="E583" s="6"/>
      <c r="F583" s="25"/>
      <c r="G583" s="25" t="str">
        <f>IF(A583="","",SUMIFS(Paradas_Detalhadas!$I:$I,Paradas_Detalhadas!$A:$A,A583,Paradas_Detalhadas!$B:$B,B583,Paradas_Detalhadas!$C:$C,C583,Paradas_Detalhadas!$D:$D,E583))</f>
        <v/>
      </c>
      <c r="H583" s="26" t="str">
        <f t="shared" si="45"/>
        <v/>
      </c>
      <c r="I583" s="10"/>
      <c r="J583" s="10"/>
      <c r="K583" s="10" t="str">
        <f t="shared" si="46"/>
        <v/>
      </c>
      <c r="L583" s="10" t="str">
        <f t="shared" si="47"/>
        <v/>
      </c>
      <c r="M583" s="10" t="str">
        <f t="shared" si="48"/>
        <v/>
      </c>
      <c r="N583" s="10" t="str">
        <f t="shared" si="49"/>
        <v/>
      </c>
      <c r="O583" s="6"/>
      <c r="P583" s="6"/>
    </row>
    <row r="584" spans="1:16" x14ac:dyDescent="0.3">
      <c r="A584" s="6"/>
      <c r="B584" s="7"/>
      <c r="C584" s="6"/>
      <c r="D584" s="6"/>
      <c r="E584" s="6"/>
      <c r="F584" s="25"/>
      <c r="G584" s="25" t="str">
        <f>IF(A584="","",SUMIFS(Paradas_Detalhadas!$I:$I,Paradas_Detalhadas!$A:$A,A584,Paradas_Detalhadas!$B:$B,B584,Paradas_Detalhadas!$C:$C,C584,Paradas_Detalhadas!$D:$D,E584))</f>
        <v/>
      </c>
      <c r="H584" s="26" t="str">
        <f t="shared" si="45"/>
        <v/>
      </c>
      <c r="I584" s="10"/>
      <c r="J584" s="10"/>
      <c r="K584" s="10" t="str">
        <f t="shared" si="46"/>
        <v/>
      </c>
      <c r="L584" s="10" t="str">
        <f t="shared" si="47"/>
        <v/>
      </c>
      <c r="M584" s="10" t="str">
        <f t="shared" si="48"/>
        <v/>
      </c>
      <c r="N584" s="10" t="str">
        <f t="shared" si="49"/>
        <v/>
      </c>
      <c r="O584" s="6"/>
      <c r="P584" s="6"/>
    </row>
    <row r="585" spans="1:16" x14ac:dyDescent="0.3">
      <c r="A585" s="6"/>
      <c r="B585" s="7"/>
      <c r="C585" s="6"/>
      <c r="D585" s="6"/>
      <c r="E585" s="6"/>
      <c r="F585" s="25"/>
      <c r="G585" s="25" t="str">
        <f>IF(A585="","",SUMIFS(Paradas_Detalhadas!$I:$I,Paradas_Detalhadas!$A:$A,A585,Paradas_Detalhadas!$B:$B,B585,Paradas_Detalhadas!$C:$C,C585,Paradas_Detalhadas!$D:$D,E585))</f>
        <v/>
      </c>
      <c r="H585" s="26" t="str">
        <f t="shared" si="45"/>
        <v/>
      </c>
      <c r="I585" s="10"/>
      <c r="J585" s="10"/>
      <c r="K585" s="10" t="str">
        <f t="shared" si="46"/>
        <v/>
      </c>
      <c r="L585" s="10" t="str">
        <f t="shared" si="47"/>
        <v/>
      </c>
      <c r="M585" s="10" t="str">
        <f t="shared" si="48"/>
        <v/>
      </c>
      <c r="N585" s="10" t="str">
        <f t="shared" si="49"/>
        <v/>
      </c>
      <c r="O585" s="6"/>
      <c r="P585" s="6"/>
    </row>
    <row r="586" spans="1:16" x14ac:dyDescent="0.3">
      <c r="A586" s="6"/>
      <c r="B586" s="7"/>
      <c r="C586" s="6"/>
      <c r="D586" s="6"/>
      <c r="E586" s="6"/>
      <c r="F586" s="25"/>
      <c r="G586" s="25" t="str">
        <f>IF(A586="","",SUMIFS(Paradas_Detalhadas!$I:$I,Paradas_Detalhadas!$A:$A,A586,Paradas_Detalhadas!$B:$B,B586,Paradas_Detalhadas!$C:$C,C586,Paradas_Detalhadas!$D:$D,E586))</f>
        <v/>
      </c>
      <c r="H586" s="26" t="str">
        <f t="shared" si="45"/>
        <v/>
      </c>
      <c r="I586" s="10"/>
      <c r="J586" s="10"/>
      <c r="K586" s="10" t="str">
        <f t="shared" si="46"/>
        <v/>
      </c>
      <c r="L586" s="10" t="str">
        <f t="shared" si="47"/>
        <v/>
      </c>
      <c r="M586" s="10" t="str">
        <f t="shared" si="48"/>
        <v/>
      </c>
      <c r="N586" s="10" t="str">
        <f t="shared" si="49"/>
        <v/>
      </c>
      <c r="O586" s="6"/>
      <c r="P586" s="6"/>
    </row>
    <row r="587" spans="1:16" x14ac:dyDescent="0.3">
      <c r="A587" s="6"/>
      <c r="B587" s="7"/>
      <c r="C587" s="6"/>
      <c r="D587" s="6"/>
      <c r="E587" s="6"/>
      <c r="F587" s="25"/>
      <c r="G587" s="25" t="str">
        <f>IF(A587="","",SUMIFS(Paradas_Detalhadas!$I:$I,Paradas_Detalhadas!$A:$A,A587,Paradas_Detalhadas!$B:$B,B587,Paradas_Detalhadas!$C:$C,C587,Paradas_Detalhadas!$D:$D,E587))</f>
        <v/>
      </c>
      <c r="H587" s="26" t="str">
        <f t="shared" si="45"/>
        <v/>
      </c>
      <c r="I587" s="10"/>
      <c r="J587" s="10"/>
      <c r="K587" s="10" t="str">
        <f t="shared" si="46"/>
        <v/>
      </c>
      <c r="L587" s="10" t="str">
        <f t="shared" si="47"/>
        <v/>
      </c>
      <c r="M587" s="10" t="str">
        <f t="shared" si="48"/>
        <v/>
      </c>
      <c r="N587" s="10" t="str">
        <f t="shared" si="49"/>
        <v/>
      </c>
      <c r="O587" s="6"/>
      <c r="P587" s="6"/>
    </row>
    <row r="588" spans="1:16" x14ac:dyDescent="0.3">
      <c r="A588" s="6"/>
      <c r="B588" s="7"/>
      <c r="C588" s="6"/>
      <c r="D588" s="6"/>
      <c r="E588" s="6"/>
      <c r="F588" s="25"/>
      <c r="G588" s="25" t="str">
        <f>IF(A588="","",SUMIFS(Paradas_Detalhadas!$I:$I,Paradas_Detalhadas!$A:$A,A588,Paradas_Detalhadas!$B:$B,B588,Paradas_Detalhadas!$C:$C,C588,Paradas_Detalhadas!$D:$D,E588))</f>
        <v/>
      </c>
      <c r="H588" s="26" t="str">
        <f t="shared" si="45"/>
        <v/>
      </c>
      <c r="I588" s="10"/>
      <c r="J588" s="10"/>
      <c r="K588" s="10" t="str">
        <f t="shared" si="46"/>
        <v/>
      </c>
      <c r="L588" s="10" t="str">
        <f t="shared" si="47"/>
        <v/>
      </c>
      <c r="M588" s="10" t="str">
        <f t="shared" si="48"/>
        <v/>
      </c>
      <c r="N588" s="10" t="str">
        <f t="shared" si="49"/>
        <v/>
      </c>
      <c r="O588" s="6"/>
      <c r="P588" s="6"/>
    </row>
    <row r="589" spans="1:16" x14ac:dyDescent="0.3">
      <c r="A589" s="6"/>
      <c r="B589" s="7"/>
      <c r="C589" s="6"/>
      <c r="D589" s="6"/>
      <c r="E589" s="6"/>
      <c r="F589" s="25"/>
      <c r="G589" s="25" t="str">
        <f>IF(A589="","",SUMIFS(Paradas_Detalhadas!$I:$I,Paradas_Detalhadas!$A:$A,A589,Paradas_Detalhadas!$B:$B,B589,Paradas_Detalhadas!$C:$C,C589,Paradas_Detalhadas!$D:$D,E589))</f>
        <v/>
      </c>
      <c r="H589" s="26" t="str">
        <f t="shared" si="45"/>
        <v/>
      </c>
      <c r="I589" s="10"/>
      <c r="J589" s="10"/>
      <c r="K589" s="10" t="str">
        <f t="shared" si="46"/>
        <v/>
      </c>
      <c r="L589" s="10" t="str">
        <f t="shared" si="47"/>
        <v/>
      </c>
      <c r="M589" s="10" t="str">
        <f t="shared" si="48"/>
        <v/>
      </c>
      <c r="N589" s="10" t="str">
        <f t="shared" si="49"/>
        <v/>
      </c>
      <c r="O589" s="6"/>
      <c r="P589" s="6"/>
    </row>
    <row r="590" spans="1:16" x14ac:dyDescent="0.3">
      <c r="A590" s="6"/>
      <c r="B590" s="7"/>
      <c r="C590" s="6"/>
      <c r="D590" s="6"/>
      <c r="E590" s="6"/>
      <c r="F590" s="25"/>
      <c r="G590" s="25" t="str">
        <f>IF(A590="","",SUMIFS(Paradas_Detalhadas!$I:$I,Paradas_Detalhadas!$A:$A,A590,Paradas_Detalhadas!$B:$B,B590,Paradas_Detalhadas!$C:$C,C590,Paradas_Detalhadas!$D:$D,E590))</f>
        <v/>
      </c>
      <c r="H590" s="26" t="str">
        <f t="shared" si="45"/>
        <v/>
      </c>
      <c r="I590" s="10"/>
      <c r="J590" s="10"/>
      <c r="K590" s="10" t="str">
        <f t="shared" si="46"/>
        <v/>
      </c>
      <c r="L590" s="10" t="str">
        <f t="shared" si="47"/>
        <v/>
      </c>
      <c r="M590" s="10" t="str">
        <f t="shared" si="48"/>
        <v/>
      </c>
      <c r="N590" s="10" t="str">
        <f t="shared" si="49"/>
        <v/>
      </c>
      <c r="O590" s="6"/>
      <c r="P590" s="6"/>
    </row>
    <row r="591" spans="1:16" x14ac:dyDescent="0.3">
      <c r="A591" s="6"/>
      <c r="B591" s="7"/>
      <c r="C591" s="6"/>
      <c r="D591" s="6"/>
      <c r="E591" s="6"/>
      <c r="F591" s="25"/>
      <c r="G591" s="25" t="str">
        <f>IF(A591="","",SUMIFS(Paradas_Detalhadas!$I:$I,Paradas_Detalhadas!$A:$A,A591,Paradas_Detalhadas!$B:$B,B591,Paradas_Detalhadas!$C:$C,C591,Paradas_Detalhadas!$D:$D,E591))</f>
        <v/>
      </c>
      <c r="H591" s="26" t="str">
        <f t="shared" si="45"/>
        <v/>
      </c>
      <c r="I591" s="10"/>
      <c r="J591" s="10"/>
      <c r="K591" s="10" t="str">
        <f t="shared" si="46"/>
        <v/>
      </c>
      <c r="L591" s="10" t="str">
        <f t="shared" si="47"/>
        <v/>
      </c>
      <c r="M591" s="10" t="str">
        <f t="shared" si="48"/>
        <v/>
      </c>
      <c r="N591" s="10" t="str">
        <f t="shared" si="49"/>
        <v/>
      </c>
      <c r="O591" s="6"/>
      <c r="P591" s="6"/>
    </row>
    <row r="592" spans="1:16" x14ac:dyDescent="0.3">
      <c r="A592" s="6"/>
      <c r="B592" s="7"/>
      <c r="C592" s="6"/>
      <c r="D592" s="6"/>
      <c r="E592" s="6"/>
      <c r="F592" s="25"/>
      <c r="G592" s="25" t="str">
        <f>IF(A592="","",SUMIFS(Paradas_Detalhadas!$I:$I,Paradas_Detalhadas!$A:$A,A592,Paradas_Detalhadas!$B:$B,B592,Paradas_Detalhadas!$C:$C,C592,Paradas_Detalhadas!$D:$D,E592))</f>
        <v/>
      </c>
      <c r="H592" s="26" t="str">
        <f t="shared" si="45"/>
        <v/>
      </c>
      <c r="I592" s="10"/>
      <c r="J592" s="10"/>
      <c r="K592" s="10" t="str">
        <f t="shared" si="46"/>
        <v/>
      </c>
      <c r="L592" s="10" t="str">
        <f t="shared" si="47"/>
        <v/>
      </c>
      <c r="M592" s="10" t="str">
        <f t="shared" si="48"/>
        <v/>
      </c>
      <c r="N592" s="10" t="str">
        <f t="shared" si="49"/>
        <v/>
      </c>
      <c r="O592" s="6"/>
      <c r="P592" s="6"/>
    </row>
    <row r="593" spans="1:16" x14ac:dyDescent="0.3">
      <c r="A593" s="6"/>
      <c r="B593" s="7"/>
      <c r="C593" s="6"/>
      <c r="D593" s="6"/>
      <c r="E593" s="6"/>
      <c r="F593" s="25"/>
      <c r="G593" s="25" t="str">
        <f>IF(A593="","",SUMIFS(Paradas_Detalhadas!$I:$I,Paradas_Detalhadas!$A:$A,A593,Paradas_Detalhadas!$B:$B,B593,Paradas_Detalhadas!$C:$C,C593,Paradas_Detalhadas!$D:$D,E593))</f>
        <v/>
      </c>
      <c r="H593" s="26" t="str">
        <f t="shared" si="45"/>
        <v/>
      </c>
      <c r="I593" s="10"/>
      <c r="J593" s="10"/>
      <c r="K593" s="10" t="str">
        <f t="shared" si="46"/>
        <v/>
      </c>
      <c r="L593" s="10" t="str">
        <f t="shared" si="47"/>
        <v/>
      </c>
      <c r="M593" s="10" t="str">
        <f t="shared" si="48"/>
        <v/>
      </c>
      <c r="N593" s="10" t="str">
        <f t="shared" si="49"/>
        <v/>
      </c>
      <c r="O593" s="6"/>
      <c r="P593" s="6"/>
    </row>
    <row r="594" spans="1:16" x14ac:dyDescent="0.3">
      <c r="A594" s="6"/>
      <c r="B594" s="7"/>
      <c r="C594" s="6"/>
      <c r="D594" s="6"/>
      <c r="E594" s="6"/>
      <c r="F594" s="25"/>
      <c r="G594" s="25" t="str">
        <f>IF(A594="","",SUMIFS(Paradas_Detalhadas!$I:$I,Paradas_Detalhadas!$A:$A,A594,Paradas_Detalhadas!$B:$B,B594,Paradas_Detalhadas!$C:$C,C594,Paradas_Detalhadas!$D:$D,E594))</f>
        <v/>
      </c>
      <c r="H594" s="26" t="str">
        <f t="shared" si="45"/>
        <v/>
      </c>
      <c r="I594" s="10"/>
      <c r="J594" s="10"/>
      <c r="K594" s="10" t="str">
        <f t="shared" si="46"/>
        <v/>
      </c>
      <c r="L594" s="10" t="str">
        <f t="shared" si="47"/>
        <v/>
      </c>
      <c r="M594" s="10" t="str">
        <f t="shared" si="48"/>
        <v/>
      </c>
      <c r="N594" s="10" t="str">
        <f t="shared" si="49"/>
        <v/>
      </c>
      <c r="O594" s="6"/>
      <c r="P594" s="6"/>
    </row>
    <row r="595" spans="1:16" x14ac:dyDescent="0.3">
      <c r="A595" s="6"/>
      <c r="B595" s="7"/>
      <c r="C595" s="6"/>
      <c r="D595" s="6"/>
      <c r="E595" s="6"/>
      <c r="F595" s="25"/>
      <c r="G595" s="25" t="str">
        <f>IF(A595="","",SUMIFS(Paradas_Detalhadas!$I:$I,Paradas_Detalhadas!$A:$A,A595,Paradas_Detalhadas!$B:$B,B595,Paradas_Detalhadas!$C:$C,C595,Paradas_Detalhadas!$D:$D,E595))</f>
        <v/>
      </c>
      <c r="H595" s="26" t="str">
        <f t="shared" si="45"/>
        <v/>
      </c>
      <c r="I595" s="10"/>
      <c r="J595" s="10"/>
      <c r="K595" s="10" t="str">
        <f t="shared" si="46"/>
        <v/>
      </c>
      <c r="L595" s="10" t="str">
        <f t="shared" si="47"/>
        <v/>
      </c>
      <c r="M595" s="10" t="str">
        <f t="shared" si="48"/>
        <v/>
      </c>
      <c r="N595" s="10" t="str">
        <f t="shared" si="49"/>
        <v/>
      </c>
      <c r="O595" s="6"/>
      <c r="P595" s="6"/>
    </row>
    <row r="596" spans="1:16" x14ac:dyDescent="0.3">
      <c r="A596" s="6"/>
      <c r="B596" s="7"/>
      <c r="C596" s="6"/>
      <c r="D596" s="6"/>
      <c r="E596" s="6"/>
      <c r="F596" s="25"/>
      <c r="G596" s="25" t="str">
        <f>IF(A596="","",SUMIFS(Paradas_Detalhadas!$I:$I,Paradas_Detalhadas!$A:$A,A596,Paradas_Detalhadas!$B:$B,B596,Paradas_Detalhadas!$C:$C,C596,Paradas_Detalhadas!$D:$D,E596))</f>
        <v/>
      </c>
      <c r="H596" s="26" t="str">
        <f t="shared" si="45"/>
        <v/>
      </c>
      <c r="I596" s="10"/>
      <c r="J596" s="10"/>
      <c r="K596" s="10" t="str">
        <f t="shared" si="46"/>
        <v/>
      </c>
      <c r="L596" s="10" t="str">
        <f t="shared" si="47"/>
        <v/>
      </c>
      <c r="M596" s="10" t="str">
        <f t="shared" si="48"/>
        <v/>
      </c>
      <c r="N596" s="10" t="str">
        <f t="shared" si="49"/>
        <v/>
      </c>
      <c r="O596" s="6"/>
      <c r="P596" s="6"/>
    </row>
    <row r="597" spans="1:16" x14ac:dyDescent="0.3">
      <c r="A597" s="6"/>
      <c r="B597" s="7"/>
      <c r="C597" s="6"/>
      <c r="D597" s="6"/>
      <c r="E597" s="6"/>
      <c r="F597" s="25"/>
      <c r="G597" s="25" t="str">
        <f>IF(A597="","",SUMIFS(Paradas_Detalhadas!$I:$I,Paradas_Detalhadas!$A:$A,A597,Paradas_Detalhadas!$B:$B,B597,Paradas_Detalhadas!$C:$C,C597,Paradas_Detalhadas!$D:$D,E597))</f>
        <v/>
      </c>
      <c r="H597" s="26" t="str">
        <f t="shared" si="45"/>
        <v/>
      </c>
      <c r="I597" s="10"/>
      <c r="J597" s="10"/>
      <c r="K597" s="10" t="str">
        <f t="shared" si="46"/>
        <v/>
      </c>
      <c r="L597" s="10" t="str">
        <f t="shared" si="47"/>
        <v/>
      </c>
      <c r="M597" s="10" t="str">
        <f t="shared" si="48"/>
        <v/>
      </c>
      <c r="N597" s="10" t="str">
        <f t="shared" si="49"/>
        <v/>
      </c>
      <c r="O597" s="6"/>
      <c r="P597" s="6"/>
    </row>
    <row r="598" spans="1:16" x14ac:dyDescent="0.3">
      <c r="A598" s="6"/>
      <c r="B598" s="7"/>
      <c r="C598" s="6"/>
      <c r="D598" s="6"/>
      <c r="E598" s="6"/>
      <c r="F598" s="25"/>
      <c r="G598" s="25" t="str">
        <f>IF(A598="","",SUMIFS(Paradas_Detalhadas!$I:$I,Paradas_Detalhadas!$A:$A,A598,Paradas_Detalhadas!$B:$B,B598,Paradas_Detalhadas!$C:$C,C598,Paradas_Detalhadas!$D:$D,E598))</f>
        <v/>
      </c>
      <c r="H598" s="26" t="str">
        <f t="shared" si="45"/>
        <v/>
      </c>
      <c r="I598" s="10"/>
      <c r="J598" s="10"/>
      <c r="K598" s="10" t="str">
        <f t="shared" si="46"/>
        <v/>
      </c>
      <c r="L598" s="10" t="str">
        <f t="shared" si="47"/>
        <v/>
      </c>
      <c r="M598" s="10" t="str">
        <f t="shared" si="48"/>
        <v/>
      </c>
      <c r="N598" s="10" t="str">
        <f t="shared" si="49"/>
        <v/>
      </c>
      <c r="O598" s="6"/>
      <c r="P598" s="6"/>
    </row>
    <row r="599" spans="1:16" x14ac:dyDescent="0.3">
      <c r="A599" s="6"/>
      <c r="B599" s="7"/>
      <c r="C599" s="6"/>
      <c r="D599" s="6"/>
      <c r="E599" s="6"/>
      <c r="F599" s="25"/>
      <c r="G599" s="25" t="str">
        <f>IF(A599="","",SUMIFS(Paradas_Detalhadas!$I:$I,Paradas_Detalhadas!$A:$A,A599,Paradas_Detalhadas!$B:$B,B599,Paradas_Detalhadas!$C:$C,C599,Paradas_Detalhadas!$D:$D,E599))</f>
        <v/>
      </c>
      <c r="H599" s="26" t="str">
        <f t="shared" si="45"/>
        <v/>
      </c>
      <c r="I599" s="10"/>
      <c r="J599" s="10"/>
      <c r="K599" s="10" t="str">
        <f t="shared" si="46"/>
        <v/>
      </c>
      <c r="L599" s="10" t="str">
        <f t="shared" si="47"/>
        <v/>
      </c>
      <c r="M599" s="10" t="str">
        <f t="shared" si="48"/>
        <v/>
      </c>
      <c r="N599" s="10" t="str">
        <f t="shared" si="49"/>
        <v/>
      </c>
      <c r="O599" s="6"/>
      <c r="P599" s="6"/>
    </row>
    <row r="600" spans="1:16" x14ac:dyDescent="0.3">
      <c r="A600" s="6"/>
      <c r="B600" s="7"/>
      <c r="C600" s="6"/>
      <c r="D600" s="6"/>
      <c r="E600" s="6"/>
      <c r="F600" s="25"/>
      <c r="G600" s="25" t="str">
        <f>IF(A600="","",SUMIFS(Paradas_Detalhadas!$I:$I,Paradas_Detalhadas!$A:$A,A600,Paradas_Detalhadas!$B:$B,B600,Paradas_Detalhadas!$C:$C,C600,Paradas_Detalhadas!$D:$D,E600))</f>
        <v/>
      </c>
      <c r="H600" s="26" t="str">
        <f t="shared" si="45"/>
        <v/>
      </c>
      <c r="I600" s="10"/>
      <c r="J600" s="10"/>
      <c r="K600" s="10" t="str">
        <f t="shared" si="46"/>
        <v/>
      </c>
      <c r="L600" s="10" t="str">
        <f t="shared" si="47"/>
        <v/>
      </c>
      <c r="M600" s="10" t="str">
        <f t="shared" si="48"/>
        <v/>
      </c>
      <c r="N600" s="10" t="str">
        <f t="shared" si="49"/>
        <v/>
      </c>
      <c r="O600" s="6"/>
      <c r="P600" s="6"/>
    </row>
    <row r="601" spans="1:16" x14ac:dyDescent="0.3">
      <c r="A601" s="6"/>
      <c r="B601" s="7"/>
      <c r="C601" s="6"/>
      <c r="D601" s="6"/>
      <c r="E601" s="6"/>
      <c r="F601" s="25"/>
      <c r="G601" s="25" t="str">
        <f>IF(A601="","",SUMIFS(Paradas_Detalhadas!$I:$I,Paradas_Detalhadas!$A:$A,A601,Paradas_Detalhadas!$B:$B,B601,Paradas_Detalhadas!$C:$C,C601,Paradas_Detalhadas!$D:$D,E601))</f>
        <v/>
      </c>
      <c r="H601" s="26" t="str">
        <f t="shared" si="45"/>
        <v/>
      </c>
      <c r="I601" s="10"/>
      <c r="J601" s="10"/>
      <c r="K601" s="10" t="str">
        <f t="shared" si="46"/>
        <v/>
      </c>
      <c r="L601" s="10" t="str">
        <f t="shared" si="47"/>
        <v/>
      </c>
      <c r="M601" s="10" t="str">
        <f t="shared" si="48"/>
        <v/>
      </c>
      <c r="N601" s="10" t="str">
        <f t="shared" si="49"/>
        <v/>
      </c>
      <c r="O601" s="6"/>
      <c r="P601" s="6"/>
    </row>
    <row r="602" spans="1:16" x14ac:dyDescent="0.3">
      <c r="A602" s="6"/>
      <c r="B602" s="7"/>
      <c r="C602" s="6"/>
      <c r="D602" s="6"/>
      <c r="E602" s="6"/>
      <c r="F602" s="25"/>
      <c r="G602" s="25" t="str">
        <f>IF(A602="","",SUMIFS(Paradas_Detalhadas!$I:$I,Paradas_Detalhadas!$A:$A,A602,Paradas_Detalhadas!$B:$B,B602,Paradas_Detalhadas!$C:$C,C602,Paradas_Detalhadas!$D:$D,E602))</f>
        <v/>
      </c>
      <c r="H602" s="26" t="str">
        <f t="shared" si="45"/>
        <v/>
      </c>
      <c r="I602" s="10"/>
      <c r="J602" s="10"/>
      <c r="K602" s="10" t="str">
        <f t="shared" si="46"/>
        <v/>
      </c>
      <c r="L602" s="10" t="str">
        <f t="shared" si="47"/>
        <v/>
      </c>
      <c r="M602" s="10" t="str">
        <f t="shared" si="48"/>
        <v/>
      </c>
      <c r="N602" s="10" t="str">
        <f t="shared" si="49"/>
        <v/>
      </c>
      <c r="O602" s="6"/>
      <c r="P602" s="6"/>
    </row>
    <row r="603" spans="1:16" x14ac:dyDescent="0.3">
      <c r="A603" s="6"/>
      <c r="B603" s="7"/>
      <c r="C603" s="6"/>
      <c r="D603" s="6"/>
      <c r="E603" s="6"/>
      <c r="F603" s="25"/>
      <c r="G603" s="25" t="str">
        <f>IF(A603="","",SUMIFS(Paradas_Detalhadas!$I:$I,Paradas_Detalhadas!$A:$A,A603,Paradas_Detalhadas!$B:$B,B603,Paradas_Detalhadas!$C:$C,C603,Paradas_Detalhadas!$D:$D,E603))</f>
        <v/>
      </c>
      <c r="H603" s="26" t="str">
        <f t="shared" si="45"/>
        <v/>
      </c>
      <c r="I603" s="10"/>
      <c r="J603" s="10"/>
      <c r="K603" s="10" t="str">
        <f t="shared" si="46"/>
        <v/>
      </c>
      <c r="L603" s="10" t="str">
        <f t="shared" si="47"/>
        <v/>
      </c>
      <c r="M603" s="10" t="str">
        <f t="shared" si="48"/>
        <v/>
      </c>
      <c r="N603" s="10" t="str">
        <f t="shared" si="49"/>
        <v/>
      </c>
      <c r="O603" s="6"/>
      <c r="P603" s="6"/>
    </row>
    <row r="604" spans="1:16" x14ac:dyDescent="0.3">
      <c r="A604" s="6"/>
      <c r="B604" s="7"/>
      <c r="C604" s="6"/>
      <c r="D604" s="6"/>
      <c r="E604" s="6"/>
      <c r="F604" s="25"/>
      <c r="G604" s="25" t="str">
        <f>IF(A604="","",SUMIFS(Paradas_Detalhadas!$I:$I,Paradas_Detalhadas!$A:$A,A604,Paradas_Detalhadas!$B:$B,B604,Paradas_Detalhadas!$C:$C,C604,Paradas_Detalhadas!$D:$D,E604))</f>
        <v/>
      </c>
      <c r="H604" s="26" t="str">
        <f t="shared" si="45"/>
        <v/>
      </c>
      <c r="I604" s="10"/>
      <c r="J604" s="10"/>
      <c r="K604" s="10" t="str">
        <f t="shared" si="46"/>
        <v/>
      </c>
      <c r="L604" s="10" t="str">
        <f t="shared" si="47"/>
        <v/>
      </c>
      <c r="M604" s="10" t="str">
        <f t="shared" si="48"/>
        <v/>
      </c>
      <c r="N604" s="10" t="str">
        <f t="shared" si="49"/>
        <v/>
      </c>
      <c r="O604" s="6"/>
      <c r="P604" s="6"/>
    </row>
    <row r="605" spans="1:16" x14ac:dyDescent="0.3">
      <c r="A605" s="6"/>
      <c r="B605" s="7"/>
      <c r="C605" s="6"/>
      <c r="D605" s="6"/>
      <c r="E605" s="6"/>
      <c r="F605" s="25"/>
      <c r="G605" s="25" t="str">
        <f>IF(A605="","",SUMIFS(Paradas_Detalhadas!$I:$I,Paradas_Detalhadas!$A:$A,A605,Paradas_Detalhadas!$B:$B,B605,Paradas_Detalhadas!$C:$C,C605,Paradas_Detalhadas!$D:$D,E605))</f>
        <v/>
      </c>
      <c r="H605" s="26" t="str">
        <f t="shared" si="45"/>
        <v/>
      </c>
      <c r="I605" s="10"/>
      <c r="J605" s="10"/>
      <c r="K605" s="10" t="str">
        <f t="shared" si="46"/>
        <v/>
      </c>
      <c r="L605" s="10" t="str">
        <f t="shared" si="47"/>
        <v/>
      </c>
      <c r="M605" s="10" t="str">
        <f t="shared" si="48"/>
        <v/>
      </c>
      <c r="N605" s="10" t="str">
        <f t="shared" si="49"/>
        <v/>
      </c>
      <c r="O605" s="6"/>
      <c r="P605" s="6"/>
    </row>
    <row r="606" spans="1:16" x14ac:dyDescent="0.3">
      <c r="A606" s="6"/>
      <c r="B606" s="7"/>
      <c r="C606" s="6"/>
      <c r="D606" s="6"/>
      <c r="E606" s="6"/>
      <c r="F606" s="25"/>
      <c r="G606" s="25" t="str">
        <f>IF(A606="","",SUMIFS(Paradas_Detalhadas!$I:$I,Paradas_Detalhadas!$A:$A,A606,Paradas_Detalhadas!$B:$B,B606,Paradas_Detalhadas!$C:$C,C606,Paradas_Detalhadas!$D:$D,E606))</f>
        <v/>
      </c>
      <c r="H606" s="26" t="str">
        <f t="shared" si="45"/>
        <v/>
      </c>
      <c r="I606" s="10"/>
      <c r="J606" s="10"/>
      <c r="K606" s="10" t="str">
        <f t="shared" si="46"/>
        <v/>
      </c>
      <c r="L606" s="10" t="str">
        <f t="shared" si="47"/>
        <v/>
      </c>
      <c r="M606" s="10" t="str">
        <f t="shared" si="48"/>
        <v/>
      </c>
      <c r="N606" s="10" t="str">
        <f t="shared" si="49"/>
        <v/>
      </c>
      <c r="O606" s="6"/>
      <c r="P606" s="6"/>
    </row>
    <row r="607" spans="1:16" x14ac:dyDescent="0.3">
      <c r="A607" s="6"/>
      <c r="B607" s="7"/>
      <c r="C607" s="6"/>
      <c r="D607" s="6"/>
      <c r="E607" s="6"/>
      <c r="F607" s="25"/>
      <c r="G607" s="25" t="str">
        <f>IF(A607="","",SUMIFS(Paradas_Detalhadas!$I:$I,Paradas_Detalhadas!$A:$A,A607,Paradas_Detalhadas!$B:$B,B607,Paradas_Detalhadas!$C:$C,C607,Paradas_Detalhadas!$D:$D,E607))</f>
        <v/>
      </c>
      <c r="H607" s="26" t="str">
        <f t="shared" si="45"/>
        <v/>
      </c>
      <c r="I607" s="10"/>
      <c r="J607" s="10"/>
      <c r="K607" s="10" t="str">
        <f t="shared" si="46"/>
        <v/>
      </c>
      <c r="L607" s="10" t="str">
        <f t="shared" si="47"/>
        <v/>
      </c>
      <c r="M607" s="10" t="str">
        <f t="shared" si="48"/>
        <v/>
      </c>
      <c r="N607" s="10" t="str">
        <f t="shared" si="49"/>
        <v/>
      </c>
      <c r="O607" s="6"/>
      <c r="P607" s="6"/>
    </row>
    <row r="608" spans="1:16" x14ac:dyDescent="0.3">
      <c r="A608" s="6"/>
      <c r="B608" s="7"/>
      <c r="C608" s="6"/>
      <c r="D608" s="6"/>
      <c r="E608" s="6"/>
      <c r="F608" s="25"/>
      <c r="G608" s="25" t="str">
        <f>IF(A608="","",SUMIFS(Paradas_Detalhadas!$I:$I,Paradas_Detalhadas!$A:$A,A608,Paradas_Detalhadas!$B:$B,B608,Paradas_Detalhadas!$C:$C,C608,Paradas_Detalhadas!$D:$D,E608))</f>
        <v/>
      </c>
      <c r="H608" s="26" t="str">
        <f t="shared" si="45"/>
        <v/>
      </c>
      <c r="I608" s="10"/>
      <c r="J608" s="10"/>
      <c r="K608" s="10" t="str">
        <f t="shared" si="46"/>
        <v/>
      </c>
      <c r="L608" s="10" t="str">
        <f t="shared" si="47"/>
        <v/>
      </c>
      <c r="M608" s="10" t="str">
        <f t="shared" si="48"/>
        <v/>
      </c>
      <c r="N608" s="10" t="str">
        <f t="shared" si="49"/>
        <v/>
      </c>
      <c r="O608" s="6"/>
      <c r="P608" s="6"/>
    </row>
    <row r="609" spans="1:16" x14ac:dyDescent="0.3">
      <c r="A609" s="6"/>
      <c r="B609" s="7"/>
      <c r="C609" s="6"/>
      <c r="D609" s="6"/>
      <c r="E609" s="6"/>
      <c r="F609" s="25"/>
      <c r="G609" s="25" t="str">
        <f>IF(A609="","",SUMIFS(Paradas_Detalhadas!$I:$I,Paradas_Detalhadas!$A:$A,A609,Paradas_Detalhadas!$B:$B,B609,Paradas_Detalhadas!$C:$C,C609,Paradas_Detalhadas!$D:$D,E609))</f>
        <v/>
      </c>
      <c r="H609" s="26" t="str">
        <f t="shared" si="45"/>
        <v/>
      </c>
      <c r="I609" s="10"/>
      <c r="J609" s="10"/>
      <c r="K609" s="10" t="str">
        <f t="shared" si="46"/>
        <v/>
      </c>
      <c r="L609" s="10" t="str">
        <f t="shared" si="47"/>
        <v/>
      </c>
      <c r="M609" s="10" t="str">
        <f t="shared" si="48"/>
        <v/>
      </c>
      <c r="N609" s="10" t="str">
        <f t="shared" si="49"/>
        <v/>
      </c>
      <c r="O609" s="6"/>
      <c r="P609" s="6"/>
    </row>
    <row r="610" spans="1:16" x14ac:dyDescent="0.3">
      <c r="A610" s="6"/>
      <c r="B610" s="7"/>
      <c r="C610" s="6"/>
      <c r="D610" s="6"/>
      <c r="E610" s="6"/>
      <c r="F610" s="25"/>
      <c r="G610" s="25" t="str">
        <f>IF(A610="","",SUMIFS(Paradas_Detalhadas!$I:$I,Paradas_Detalhadas!$A:$A,A610,Paradas_Detalhadas!$B:$B,B610,Paradas_Detalhadas!$C:$C,C610,Paradas_Detalhadas!$D:$D,E610))</f>
        <v/>
      </c>
      <c r="H610" s="26" t="str">
        <f t="shared" si="45"/>
        <v/>
      </c>
      <c r="I610" s="10"/>
      <c r="J610" s="10"/>
      <c r="K610" s="10" t="str">
        <f t="shared" si="46"/>
        <v/>
      </c>
      <c r="L610" s="10" t="str">
        <f t="shared" si="47"/>
        <v/>
      </c>
      <c r="M610" s="10" t="str">
        <f t="shared" si="48"/>
        <v/>
      </c>
      <c r="N610" s="10" t="str">
        <f t="shared" si="49"/>
        <v/>
      </c>
      <c r="O610" s="6"/>
      <c r="P610" s="6"/>
    </row>
    <row r="611" spans="1:16" x14ac:dyDescent="0.3">
      <c r="A611" s="6"/>
      <c r="B611" s="7"/>
      <c r="C611" s="6"/>
      <c r="D611" s="6"/>
      <c r="E611" s="6"/>
      <c r="F611" s="25"/>
      <c r="G611" s="25" t="str">
        <f>IF(A611="","",SUMIFS(Paradas_Detalhadas!$I:$I,Paradas_Detalhadas!$A:$A,A611,Paradas_Detalhadas!$B:$B,B611,Paradas_Detalhadas!$C:$C,C611,Paradas_Detalhadas!$D:$D,E611))</f>
        <v/>
      </c>
      <c r="H611" s="26" t="str">
        <f t="shared" si="45"/>
        <v/>
      </c>
      <c r="I611" s="10"/>
      <c r="J611" s="10"/>
      <c r="K611" s="10" t="str">
        <f t="shared" si="46"/>
        <v/>
      </c>
      <c r="L611" s="10" t="str">
        <f t="shared" si="47"/>
        <v/>
      </c>
      <c r="M611" s="10" t="str">
        <f t="shared" si="48"/>
        <v/>
      </c>
      <c r="N611" s="10" t="str">
        <f t="shared" si="49"/>
        <v/>
      </c>
      <c r="O611" s="6"/>
      <c r="P611" s="6"/>
    </row>
    <row r="612" spans="1:16" x14ac:dyDescent="0.3">
      <c r="A612" s="6"/>
      <c r="B612" s="7"/>
      <c r="C612" s="6"/>
      <c r="D612" s="6"/>
      <c r="E612" s="6"/>
      <c r="F612" s="25"/>
      <c r="G612" s="25" t="str">
        <f>IF(A612="","",SUMIFS(Paradas_Detalhadas!$I:$I,Paradas_Detalhadas!$A:$A,A612,Paradas_Detalhadas!$B:$B,B612,Paradas_Detalhadas!$C:$C,C612,Paradas_Detalhadas!$D:$D,E612))</f>
        <v/>
      </c>
      <c r="H612" s="26" t="str">
        <f t="shared" si="45"/>
        <v/>
      </c>
      <c r="I612" s="10"/>
      <c r="J612" s="10"/>
      <c r="K612" s="10" t="str">
        <f t="shared" si="46"/>
        <v/>
      </c>
      <c r="L612" s="10" t="str">
        <f t="shared" si="47"/>
        <v/>
      </c>
      <c r="M612" s="10" t="str">
        <f t="shared" si="48"/>
        <v/>
      </c>
      <c r="N612" s="10" t="str">
        <f t="shared" si="49"/>
        <v/>
      </c>
      <c r="O612" s="6"/>
      <c r="P612" s="6"/>
    </row>
    <row r="613" spans="1:16" x14ac:dyDescent="0.3">
      <c r="A613" s="6"/>
      <c r="B613" s="7"/>
      <c r="C613" s="6"/>
      <c r="D613" s="6"/>
      <c r="E613" s="6"/>
      <c r="F613" s="25"/>
      <c r="G613" s="25" t="str">
        <f>IF(A613="","",SUMIFS(Paradas_Detalhadas!$I:$I,Paradas_Detalhadas!$A:$A,A613,Paradas_Detalhadas!$B:$B,B613,Paradas_Detalhadas!$C:$C,C613,Paradas_Detalhadas!$D:$D,E613))</f>
        <v/>
      </c>
      <c r="H613" s="26" t="str">
        <f t="shared" si="45"/>
        <v/>
      </c>
      <c r="I613" s="10"/>
      <c r="J613" s="10"/>
      <c r="K613" s="10" t="str">
        <f t="shared" si="46"/>
        <v/>
      </c>
      <c r="L613" s="10" t="str">
        <f t="shared" si="47"/>
        <v/>
      </c>
      <c r="M613" s="10" t="str">
        <f t="shared" si="48"/>
        <v/>
      </c>
      <c r="N613" s="10" t="str">
        <f t="shared" si="49"/>
        <v/>
      </c>
      <c r="O613" s="6"/>
      <c r="P613" s="6"/>
    </row>
    <row r="614" spans="1:16" x14ac:dyDescent="0.3">
      <c r="A614" s="6"/>
      <c r="B614" s="7"/>
      <c r="C614" s="6"/>
      <c r="D614" s="6"/>
      <c r="E614" s="6"/>
      <c r="F614" s="25"/>
      <c r="G614" s="25" t="str">
        <f>IF(A614="","",SUMIFS(Paradas_Detalhadas!$I:$I,Paradas_Detalhadas!$A:$A,A614,Paradas_Detalhadas!$B:$B,B614,Paradas_Detalhadas!$C:$C,C614,Paradas_Detalhadas!$D:$D,E614))</f>
        <v/>
      </c>
      <c r="H614" s="26" t="str">
        <f t="shared" si="45"/>
        <v/>
      </c>
      <c r="I614" s="10"/>
      <c r="J614" s="10"/>
      <c r="K614" s="10" t="str">
        <f t="shared" si="46"/>
        <v/>
      </c>
      <c r="L614" s="10" t="str">
        <f t="shared" si="47"/>
        <v/>
      </c>
      <c r="M614" s="10" t="str">
        <f t="shared" si="48"/>
        <v/>
      </c>
      <c r="N614" s="10" t="str">
        <f t="shared" si="49"/>
        <v/>
      </c>
      <c r="O614" s="6"/>
      <c r="P614" s="6"/>
    </row>
    <row r="615" spans="1:16" x14ac:dyDescent="0.3">
      <c r="A615" s="6"/>
      <c r="B615" s="7"/>
      <c r="C615" s="6"/>
      <c r="D615" s="6"/>
      <c r="E615" s="6"/>
      <c r="F615" s="25"/>
      <c r="G615" s="25" t="str">
        <f>IF(A615="","",SUMIFS(Paradas_Detalhadas!$I:$I,Paradas_Detalhadas!$A:$A,A615,Paradas_Detalhadas!$B:$B,B615,Paradas_Detalhadas!$C:$C,C615,Paradas_Detalhadas!$D:$D,E615))</f>
        <v/>
      </c>
      <c r="H615" s="26" t="str">
        <f t="shared" si="45"/>
        <v/>
      </c>
      <c r="I615" s="10"/>
      <c r="J615" s="10"/>
      <c r="K615" s="10" t="str">
        <f t="shared" si="46"/>
        <v/>
      </c>
      <c r="L615" s="10" t="str">
        <f t="shared" si="47"/>
        <v/>
      </c>
      <c r="M615" s="10" t="str">
        <f t="shared" si="48"/>
        <v/>
      </c>
      <c r="N615" s="10" t="str">
        <f t="shared" si="49"/>
        <v/>
      </c>
      <c r="O615" s="6"/>
      <c r="P615" s="6"/>
    </row>
    <row r="616" spans="1:16" x14ac:dyDescent="0.3">
      <c r="A616" s="6"/>
      <c r="B616" s="7"/>
      <c r="C616" s="6"/>
      <c r="D616" s="6"/>
      <c r="E616" s="6"/>
      <c r="F616" s="25"/>
      <c r="G616" s="25" t="str">
        <f>IF(A616="","",SUMIFS(Paradas_Detalhadas!$I:$I,Paradas_Detalhadas!$A:$A,A616,Paradas_Detalhadas!$B:$B,B616,Paradas_Detalhadas!$C:$C,C616,Paradas_Detalhadas!$D:$D,E616))</f>
        <v/>
      </c>
      <c r="H616" s="26" t="str">
        <f t="shared" si="45"/>
        <v/>
      </c>
      <c r="I616" s="10"/>
      <c r="J616" s="10"/>
      <c r="K616" s="10" t="str">
        <f t="shared" si="46"/>
        <v/>
      </c>
      <c r="L616" s="10" t="str">
        <f t="shared" si="47"/>
        <v/>
      </c>
      <c r="M616" s="10" t="str">
        <f t="shared" si="48"/>
        <v/>
      </c>
      <c r="N616" s="10" t="str">
        <f t="shared" si="49"/>
        <v/>
      </c>
      <c r="O616" s="6"/>
      <c r="P616" s="6"/>
    </row>
    <row r="617" spans="1:16" x14ac:dyDescent="0.3">
      <c r="A617" s="6"/>
      <c r="B617" s="7"/>
      <c r="C617" s="6"/>
      <c r="D617" s="6"/>
      <c r="E617" s="6"/>
      <c r="F617" s="25"/>
      <c r="G617" s="25" t="str">
        <f>IF(A617="","",SUMIFS(Paradas_Detalhadas!$I:$I,Paradas_Detalhadas!$A:$A,A617,Paradas_Detalhadas!$B:$B,B617,Paradas_Detalhadas!$C:$C,C617,Paradas_Detalhadas!$D:$D,E617))</f>
        <v/>
      </c>
      <c r="H617" s="26" t="str">
        <f t="shared" si="45"/>
        <v/>
      </c>
      <c r="I617" s="10"/>
      <c r="J617" s="10"/>
      <c r="K617" s="10" t="str">
        <f t="shared" si="46"/>
        <v/>
      </c>
      <c r="L617" s="10" t="str">
        <f t="shared" si="47"/>
        <v/>
      </c>
      <c r="M617" s="10" t="str">
        <f t="shared" si="48"/>
        <v/>
      </c>
      <c r="N617" s="10" t="str">
        <f t="shared" si="49"/>
        <v/>
      </c>
      <c r="O617" s="6"/>
      <c r="P617" s="6"/>
    </row>
    <row r="618" spans="1:16" x14ac:dyDescent="0.3">
      <c r="A618" s="6"/>
      <c r="B618" s="7"/>
      <c r="C618" s="6"/>
      <c r="D618" s="6"/>
      <c r="E618" s="6"/>
      <c r="F618" s="25"/>
      <c r="G618" s="25" t="str">
        <f>IF(A618="","",SUMIFS(Paradas_Detalhadas!$I:$I,Paradas_Detalhadas!$A:$A,A618,Paradas_Detalhadas!$B:$B,B618,Paradas_Detalhadas!$C:$C,C618,Paradas_Detalhadas!$D:$D,E618))</f>
        <v/>
      </c>
      <c r="H618" s="26" t="str">
        <f t="shared" si="45"/>
        <v/>
      </c>
      <c r="I618" s="10"/>
      <c r="J618" s="10"/>
      <c r="K618" s="10" t="str">
        <f t="shared" si="46"/>
        <v/>
      </c>
      <c r="L618" s="10" t="str">
        <f t="shared" si="47"/>
        <v/>
      </c>
      <c r="M618" s="10" t="str">
        <f t="shared" si="48"/>
        <v/>
      </c>
      <c r="N618" s="10" t="str">
        <f t="shared" si="49"/>
        <v/>
      </c>
      <c r="O618" s="6"/>
      <c r="P618" s="6"/>
    </row>
    <row r="619" spans="1:16" x14ac:dyDescent="0.3">
      <c r="A619" s="6"/>
      <c r="B619" s="7"/>
      <c r="C619" s="6"/>
      <c r="D619" s="6"/>
      <c r="E619" s="6"/>
      <c r="F619" s="25"/>
      <c r="G619" s="25" t="str">
        <f>IF(A619="","",SUMIFS(Paradas_Detalhadas!$I:$I,Paradas_Detalhadas!$A:$A,A619,Paradas_Detalhadas!$B:$B,B619,Paradas_Detalhadas!$C:$C,C619,Paradas_Detalhadas!$D:$D,E619))</f>
        <v/>
      </c>
      <c r="H619" s="26" t="str">
        <f t="shared" si="45"/>
        <v/>
      </c>
      <c r="I619" s="10"/>
      <c r="J619" s="10"/>
      <c r="K619" s="10" t="str">
        <f t="shared" si="46"/>
        <v/>
      </c>
      <c r="L619" s="10" t="str">
        <f t="shared" si="47"/>
        <v/>
      </c>
      <c r="M619" s="10" t="str">
        <f t="shared" si="48"/>
        <v/>
      </c>
      <c r="N619" s="10" t="str">
        <f t="shared" si="49"/>
        <v/>
      </c>
      <c r="O619" s="6"/>
      <c r="P619" s="6"/>
    </row>
    <row r="620" spans="1:16" x14ac:dyDescent="0.3">
      <c r="A620" s="6"/>
      <c r="B620" s="7"/>
      <c r="C620" s="6"/>
      <c r="D620" s="6"/>
      <c r="E620" s="6"/>
      <c r="F620" s="25"/>
      <c r="G620" s="25" t="str">
        <f>IF(A620="","",SUMIFS(Paradas_Detalhadas!$I:$I,Paradas_Detalhadas!$A:$A,A620,Paradas_Detalhadas!$B:$B,B620,Paradas_Detalhadas!$C:$C,C620,Paradas_Detalhadas!$D:$D,E620))</f>
        <v/>
      </c>
      <c r="H620" s="26" t="str">
        <f t="shared" si="45"/>
        <v/>
      </c>
      <c r="I620" s="10"/>
      <c r="J620" s="10"/>
      <c r="K620" s="10" t="str">
        <f t="shared" si="46"/>
        <v/>
      </c>
      <c r="L620" s="10" t="str">
        <f t="shared" si="47"/>
        <v/>
      </c>
      <c r="M620" s="10" t="str">
        <f t="shared" si="48"/>
        <v/>
      </c>
      <c r="N620" s="10" t="str">
        <f t="shared" si="49"/>
        <v/>
      </c>
      <c r="O620" s="6"/>
      <c r="P620" s="6"/>
    </row>
    <row r="621" spans="1:16" x14ac:dyDescent="0.3">
      <c r="A621" s="6"/>
      <c r="B621" s="7"/>
      <c r="C621" s="6"/>
      <c r="D621" s="6"/>
      <c r="E621" s="6"/>
      <c r="F621" s="25"/>
      <c r="G621" s="25" t="str">
        <f>IF(A621="","",SUMIFS(Paradas_Detalhadas!$I:$I,Paradas_Detalhadas!$A:$A,A621,Paradas_Detalhadas!$B:$B,B621,Paradas_Detalhadas!$C:$C,C621,Paradas_Detalhadas!$D:$D,E621))</f>
        <v/>
      </c>
      <c r="H621" s="26" t="str">
        <f t="shared" si="45"/>
        <v/>
      </c>
      <c r="I621" s="10"/>
      <c r="J621" s="10"/>
      <c r="K621" s="10" t="str">
        <f t="shared" si="46"/>
        <v/>
      </c>
      <c r="L621" s="10" t="str">
        <f t="shared" si="47"/>
        <v/>
      </c>
      <c r="M621" s="10" t="str">
        <f t="shared" si="48"/>
        <v/>
      </c>
      <c r="N621" s="10" t="str">
        <f t="shared" si="49"/>
        <v/>
      </c>
      <c r="O621" s="6"/>
      <c r="P621" s="6"/>
    </row>
    <row r="622" spans="1:16" x14ac:dyDescent="0.3">
      <c r="A622" s="6"/>
      <c r="B622" s="7"/>
      <c r="C622" s="6"/>
      <c r="D622" s="6"/>
      <c r="E622" s="6"/>
      <c r="F622" s="25"/>
      <c r="G622" s="25" t="str">
        <f>IF(A622="","",SUMIFS(Paradas_Detalhadas!$I:$I,Paradas_Detalhadas!$A:$A,A622,Paradas_Detalhadas!$B:$B,B622,Paradas_Detalhadas!$C:$C,C622,Paradas_Detalhadas!$D:$D,E622))</f>
        <v/>
      </c>
      <c r="H622" s="26" t="str">
        <f t="shared" ref="H622:H685" si="50">IF(OR(F622="",G622=""),"",MAX(F622-G622,0))</f>
        <v/>
      </c>
      <c r="I622" s="10"/>
      <c r="J622" s="10"/>
      <c r="K622" s="10" t="str">
        <f t="shared" ref="K622:K685" si="51">IF(AND(I622="",J622=""),"",SUM(I622:J622))</f>
        <v/>
      </c>
      <c r="L622" s="10" t="str">
        <f t="shared" ref="L622:L685" si="52">IFERROR(K622/H622,"")</f>
        <v/>
      </c>
      <c r="M622" s="10" t="str">
        <f t="shared" ref="M622:M685" si="53">IFERROR(I622/H622,"")</f>
        <v/>
      </c>
      <c r="N622" s="10" t="str">
        <f t="shared" ref="N622:N685" si="54">IFERROR(J622/H622,"")</f>
        <v/>
      </c>
      <c r="O622" s="6"/>
      <c r="P622" s="6"/>
    </row>
    <row r="623" spans="1:16" x14ac:dyDescent="0.3">
      <c r="A623" s="6"/>
      <c r="B623" s="7"/>
      <c r="C623" s="6"/>
      <c r="D623" s="6"/>
      <c r="E623" s="6"/>
      <c r="F623" s="25"/>
      <c r="G623" s="25" t="str">
        <f>IF(A623="","",SUMIFS(Paradas_Detalhadas!$I:$I,Paradas_Detalhadas!$A:$A,A623,Paradas_Detalhadas!$B:$B,B623,Paradas_Detalhadas!$C:$C,C623,Paradas_Detalhadas!$D:$D,E623))</f>
        <v/>
      </c>
      <c r="H623" s="26" t="str">
        <f t="shared" si="50"/>
        <v/>
      </c>
      <c r="I623" s="10"/>
      <c r="J623" s="10"/>
      <c r="K623" s="10" t="str">
        <f t="shared" si="51"/>
        <v/>
      </c>
      <c r="L623" s="10" t="str">
        <f t="shared" si="52"/>
        <v/>
      </c>
      <c r="M623" s="10" t="str">
        <f t="shared" si="53"/>
        <v/>
      </c>
      <c r="N623" s="10" t="str">
        <f t="shared" si="54"/>
        <v/>
      </c>
      <c r="O623" s="6"/>
      <c r="P623" s="6"/>
    </row>
    <row r="624" spans="1:16" x14ac:dyDescent="0.3">
      <c r="A624" s="6"/>
      <c r="B624" s="7"/>
      <c r="C624" s="6"/>
      <c r="D624" s="6"/>
      <c r="E624" s="6"/>
      <c r="F624" s="25"/>
      <c r="G624" s="25" t="str">
        <f>IF(A624="","",SUMIFS(Paradas_Detalhadas!$I:$I,Paradas_Detalhadas!$A:$A,A624,Paradas_Detalhadas!$B:$B,B624,Paradas_Detalhadas!$C:$C,C624,Paradas_Detalhadas!$D:$D,E624))</f>
        <v/>
      </c>
      <c r="H624" s="26" t="str">
        <f t="shared" si="50"/>
        <v/>
      </c>
      <c r="I624" s="10"/>
      <c r="J624" s="10"/>
      <c r="K624" s="10" t="str">
        <f t="shared" si="51"/>
        <v/>
      </c>
      <c r="L624" s="10" t="str">
        <f t="shared" si="52"/>
        <v/>
      </c>
      <c r="M624" s="10" t="str">
        <f t="shared" si="53"/>
        <v/>
      </c>
      <c r="N624" s="10" t="str">
        <f t="shared" si="54"/>
        <v/>
      </c>
      <c r="O624" s="6"/>
      <c r="P624" s="6"/>
    </row>
    <row r="625" spans="1:16" x14ac:dyDescent="0.3">
      <c r="A625" s="6"/>
      <c r="B625" s="7"/>
      <c r="C625" s="6"/>
      <c r="D625" s="6"/>
      <c r="E625" s="6"/>
      <c r="F625" s="25"/>
      <c r="G625" s="25" t="str">
        <f>IF(A625="","",SUMIFS(Paradas_Detalhadas!$I:$I,Paradas_Detalhadas!$A:$A,A625,Paradas_Detalhadas!$B:$B,B625,Paradas_Detalhadas!$C:$C,C625,Paradas_Detalhadas!$D:$D,E625))</f>
        <v/>
      </c>
      <c r="H625" s="26" t="str">
        <f t="shared" si="50"/>
        <v/>
      </c>
      <c r="I625" s="10"/>
      <c r="J625" s="10"/>
      <c r="K625" s="10" t="str">
        <f t="shared" si="51"/>
        <v/>
      </c>
      <c r="L625" s="10" t="str">
        <f t="shared" si="52"/>
        <v/>
      </c>
      <c r="M625" s="10" t="str">
        <f t="shared" si="53"/>
        <v/>
      </c>
      <c r="N625" s="10" t="str">
        <f t="shared" si="54"/>
        <v/>
      </c>
      <c r="O625" s="6"/>
      <c r="P625" s="6"/>
    </row>
    <row r="626" spans="1:16" x14ac:dyDescent="0.3">
      <c r="A626" s="6"/>
      <c r="B626" s="7"/>
      <c r="C626" s="6"/>
      <c r="D626" s="6"/>
      <c r="E626" s="6"/>
      <c r="F626" s="25"/>
      <c r="G626" s="25" t="str">
        <f>IF(A626="","",SUMIFS(Paradas_Detalhadas!$I:$I,Paradas_Detalhadas!$A:$A,A626,Paradas_Detalhadas!$B:$B,B626,Paradas_Detalhadas!$C:$C,C626,Paradas_Detalhadas!$D:$D,E626))</f>
        <v/>
      </c>
      <c r="H626" s="26" t="str">
        <f t="shared" si="50"/>
        <v/>
      </c>
      <c r="I626" s="10"/>
      <c r="J626" s="10"/>
      <c r="K626" s="10" t="str">
        <f t="shared" si="51"/>
        <v/>
      </c>
      <c r="L626" s="10" t="str">
        <f t="shared" si="52"/>
        <v/>
      </c>
      <c r="M626" s="10" t="str">
        <f t="shared" si="53"/>
        <v/>
      </c>
      <c r="N626" s="10" t="str">
        <f t="shared" si="54"/>
        <v/>
      </c>
      <c r="O626" s="6"/>
      <c r="P626" s="6"/>
    </row>
    <row r="627" spans="1:16" x14ac:dyDescent="0.3">
      <c r="A627" s="6"/>
      <c r="B627" s="7"/>
      <c r="C627" s="6"/>
      <c r="D627" s="6"/>
      <c r="E627" s="6"/>
      <c r="F627" s="25"/>
      <c r="G627" s="25" t="str">
        <f>IF(A627="","",SUMIFS(Paradas_Detalhadas!$I:$I,Paradas_Detalhadas!$A:$A,A627,Paradas_Detalhadas!$B:$B,B627,Paradas_Detalhadas!$C:$C,C627,Paradas_Detalhadas!$D:$D,E627))</f>
        <v/>
      </c>
      <c r="H627" s="26" t="str">
        <f t="shared" si="50"/>
        <v/>
      </c>
      <c r="I627" s="10"/>
      <c r="J627" s="10"/>
      <c r="K627" s="10" t="str">
        <f t="shared" si="51"/>
        <v/>
      </c>
      <c r="L627" s="10" t="str">
        <f t="shared" si="52"/>
        <v/>
      </c>
      <c r="M627" s="10" t="str">
        <f t="shared" si="53"/>
        <v/>
      </c>
      <c r="N627" s="10" t="str">
        <f t="shared" si="54"/>
        <v/>
      </c>
      <c r="O627" s="6"/>
      <c r="P627" s="6"/>
    </row>
    <row r="628" spans="1:16" x14ac:dyDescent="0.3">
      <c r="A628" s="6"/>
      <c r="B628" s="7"/>
      <c r="C628" s="6"/>
      <c r="D628" s="6"/>
      <c r="E628" s="6"/>
      <c r="F628" s="25"/>
      <c r="G628" s="25" t="str">
        <f>IF(A628="","",SUMIFS(Paradas_Detalhadas!$I:$I,Paradas_Detalhadas!$A:$A,A628,Paradas_Detalhadas!$B:$B,B628,Paradas_Detalhadas!$C:$C,C628,Paradas_Detalhadas!$D:$D,E628))</f>
        <v/>
      </c>
      <c r="H628" s="26" t="str">
        <f t="shared" si="50"/>
        <v/>
      </c>
      <c r="I628" s="10"/>
      <c r="J628" s="10"/>
      <c r="K628" s="10" t="str">
        <f t="shared" si="51"/>
        <v/>
      </c>
      <c r="L628" s="10" t="str">
        <f t="shared" si="52"/>
        <v/>
      </c>
      <c r="M628" s="10" t="str">
        <f t="shared" si="53"/>
        <v/>
      </c>
      <c r="N628" s="10" t="str">
        <f t="shared" si="54"/>
        <v/>
      </c>
      <c r="O628" s="6"/>
      <c r="P628" s="6"/>
    </row>
    <row r="629" spans="1:16" x14ac:dyDescent="0.3">
      <c r="A629" s="6"/>
      <c r="B629" s="7"/>
      <c r="C629" s="6"/>
      <c r="D629" s="6"/>
      <c r="E629" s="6"/>
      <c r="F629" s="25"/>
      <c r="G629" s="25" t="str">
        <f>IF(A629="","",SUMIFS(Paradas_Detalhadas!$I:$I,Paradas_Detalhadas!$A:$A,A629,Paradas_Detalhadas!$B:$B,B629,Paradas_Detalhadas!$C:$C,C629,Paradas_Detalhadas!$D:$D,E629))</f>
        <v/>
      </c>
      <c r="H629" s="26" t="str">
        <f t="shared" si="50"/>
        <v/>
      </c>
      <c r="I629" s="10"/>
      <c r="J629" s="10"/>
      <c r="K629" s="10" t="str">
        <f t="shared" si="51"/>
        <v/>
      </c>
      <c r="L629" s="10" t="str">
        <f t="shared" si="52"/>
        <v/>
      </c>
      <c r="M629" s="10" t="str">
        <f t="shared" si="53"/>
        <v/>
      </c>
      <c r="N629" s="10" t="str">
        <f t="shared" si="54"/>
        <v/>
      </c>
      <c r="O629" s="6"/>
      <c r="P629" s="6"/>
    </row>
    <row r="630" spans="1:16" x14ac:dyDescent="0.3">
      <c r="A630" s="6"/>
      <c r="B630" s="7"/>
      <c r="C630" s="6"/>
      <c r="D630" s="6"/>
      <c r="E630" s="6"/>
      <c r="F630" s="25"/>
      <c r="G630" s="25" t="str">
        <f>IF(A630="","",SUMIFS(Paradas_Detalhadas!$I:$I,Paradas_Detalhadas!$A:$A,A630,Paradas_Detalhadas!$B:$B,B630,Paradas_Detalhadas!$C:$C,C630,Paradas_Detalhadas!$D:$D,E630))</f>
        <v/>
      </c>
      <c r="H630" s="26" t="str">
        <f t="shared" si="50"/>
        <v/>
      </c>
      <c r="I630" s="10"/>
      <c r="J630" s="10"/>
      <c r="K630" s="10" t="str">
        <f t="shared" si="51"/>
        <v/>
      </c>
      <c r="L630" s="10" t="str">
        <f t="shared" si="52"/>
        <v/>
      </c>
      <c r="M630" s="10" t="str">
        <f t="shared" si="53"/>
        <v/>
      </c>
      <c r="N630" s="10" t="str">
        <f t="shared" si="54"/>
        <v/>
      </c>
      <c r="O630" s="6"/>
      <c r="P630" s="6"/>
    </row>
    <row r="631" spans="1:16" x14ac:dyDescent="0.3">
      <c r="A631" s="6"/>
      <c r="B631" s="7"/>
      <c r="C631" s="6"/>
      <c r="D631" s="6"/>
      <c r="E631" s="6"/>
      <c r="F631" s="25"/>
      <c r="G631" s="25" t="str">
        <f>IF(A631="","",SUMIFS(Paradas_Detalhadas!$I:$I,Paradas_Detalhadas!$A:$A,A631,Paradas_Detalhadas!$B:$B,B631,Paradas_Detalhadas!$C:$C,C631,Paradas_Detalhadas!$D:$D,E631))</f>
        <v/>
      </c>
      <c r="H631" s="26" t="str">
        <f t="shared" si="50"/>
        <v/>
      </c>
      <c r="I631" s="10"/>
      <c r="J631" s="10"/>
      <c r="K631" s="10" t="str">
        <f t="shared" si="51"/>
        <v/>
      </c>
      <c r="L631" s="10" t="str">
        <f t="shared" si="52"/>
        <v/>
      </c>
      <c r="M631" s="10" t="str">
        <f t="shared" si="53"/>
        <v/>
      </c>
      <c r="N631" s="10" t="str">
        <f t="shared" si="54"/>
        <v/>
      </c>
      <c r="O631" s="6"/>
      <c r="P631" s="6"/>
    </row>
    <row r="632" spans="1:16" x14ac:dyDescent="0.3">
      <c r="A632" s="6"/>
      <c r="B632" s="7"/>
      <c r="C632" s="6"/>
      <c r="D632" s="6"/>
      <c r="E632" s="6"/>
      <c r="F632" s="25"/>
      <c r="G632" s="25" t="str">
        <f>IF(A632="","",SUMIFS(Paradas_Detalhadas!$I:$I,Paradas_Detalhadas!$A:$A,A632,Paradas_Detalhadas!$B:$B,B632,Paradas_Detalhadas!$C:$C,C632,Paradas_Detalhadas!$D:$D,E632))</f>
        <v/>
      </c>
      <c r="H632" s="26" t="str">
        <f t="shared" si="50"/>
        <v/>
      </c>
      <c r="I632" s="10"/>
      <c r="J632" s="10"/>
      <c r="K632" s="10" t="str">
        <f t="shared" si="51"/>
        <v/>
      </c>
      <c r="L632" s="10" t="str">
        <f t="shared" si="52"/>
        <v/>
      </c>
      <c r="M632" s="10" t="str">
        <f t="shared" si="53"/>
        <v/>
      </c>
      <c r="N632" s="10" t="str">
        <f t="shared" si="54"/>
        <v/>
      </c>
      <c r="O632" s="6"/>
      <c r="P632" s="6"/>
    </row>
    <row r="633" spans="1:16" x14ac:dyDescent="0.3">
      <c r="A633" s="6"/>
      <c r="B633" s="7"/>
      <c r="C633" s="6"/>
      <c r="D633" s="6"/>
      <c r="E633" s="6"/>
      <c r="F633" s="25"/>
      <c r="G633" s="25" t="str">
        <f>IF(A633="","",SUMIFS(Paradas_Detalhadas!$I:$I,Paradas_Detalhadas!$A:$A,A633,Paradas_Detalhadas!$B:$B,B633,Paradas_Detalhadas!$C:$C,C633,Paradas_Detalhadas!$D:$D,E633))</f>
        <v/>
      </c>
      <c r="H633" s="26" t="str">
        <f t="shared" si="50"/>
        <v/>
      </c>
      <c r="I633" s="10"/>
      <c r="J633" s="10"/>
      <c r="K633" s="10" t="str">
        <f t="shared" si="51"/>
        <v/>
      </c>
      <c r="L633" s="10" t="str">
        <f t="shared" si="52"/>
        <v/>
      </c>
      <c r="M633" s="10" t="str">
        <f t="shared" si="53"/>
        <v/>
      </c>
      <c r="N633" s="10" t="str">
        <f t="shared" si="54"/>
        <v/>
      </c>
      <c r="O633" s="6"/>
      <c r="P633" s="6"/>
    </row>
    <row r="634" spans="1:16" x14ac:dyDescent="0.3">
      <c r="A634" s="6"/>
      <c r="B634" s="7"/>
      <c r="C634" s="6"/>
      <c r="D634" s="6"/>
      <c r="E634" s="6"/>
      <c r="F634" s="25"/>
      <c r="G634" s="25" t="str">
        <f>IF(A634="","",SUMIFS(Paradas_Detalhadas!$I:$I,Paradas_Detalhadas!$A:$A,A634,Paradas_Detalhadas!$B:$B,B634,Paradas_Detalhadas!$C:$C,C634,Paradas_Detalhadas!$D:$D,E634))</f>
        <v/>
      </c>
      <c r="H634" s="26" t="str">
        <f t="shared" si="50"/>
        <v/>
      </c>
      <c r="I634" s="10"/>
      <c r="J634" s="10"/>
      <c r="K634" s="10" t="str">
        <f t="shared" si="51"/>
        <v/>
      </c>
      <c r="L634" s="10" t="str">
        <f t="shared" si="52"/>
        <v/>
      </c>
      <c r="M634" s="10" t="str">
        <f t="shared" si="53"/>
        <v/>
      </c>
      <c r="N634" s="10" t="str">
        <f t="shared" si="54"/>
        <v/>
      </c>
      <c r="O634" s="6"/>
      <c r="P634" s="6"/>
    </row>
    <row r="635" spans="1:16" x14ac:dyDescent="0.3">
      <c r="A635" s="6"/>
      <c r="B635" s="7"/>
      <c r="C635" s="6"/>
      <c r="D635" s="6"/>
      <c r="E635" s="6"/>
      <c r="F635" s="25"/>
      <c r="G635" s="25" t="str">
        <f>IF(A635="","",SUMIFS(Paradas_Detalhadas!$I:$I,Paradas_Detalhadas!$A:$A,A635,Paradas_Detalhadas!$B:$B,B635,Paradas_Detalhadas!$C:$C,C635,Paradas_Detalhadas!$D:$D,E635))</f>
        <v/>
      </c>
      <c r="H635" s="26" t="str">
        <f t="shared" si="50"/>
        <v/>
      </c>
      <c r="I635" s="10"/>
      <c r="J635" s="10"/>
      <c r="K635" s="10" t="str">
        <f t="shared" si="51"/>
        <v/>
      </c>
      <c r="L635" s="10" t="str">
        <f t="shared" si="52"/>
        <v/>
      </c>
      <c r="M635" s="10" t="str">
        <f t="shared" si="53"/>
        <v/>
      </c>
      <c r="N635" s="10" t="str">
        <f t="shared" si="54"/>
        <v/>
      </c>
      <c r="O635" s="6"/>
      <c r="P635" s="6"/>
    </row>
    <row r="636" spans="1:16" x14ac:dyDescent="0.3">
      <c r="A636" s="6"/>
      <c r="B636" s="7"/>
      <c r="C636" s="6"/>
      <c r="D636" s="6"/>
      <c r="E636" s="6"/>
      <c r="F636" s="25"/>
      <c r="G636" s="25" t="str">
        <f>IF(A636="","",SUMIFS(Paradas_Detalhadas!$I:$I,Paradas_Detalhadas!$A:$A,A636,Paradas_Detalhadas!$B:$B,B636,Paradas_Detalhadas!$C:$C,C636,Paradas_Detalhadas!$D:$D,E636))</f>
        <v/>
      </c>
      <c r="H636" s="26" t="str">
        <f t="shared" si="50"/>
        <v/>
      </c>
      <c r="I636" s="10"/>
      <c r="J636" s="10"/>
      <c r="K636" s="10" t="str">
        <f t="shared" si="51"/>
        <v/>
      </c>
      <c r="L636" s="10" t="str">
        <f t="shared" si="52"/>
        <v/>
      </c>
      <c r="M636" s="10" t="str">
        <f t="shared" si="53"/>
        <v/>
      </c>
      <c r="N636" s="10" t="str">
        <f t="shared" si="54"/>
        <v/>
      </c>
      <c r="O636" s="6"/>
      <c r="P636" s="6"/>
    </row>
    <row r="637" spans="1:16" x14ac:dyDescent="0.3">
      <c r="A637" s="6"/>
      <c r="B637" s="7"/>
      <c r="C637" s="6"/>
      <c r="D637" s="6"/>
      <c r="E637" s="6"/>
      <c r="F637" s="25"/>
      <c r="G637" s="25" t="str">
        <f>IF(A637="","",SUMIFS(Paradas_Detalhadas!$I:$I,Paradas_Detalhadas!$A:$A,A637,Paradas_Detalhadas!$B:$B,B637,Paradas_Detalhadas!$C:$C,C637,Paradas_Detalhadas!$D:$D,E637))</f>
        <v/>
      </c>
      <c r="H637" s="26" t="str">
        <f t="shared" si="50"/>
        <v/>
      </c>
      <c r="I637" s="10"/>
      <c r="J637" s="10"/>
      <c r="K637" s="10" t="str">
        <f t="shared" si="51"/>
        <v/>
      </c>
      <c r="L637" s="10" t="str">
        <f t="shared" si="52"/>
        <v/>
      </c>
      <c r="M637" s="10" t="str">
        <f t="shared" si="53"/>
        <v/>
      </c>
      <c r="N637" s="10" t="str">
        <f t="shared" si="54"/>
        <v/>
      </c>
      <c r="O637" s="6"/>
      <c r="P637" s="6"/>
    </row>
    <row r="638" spans="1:16" x14ac:dyDescent="0.3">
      <c r="A638" s="6"/>
      <c r="B638" s="7"/>
      <c r="C638" s="6"/>
      <c r="D638" s="6"/>
      <c r="E638" s="6"/>
      <c r="F638" s="25"/>
      <c r="G638" s="25" t="str">
        <f>IF(A638="","",SUMIFS(Paradas_Detalhadas!$I:$I,Paradas_Detalhadas!$A:$A,A638,Paradas_Detalhadas!$B:$B,B638,Paradas_Detalhadas!$C:$C,C638,Paradas_Detalhadas!$D:$D,E638))</f>
        <v/>
      </c>
      <c r="H638" s="26" t="str">
        <f t="shared" si="50"/>
        <v/>
      </c>
      <c r="I638" s="10"/>
      <c r="J638" s="10"/>
      <c r="K638" s="10" t="str">
        <f t="shared" si="51"/>
        <v/>
      </c>
      <c r="L638" s="10" t="str">
        <f t="shared" si="52"/>
        <v/>
      </c>
      <c r="M638" s="10" t="str">
        <f t="shared" si="53"/>
        <v/>
      </c>
      <c r="N638" s="10" t="str">
        <f t="shared" si="54"/>
        <v/>
      </c>
      <c r="O638" s="6"/>
      <c r="P638" s="6"/>
    </row>
    <row r="639" spans="1:16" x14ac:dyDescent="0.3">
      <c r="A639" s="6"/>
      <c r="B639" s="7"/>
      <c r="C639" s="6"/>
      <c r="D639" s="6"/>
      <c r="E639" s="6"/>
      <c r="F639" s="25"/>
      <c r="G639" s="25" t="str">
        <f>IF(A639="","",SUMIFS(Paradas_Detalhadas!$I:$I,Paradas_Detalhadas!$A:$A,A639,Paradas_Detalhadas!$B:$B,B639,Paradas_Detalhadas!$C:$C,C639,Paradas_Detalhadas!$D:$D,E639))</f>
        <v/>
      </c>
      <c r="H639" s="26" t="str">
        <f t="shared" si="50"/>
        <v/>
      </c>
      <c r="I639" s="10"/>
      <c r="J639" s="10"/>
      <c r="K639" s="10" t="str">
        <f t="shared" si="51"/>
        <v/>
      </c>
      <c r="L639" s="10" t="str">
        <f t="shared" si="52"/>
        <v/>
      </c>
      <c r="M639" s="10" t="str">
        <f t="shared" si="53"/>
        <v/>
      </c>
      <c r="N639" s="10" t="str">
        <f t="shared" si="54"/>
        <v/>
      </c>
      <c r="O639" s="6"/>
      <c r="P639" s="6"/>
    </row>
    <row r="640" spans="1:16" x14ac:dyDescent="0.3">
      <c r="A640" s="6"/>
      <c r="B640" s="7"/>
      <c r="C640" s="6"/>
      <c r="D640" s="6"/>
      <c r="E640" s="6"/>
      <c r="F640" s="25"/>
      <c r="G640" s="25" t="str">
        <f>IF(A640="","",SUMIFS(Paradas_Detalhadas!$I:$I,Paradas_Detalhadas!$A:$A,A640,Paradas_Detalhadas!$B:$B,B640,Paradas_Detalhadas!$C:$C,C640,Paradas_Detalhadas!$D:$D,E640))</f>
        <v/>
      </c>
      <c r="H640" s="26" t="str">
        <f t="shared" si="50"/>
        <v/>
      </c>
      <c r="I640" s="10"/>
      <c r="J640" s="10"/>
      <c r="K640" s="10" t="str">
        <f t="shared" si="51"/>
        <v/>
      </c>
      <c r="L640" s="10" t="str">
        <f t="shared" si="52"/>
        <v/>
      </c>
      <c r="M640" s="10" t="str">
        <f t="shared" si="53"/>
        <v/>
      </c>
      <c r="N640" s="10" t="str">
        <f t="shared" si="54"/>
        <v/>
      </c>
      <c r="O640" s="6"/>
      <c r="P640" s="6"/>
    </row>
    <row r="641" spans="1:16" x14ac:dyDescent="0.3">
      <c r="A641" s="6"/>
      <c r="B641" s="7"/>
      <c r="C641" s="6"/>
      <c r="D641" s="6"/>
      <c r="E641" s="6"/>
      <c r="F641" s="25"/>
      <c r="G641" s="25" t="str">
        <f>IF(A641="","",SUMIFS(Paradas_Detalhadas!$I:$I,Paradas_Detalhadas!$A:$A,A641,Paradas_Detalhadas!$B:$B,B641,Paradas_Detalhadas!$C:$C,C641,Paradas_Detalhadas!$D:$D,E641))</f>
        <v/>
      </c>
      <c r="H641" s="26" t="str">
        <f t="shared" si="50"/>
        <v/>
      </c>
      <c r="I641" s="10"/>
      <c r="J641" s="10"/>
      <c r="K641" s="10" t="str">
        <f t="shared" si="51"/>
        <v/>
      </c>
      <c r="L641" s="10" t="str">
        <f t="shared" si="52"/>
        <v/>
      </c>
      <c r="M641" s="10" t="str">
        <f t="shared" si="53"/>
        <v/>
      </c>
      <c r="N641" s="10" t="str">
        <f t="shared" si="54"/>
        <v/>
      </c>
      <c r="O641" s="6"/>
      <c r="P641" s="6"/>
    </row>
    <row r="642" spans="1:16" x14ac:dyDescent="0.3">
      <c r="A642" s="6"/>
      <c r="B642" s="7"/>
      <c r="C642" s="6"/>
      <c r="D642" s="6"/>
      <c r="E642" s="6"/>
      <c r="F642" s="25"/>
      <c r="G642" s="25" t="str">
        <f>IF(A642="","",SUMIFS(Paradas_Detalhadas!$I:$I,Paradas_Detalhadas!$A:$A,A642,Paradas_Detalhadas!$B:$B,B642,Paradas_Detalhadas!$C:$C,C642,Paradas_Detalhadas!$D:$D,E642))</f>
        <v/>
      </c>
      <c r="H642" s="26" t="str">
        <f t="shared" si="50"/>
        <v/>
      </c>
      <c r="I642" s="10"/>
      <c r="J642" s="10"/>
      <c r="K642" s="10" t="str">
        <f t="shared" si="51"/>
        <v/>
      </c>
      <c r="L642" s="10" t="str">
        <f t="shared" si="52"/>
        <v/>
      </c>
      <c r="M642" s="10" t="str">
        <f t="shared" si="53"/>
        <v/>
      </c>
      <c r="N642" s="10" t="str">
        <f t="shared" si="54"/>
        <v/>
      </c>
      <c r="O642" s="6"/>
      <c r="P642" s="6"/>
    </row>
    <row r="643" spans="1:16" x14ac:dyDescent="0.3">
      <c r="A643" s="6"/>
      <c r="B643" s="7"/>
      <c r="C643" s="6"/>
      <c r="D643" s="6"/>
      <c r="E643" s="6"/>
      <c r="F643" s="25"/>
      <c r="G643" s="25" t="str">
        <f>IF(A643="","",SUMIFS(Paradas_Detalhadas!$I:$I,Paradas_Detalhadas!$A:$A,A643,Paradas_Detalhadas!$B:$B,B643,Paradas_Detalhadas!$C:$C,C643,Paradas_Detalhadas!$D:$D,E643))</f>
        <v/>
      </c>
      <c r="H643" s="26" t="str">
        <f t="shared" si="50"/>
        <v/>
      </c>
      <c r="I643" s="10"/>
      <c r="J643" s="10"/>
      <c r="K643" s="10" t="str">
        <f t="shared" si="51"/>
        <v/>
      </c>
      <c r="L643" s="10" t="str">
        <f t="shared" si="52"/>
        <v/>
      </c>
      <c r="M643" s="10" t="str">
        <f t="shared" si="53"/>
        <v/>
      </c>
      <c r="N643" s="10" t="str">
        <f t="shared" si="54"/>
        <v/>
      </c>
      <c r="O643" s="6"/>
      <c r="P643" s="6"/>
    </row>
    <row r="644" spans="1:16" x14ac:dyDescent="0.3">
      <c r="A644" s="6"/>
      <c r="B644" s="7"/>
      <c r="C644" s="6"/>
      <c r="D644" s="6"/>
      <c r="E644" s="6"/>
      <c r="F644" s="25"/>
      <c r="G644" s="25" t="str">
        <f>IF(A644="","",SUMIFS(Paradas_Detalhadas!$I:$I,Paradas_Detalhadas!$A:$A,A644,Paradas_Detalhadas!$B:$B,B644,Paradas_Detalhadas!$C:$C,C644,Paradas_Detalhadas!$D:$D,E644))</f>
        <v/>
      </c>
      <c r="H644" s="26" t="str">
        <f t="shared" si="50"/>
        <v/>
      </c>
      <c r="I644" s="10"/>
      <c r="J644" s="10"/>
      <c r="K644" s="10" t="str">
        <f t="shared" si="51"/>
        <v/>
      </c>
      <c r="L644" s="10" t="str">
        <f t="shared" si="52"/>
        <v/>
      </c>
      <c r="M644" s="10" t="str">
        <f t="shared" si="53"/>
        <v/>
      </c>
      <c r="N644" s="10" t="str">
        <f t="shared" si="54"/>
        <v/>
      </c>
      <c r="O644" s="6"/>
      <c r="P644" s="6"/>
    </row>
    <row r="645" spans="1:16" x14ac:dyDescent="0.3">
      <c r="A645" s="6"/>
      <c r="B645" s="7"/>
      <c r="C645" s="6"/>
      <c r="D645" s="6"/>
      <c r="E645" s="6"/>
      <c r="F645" s="25"/>
      <c r="G645" s="25" t="str">
        <f>IF(A645="","",SUMIFS(Paradas_Detalhadas!$I:$I,Paradas_Detalhadas!$A:$A,A645,Paradas_Detalhadas!$B:$B,B645,Paradas_Detalhadas!$C:$C,C645,Paradas_Detalhadas!$D:$D,E645))</f>
        <v/>
      </c>
      <c r="H645" s="26" t="str">
        <f t="shared" si="50"/>
        <v/>
      </c>
      <c r="I645" s="10"/>
      <c r="J645" s="10"/>
      <c r="K645" s="10" t="str">
        <f t="shared" si="51"/>
        <v/>
      </c>
      <c r="L645" s="10" t="str">
        <f t="shared" si="52"/>
        <v/>
      </c>
      <c r="M645" s="10" t="str">
        <f t="shared" si="53"/>
        <v/>
      </c>
      <c r="N645" s="10" t="str">
        <f t="shared" si="54"/>
        <v/>
      </c>
      <c r="O645" s="6"/>
      <c r="P645" s="6"/>
    </row>
    <row r="646" spans="1:16" x14ac:dyDescent="0.3">
      <c r="A646" s="6"/>
      <c r="B646" s="7"/>
      <c r="C646" s="6"/>
      <c r="D646" s="6"/>
      <c r="E646" s="6"/>
      <c r="F646" s="25"/>
      <c r="G646" s="25" t="str">
        <f>IF(A646="","",SUMIFS(Paradas_Detalhadas!$I:$I,Paradas_Detalhadas!$A:$A,A646,Paradas_Detalhadas!$B:$B,B646,Paradas_Detalhadas!$C:$C,C646,Paradas_Detalhadas!$D:$D,E646))</f>
        <v/>
      </c>
      <c r="H646" s="26" t="str">
        <f t="shared" si="50"/>
        <v/>
      </c>
      <c r="I646" s="10"/>
      <c r="J646" s="10"/>
      <c r="K646" s="10" t="str">
        <f t="shared" si="51"/>
        <v/>
      </c>
      <c r="L646" s="10" t="str">
        <f t="shared" si="52"/>
        <v/>
      </c>
      <c r="M646" s="10" t="str">
        <f t="shared" si="53"/>
        <v/>
      </c>
      <c r="N646" s="10" t="str">
        <f t="shared" si="54"/>
        <v/>
      </c>
      <c r="O646" s="6"/>
      <c r="P646" s="6"/>
    </row>
    <row r="647" spans="1:16" x14ac:dyDescent="0.3">
      <c r="A647" s="6"/>
      <c r="B647" s="7"/>
      <c r="C647" s="6"/>
      <c r="D647" s="6"/>
      <c r="E647" s="6"/>
      <c r="F647" s="25"/>
      <c r="G647" s="25" t="str">
        <f>IF(A647="","",SUMIFS(Paradas_Detalhadas!$I:$I,Paradas_Detalhadas!$A:$A,A647,Paradas_Detalhadas!$B:$B,B647,Paradas_Detalhadas!$C:$C,C647,Paradas_Detalhadas!$D:$D,E647))</f>
        <v/>
      </c>
      <c r="H647" s="26" t="str">
        <f t="shared" si="50"/>
        <v/>
      </c>
      <c r="I647" s="10"/>
      <c r="J647" s="10"/>
      <c r="K647" s="10" t="str">
        <f t="shared" si="51"/>
        <v/>
      </c>
      <c r="L647" s="10" t="str">
        <f t="shared" si="52"/>
        <v/>
      </c>
      <c r="M647" s="10" t="str">
        <f t="shared" si="53"/>
        <v/>
      </c>
      <c r="N647" s="10" t="str">
        <f t="shared" si="54"/>
        <v/>
      </c>
      <c r="O647" s="6"/>
      <c r="P647" s="6"/>
    </row>
    <row r="648" spans="1:16" x14ac:dyDescent="0.3">
      <c r="A648" s="6"/>
      <c r="B648" s="7"/>
      <c r="C648" s="6"/>
      <c r="D648" s="6"/>
      <c r="E648" s="6"/>
      <c r="F648" s="25"/>
      <c r="G648" s="25" t="str">
        <f>IF(A648="","",SUMIFS(Paradas_Detalhadas!$I:$I,Paradas_Detalhadas!$A:$A,A648,Paradas_Detalhadas!$B:$B,B648,Paradas_Detalhadas!$C:$C,C648,Paradas_Detalhadas!$D:$D,E648))</f>
        <v/>
      </c>
      <c r="H648" s="26" t="str">
        <f t="shared" si="50"/>
        <v/>
      </c>
      <c r="I648" s="10"/>
      <c r="J648" s="10"/>
      <c r="K648" s="10" t="str">
        <f t="shared" si="51"/>
        <v/>
      </c>
      <c r="L648" s="10" t="str">
        <f t="shared" si="52"/>
        <v/>
      </c>
      <c r="M648" s="10" t="str">
        <f t="shared" si="53"/>
        <v/>
      </c>
      <c r="N648" s="10" t="str">
        <f t="shared" si="54"/>
        <v/>
      </c>
      <c r="O648" s="6"/>
      <c r="P648" s="6"/>
    </row>
    <row r="649" spans="1:16" x14ac:dyDescent="0.3">
      <c r="A649" s="6"/>
      <c r="B649" s="7"/>
      <c r="C649" s="6"/>
      <c r="D649" s="6"/>
      <c r="E649" s="6"/>
      <c r="F649" s="25"/>
      <c r="G649" s="25" t="str">
        <f>IF(A649="","",SUMIFS(Paradas_Detalhadas!$I:$I,Paradas_Detalhadas!$A:$A,A649,Paradas_Detalhadas!$B:$B,B649,Paradas_Detalhadas!$C:$C,C649,Paradas_Detalhadas!$D:$D,E649))</f>
        <v/>
      </c>
      <c r="H649" s="26" t="str">
        <f t="shared" si="50"/>
        <v/>
      </c>
      <c r="I649" s="10"/>
      <c r="J649" s="10"/>
      <c r="K649" s="10" t="str">
        <f t="shared" si="51"/>
        <v/>
      </c>
      <c r="L649" s="10" t="str">
        <f t="shared" si="52"/>
        <v/>
      </c>
      <c r="M649" s="10" t="str">
        <f t="shared" si="53"/>
        <v/>
      </c>
      <c r="N649" s="10" t="str">
        <f t="shared" si="54"/>
        <v/>
      </c>
      <c r="O649" s="6"/>
      <c r="P649" s="6"/>
    </row>
    <row r="650" spans="1:16" x14ac:dyDescent="0.3">
      <c r="A650" s="6"/>
      <c r="B650" s="7"/>
      <c r="C650" s="6"/>
      <c r="D650" s="6"/>
      <c r="E650" s="6"/>
      <c r="F650" s="25"/>
      <c r="G650" s="25" t="str">
        <f>IF(A650="","",SUMIFS(Paradas_Detalhadas!$I:$I,Paradas_Detalhadas!$A:$A,A650,Paradas_Detalhadas!$B:$B,B650,Paradas_Detalhadas!$C:$C,C650,Paradas_Detalhadas!$D:$D,E650))</f>
        <v/>
      </c>
      <c r="H650" s="26" t="str">
        <f t="shared" si="50"/>
        <v/>
      </c>
      <c r="I650" s="10"/>
      <c r="J650" s="10"/>
      <c r="K650" s="10" t="str">
        <f t="shared" si="51"/>
        <v/>
      </c>
      <c r="L650" s="10" t="str">
        <f t="shared" si="52"/>
        <v/>
      </c>
      <c r="M650" s="10" t="str">
        <f t="shared" si="53"/>
        <v/>
      </c>
      <c r="N650" s="10" t="str">
        <f t="shared" si="54"/>
        <v/>
      </c>
      <c r="O650" s="6"/>
      <c r="P650" s="6"/>
    </row>
    <row r="651" spans="1:16" x14ac:dyDescent="0.3">
      <c r="A651" s="6"/>
      <c r="B651" s="7"/>
      <c r="C651" s="6"/>
      <c r="D651" s="6"/>
      <c r="E651" s="6"/>
      <c r="F651" s="25"/>
      <c r="G651" s="25" t="str">
        <f>IF(A651="","",SUMIFS(Paradas_Detalhadas!$I:$I,Paradas_Detalhadas!$A:$A,A651,Paradas_Detalhadas!$B:$B,B651,Paradas_Detalhadas!$C:$C,C651,Paradas_Detalhadas!$D:$D,E651))</f>
        <v/>
      </c>
      <c r="H651" s="26" t="str">
        <f t="shared" si="50"/>
        <v/>
      </c>
      <c r="I651" s="10"/>
      <c r="J651" s="10"/>
      <c r="K651" s="10" t="str">
        <f t="shared" si="51"/>
        <v/>
      </c>
      <c r="L651" s="10" t="str">
        <f t="shared" si="52"/>
        <v/>
      </c>
      <c r="M651" s="10" t="str">
        <f t="shared" si="53"/>
        <v/>
      </c>
      <c r="N651" s="10" t="str">
        <f t="shared" si="54"/>
        <v/>
      </c>
      <c r="O651" s="6"/>
      <c r="P651" s="6"/>
    </row>
    <row r="652" spans="1:16" x14ac:dyDescent="0.3">
      <c r="A652" s="6"/>
      <c r="B652" s="7"/>
      <c r="C652" s="6"/>
      <c r="D652" s="6"/>
      <c r="E652" s="6"/>
      <c r="F652" s="25"/>
      <c r="G652" s="25" t="str">
        <f>IF(A652="","",SUMIFS(Paradas_Detalhadas!$I:$I,Paradas_Detalhadas!$A:$A,A652,Paradas_Detalhadas!$B:$B,B652,Paradas_Detalhadas!$C:$C,C652,Paradas_Detalhadas!$D:$D,E652))</f>
        <v/>
      </c>
      <c r="H652" s="26" t="str">
        <f t="shared" si="50"/>
        <v/>
      </c>
      <c r="I652" s="10"/>
      <c r="J652" s="10"/>
      <c r="K652" s="10" t="str">
        <f t="shared" si="51"/>
        <v/>
      </c>
      <c r="L652" s="10" t="str">
        <f t="shared" si="52"/>
        <v/>
      </c>
      <c r="M652" s="10" t="str">
        <f t="shared" si="53"/>
        <v/>
      </c>
      <c r="N652" s="10" t="str">
        <f t="shared" si="54"/>
        <v/>
      </c>
      <c r="O652" s="6"/>
      <c r="P652" s="6"/>
    </row>
    <row r="653" spans="1:16" x14ac:dyDescent="0.3">
      <c r="A653" s="6"/>
      <c r="B653" s="7"/>
      <c r="C653" s="6"/>
      <c r="D653" s="6"/>
      <c r="E653" s="6"/>
      <c r="F653" s="25"/>
      <c r="G653" s="25" t="str">
        <f>IF(A653="","",SUMIFS(Paradas_Detalhadas!$I:$I,Paradas_Detalhadas!$A:$A,A653,Paradas_Detalhadas!$B:$B,B653,Paradas_Detalhadas!$C:$C,C653,Paradas_Detalhadas!$D:$D,E653))</f>
        <v/>
      </c>
      <c r="H653" s="26" t="str">
        <f t="shared" si="50"/>
        <v/>
      </c>
      <c r="I653" s="10"/>
      <c r="J653" s="10"/>
      <c r="K653" s="10" t="str">
        <f t="shared" si="51"/>
        <v/>
      </c>
      <c r="L653" s="10" t="str">
        <f t="shared" si="52"/>
        <v/>
      </c>
      <c r="M653" s="10" t="str">
        <f t="shared" si="53"/>
        <v/>
      </c>
      <c r="N653" s="10" t="str">
        <f t="shared" si="54"/>
        <v/>
      </c>
      <c r="O653" s="6"/>
      <c r="P653" s="6"/>
    </row>
    <row r="654" spans="1:16" x14ac:dyDescent="0.3">
      <c r="A654" s="6"/>
      <c r="B654" s="7"/>
      <c r="C654" s="6"/>
      <c r="D654" s="6"/>
      <c r="E654" s="6"/>
      <c r="F654" s="25"/>
      <c r="G654" s="25" t="str">
        <f>IF(A654="","",SUMIFS(Paradas_Detalhadas!$I:$I,Paradas_Detalhadas!$A:$A,A654,Paradas_Detalhadas!$B:$B,B654,Paradas_Detalhadas!$C:$C,C654,Paradas_Detalhadas!$D:$D,E654))</f>
        <v/>
      </c>
      <c r="H654" s="26" t="str">
        <f t="shared" si="50"/>
        <v/>
      </c>
      <c r="I654" s="10"/>
      <c r="J654" s="10"/>
      <c r="K654" s="10" t="str">
        <f t="shared" si="51"/>
        <v/>
      </c>
      <c r="L654" s="10" t="str">
        <f t="shared" si="52"/>
        <v/>
      </c>
      <c r="M654" s="10" t="str">
        <f t="shared" si="53"/>
        <v/>
      </c>
      <c r="N654" s="10" t="str">
        <f t="shared" si="54"/>
        <v/>
      </c>
      <c r="O654" s="6"/>
      <c r="P654" s="6"/>
    </row>
    <row r="655" spans="1:16" x14ac:dyDescent="0.3">
      <c r="A655" s="6"/>
      <c r="B655" s="7"/>
      <c r="C655" s="6"/>
      <c r="D655" s="6"/>
      <c r="E655" s="6"/>
      <c r="F655" s="25"/>
      <c r="G655" s="25" t="str">
        <f>IF(A655="","",SUMIFS(Paradas_Detalhadas!$I:$I,Paradas_Detalhadas!$A:$A,A655,Paradas_Detalhadas!$B:$B,B655,Paradas_Detalhadas!$C:$C,C655,Paradas_Detalhadas!$D:$D,E655))</f>
        <v/>
      </c>
      <c r="H655" s="26" t="str">
        <f t="shared" si="50"/>
        <v/>
      </c>
      <c r="I655" s="10"/>
      <c r="J655" s="10"/>
      <c r="K655" s="10" t="str">
        <f t="shared" si="51"/>
        <v/>
      </c>
      <c r="L655" s="10" t="str">
        <f t="shared" si="52"/>
        <v/>
      </c>
      <c r="M655" s="10" t="str">
        <f t="shared" si="53"/>
        <v/>
      </c>
      <c r="N655" s="10" t="str">
        <f t="shared" si="54"/>
        <v/>
      </c>
      <c r="O655" s="6"/>
      <c r="P655" s="6"/>
    </row>
    <row r="656" spans="1:16" x14ac:dyDescent="0.3">
      <c r="A656" s="6"/>
      <c r="B656" s="7"/>
      <c r="C656" s="6"/>
      <c r="D656" s="6"/>
      <c r="E656" s="6"/>
      <c r="F656" s="25"/>
      <c r="G656" s="25" t="str">
        <f>IF(A656="","",SUMIFS(Paradas_Detalhadas!$I:$I,Paradas_Detalhadas!$A:$A,A656,Paradas_Detalhadas!$B:$B,B656,Paradas_Detalhadas!$C:$C,C656,Paradas_Detalhadas!$D:$D,E656))</f>
        <v/>
      </c>
      <c r="H656" s="26" t="str">
        <f t="shared" si="50"/>
        <v/>
      </c>
      <c r="I656" s="10"/>
      <c r="J656" s="10"/>
      <c r="K656" s="10" t="str">
        <f t="shared" si="51"/>
        <v/>
      </c>
      <c r="L656" s="10" t="str">
        <f t="shared" si="52"/>
        <v/>
      </c>
      <c r="M656" s="10" t="str">
        <f t="shared" si="53"/>
        <v/>
      </c>
      <c r="N656" s="10" t="str">
        <f t="shared" si="54"/>
        <v/>
      </c>
      <c r="O656" s="6"/>
      <c r="P656" s="6"/>
    </row>
    <row r="657" spans="1:16" x14ac:dyDescent="0.3">
      <c r="A657" s="6"/>
      <c r="B657" s="7"/>
      <c r="C657" s="6"/>
      <c r="D657" s="6"/>
      <c r="E657" s="6"/>
      <c r="F657" s="25"/>
      <c r="G657" s="25" t="str">
        <f>IF(A657="","",SUMIFS(Paradas_Detalhadas!$I:$I,Paradas_Detalhadas!$A:$A,A657,Paradas_Detalhadas!$B:$B,B657,Paradas_Detalhadas!$C:$C,C657,Paradas_Detalhadas!$D:$D,E657))</f>
        <v/>
      </c>
      <c r="H657" s="26" t="str">
        <f t="shared" si="50"/>
        <v/>
      </c>
      <c r="I657" s="10"/>
      <c r="J657" s="10"/>
      <c r="K657" s="10" t="str">
        <f t="shared" si="51"/>
        <v/>
      </c>
      <c r="L657" s="10" t="str">
        <f t="shared" si="52"/>
        <v/>
      </c>
      <c r="M657" s="10" t="str">
        <f t="shared" si="53"/>
        <v/>
      </c>
      <c r="N657" s="10" t="str">
        <f t="shared" si="54"/>
        <v/>
      </c>
      <c r="O657" s="6"/>
      <c r="P657" s="6"/>
    </row>
    <row r="658" spans="1:16" x14ac:dyDescent="0.3">
      <c r="A658" s="6"/>
      <c r="B658" s="7"/>
      <c r="C658" s="6"/>
      <c r="D658" s="6"/>
      <c r="E658" s="6"/>
      <c r="F658" s="25"/>
      <c r="G658" s="25" t="str">
        <f>IF(A658="","",SUMIFS(Paradas_Detalhadas!$I:$I,Paradas_Detalhadas!$A:$A,A658,Paradas_Detalhadas!$B:$B,B658,Paradas_Detalhadas!$C:$C,C658,Paradas_Detalhadas!$D:$D,E658))</f>
        <v/>
      </c>
      <c r="H658" s="26" t="str">
        <f t="shared" si="50"/>
        <v/>
      </c>
      <c r="I658" s="10"/>
      <c r="J658" s="10"/>
      <c r="K658" s="10" t="str">
        <f t="shared" si="51"/>
        <v/>
      </c>
      <c r="L658" s="10" t="str">
        <f t="shared" si="52"/>
        <v/>
      </c>
      <c r="M658" s="10" t="str">
        <f t="shared" si="53"/>
        <v/>
      </c>
      <c r="N658" s="10" t="str">
        <f t="shared" si="54"/>
        <v/>
      </c>
      <c r="O658" s="6"/>
      <c r="P658" s="6"/>
    </row>
    <row r="659" spans="1:16" x14ac:dyDescent="0.3">
      <c r="A659" s="6"/>
      <c r="B659" s="7"/>
      <c r="C659" s="6"/>
      <c r="D659" s="6"/>
      <c r="E659" s="6"/>
      <c r="F659" s="25"/>
      <c r="G659" s="25" t="str">
        <f>IF(A659="","",SUMIFS(Paradas_Detalhadas!$I:$I,Paradas_Detalhadas!$A:$A,A659,Paradas_Detalhadas!$B:$B,B659,Paradas_Detalhadas!$C:$C,C659,Paradas_Detalhadas!$D:$D,E659))</f>
        <v/>
      </c>
      <c r="H659" s="26" t="str">
        <f t="shared" si="50"/>
        <v/>
      </c>
      <c r="I659" s="10"/>
      <c r="J659" s="10"/>
      <c r="K659" s="10" t="str">
        <f t="shared" si="51"/>
        <v/>
      </c>
      <c r="L659" s="10" t="str">
        <f t="shared" si="52"/>
        <v/>
      </c>
      <c r="M659" s="10" t="str">
        <f t="shared" si="53"/>
        <v/>
      </c>
      <c r="N659" s="10" t="str">
        <f t="shared" si="54"/>
        <v/>
      </c>
      <c r="O659" s="6"/>
      <c r="P659" s="6"/>
    </row>
    <row r="660" spans="1:16" x14ac:dyDescent="0.3">
      <c r="A660" s="6"/>
      <c r="B660" s="7"/>
      <c r="C660" s="6"/>
      <c r="D660" s="6"/>
      <c r="E660" s="6"/>
      <c r="F660" s="25"/>
      <c r="G660" s="25" t="str">
        <f>IF(A660="","",SUMIFS(Paradas_Detalhadas!$I:$I,Paradas_Detalhadas!$A:$A,A660,Paradas_Detalhadas!$B:$B,B660,Paradas_Detalhadas!$C:$C,C660,Paradas_Detalhadas!$D:$D,E660))</f>
        <v/>
      </c>
      <c r="H660" s="26" t="str">
        <f t="shared" si="50"/>
        <v/>
      </c>
      <c r="I660" s="10"/>
      <c r="J660" s="10"/>
      <c r="K660" s="10" t="str">
        <f t="shared" si="51"/>
        <v/>
      </c>
      <c r="L660" s="10" t="str">
        <f t="shared" si="52"/>
        <v/>
      </c>
      <c r="M660" s="10" t="str">
        <f t="shared" si="53"/>
        <v/>
      </c>
      <c r="N660" s="10" t="str">
        <f t="shared" si="54"/>
        <v/>
      </c>
      <c r="O660" s="6"/>
      <c r="P660" s="6"/>
    </row>
    <row r="661" spans="1:16" x14ac:dyDescent="0.3">
      <c r="A661" s="6"/>
      <c r="B661" s="7"/>
      <c r="C661" s="6"/>
      <c r="D661" s="6"/>
      <c r="E661" s="6"/>
      <c r="F661" s="25"/>
      <c r="G661" s="25" t="str">
        <f>IF(A661="","",SUMIFS(Paradas_Detalhadas!$I:$I,Paradas_Detalhadas!$A:$A,A661,Paradas_Detalhadas!$B:$B,B661,Paradas_Detalhadas!$C:$C,C661,Paradas_Detalhadas!$D:$D,E661))</f>
        <v/>
      </c>
      <c r="H661" s="26" t="str">
        <f t="shared" si="50"/>
        <v/>
      </c>
      <c r="I661" s="10"/>
      <c r="J661" s="10"/>
      <c r="K661" s="10" t="str">
        <f t="shared" si="51"/>
        <v/>
      </c>
      <c r="L661" s="10" t="str">
        <f t="shared" si="52"/>
        <v/>
      </c>
      <c r="M661" s="10" t="str">
        <f t="shared" si="53"/>
        <v/>
      </c>
      <c r="N661" s="10" t="str">
        <f t="shared" si="54"/>
        <v/>
      </c>
      <c r="O661" s="6"/>
      <c r="P661" s="6"/>
    </row>
    <row r="662" spans="1:16" x14ac:dyDescent="0.3">
      <c r="A662" s="6"/>
      <c r="B662" s="7"/>
      <c r="C662" s="6"/>
      <c r="D662" s="6"/>
      <c r="E662" s="6"/>
      <c r="F662" s="25"/>
      <c r="G662" s="25" t="str">
        <f>IF(A662="","",SUMIFS(Paradas_Detalhadas!$I:$I,Paradas_Detalhadas!$A:$A,A662,Paradas_Detalhadas!$B:$B,B662,Paradas_Detalhadas!$C:$C,C662,Paradas_Detalhadas!$D:$D,E662))</f>
        <v/>
      </c>
      <c r="H662" s="26" t="str">
        <f t="shared" si="50"/>
        <v/>
      </c>
      <c r="I662" s="10"/>
      <c r="J662" s="10"/>
      <c r="K662" s="10" t="str">
        <f t="shared" si="51"/>
        <v/>
      </c>
      <c r="L662" s="10" t="str">
        <f t="shared" si="52"/>
        <v/>
      </c>
      <c r="M662" s="10" t="str">
        <f t="shared" si="53"/>
        <v/>
      </c>
      <c r="N662" s="10" t="str">
        <f t="shared" si="54"/>
        <v/>
      </c>
      <c r="O662" s="6"/>
      <c r="P662" s="6"/>
    </row>
    <row r="663" spans="1:16" x14ac:dyDescent="0.3">
      <c r="A663" s="6"/>
      <c r="B663" s="7"/>
      <c r="C663" s="6"/>
      <c r="D663" s="6"/>
      <c r="E663" s="6"/>
      <c r="F663" s="25"/>
      <c r="G663" s="25" t="str">
        <f>IF(A663="","",SUMIFS(Paradas_Detalhadas!$I:$I,Paradas_Detalhadas!$A:$A,A663,Paradas_Detalhadas!$B:$B,B663,Paradas_Detalhadas!$C:$C,C663,Paradas_Detalhadas!$D:$D,E663))</f>
        <v/>
      </c>
      <c r="H663" s="26" t="str">
        <f t="shared" si="50"/>
        <v/>
      </c>
      <c r="I663" s="10"/>
      <c r="J663" s="10"/>
      <c r="K663" s="10" t="str">
        <f t="shared" si="51"/>
        <v/>
      </c>
      <c r="L663" s="10" t="str">
        <f t="shared" si="52"/>
        <v/>
      </c>
      <c r="M663" s="10" t="str">
        <f t="shared" si="53"/>
        <v/>
      </c>
      <c r="N663" s="10" t="str">
        <f t="shared" si="54"/>
        <v/>
      </c>
      <c r="O663" s="6"/>
      <c r="P663" s="6"/>
    </row>
    <row r="664" spans="1:16" x14ac:dyDescent="0.3">
      <c r="A664" s="6"/>
      <c r="B664" s="7"/>
      <c r="C664" s="6"/>
      <c r="D664" s="6"/>
      <c r="E664" s="6"/>
      <c r="F664" s="25"/>
      <c r="G664" s="25" t="str">
        <f>IF(A664="","",SUMIFS(Paradas_Detalhadas!$I:$I,Paradas_Detalhadas!$A:$A,A664,Paradas_Detalhadas!$B:$B,B664,Paradas_Detalhadas!$C:$C,C664,Paradas_Detalhadas!$D:$D,E664))</f>
        <v/>
      </c>
      <c r="H664" s="26" t="str">
        <f t="shared" si="50"/>
        <v/>
      </c>
      <c r="I664" s="10"/>
      <c r="J664" s="10"/>
      <c r="K664" s="10" t="str">
        <f t="shared" si="51"/>
        <v/>
      </c>
      <c r="L664" s="10" t="str">
        <f t="shared" si="52"/>
        <v/>
      </c>
      <c r="M664" s="10" t="str">
        <f t="shared" si="53"/>
        <v/>
      </c>
      <c r="N664" s="10" t="str">
        <f t="shared" si="54"/>
        <v/>
      </c>
      <c r="O664" s="6"/>
      <c r="P664" s="6"/>
    </row>
    <row r="665" spans="1:16" x14ac:dyDescent="0.3">
      <c r="A665" s="6"/>
      <c r="B665" s="7"/>
      <c r="C665" s="6"/>
      <c r="D665" s="6"/>
      <c r="E665" s="6"/>
      <c r="F665" s="25"/>
      <c r="G665" s="25" t="str">
        <f>IF(A665="","",SUMIFS(Paradas_Detalhadas!$I:$I,Paradas_Detalhadas!$A:$A,A665,Paradas_Detalhadas!$B:$B,B665,Paradas_Detalhadas!$C:$C,C665,Paradas_Detalhadas!$D:$D,E665))</f>
        <v/>
      </c>
      <c r="H665" s="26" t="str">
        <f t="shared" si="50"/>
        <v/>
      </c>
      <c r="I665" s="10"/>
      <c r="J665" s="10"/>
      <c r="K665" s="10" t="str">
        <f t="shared" si="51"/>
        <v/>
      </c>
      <c r="L665" s="10" t="str">
        <f t="shared" si="52"/>
        <v/>
      </c>
      <c r="M665" s="10" t="str">
        <f t="shared" si="53"/>
        <v/>
      </c>
      <c r="N665" s="10" t="str">
        <f t="shared" si="54"/>
        <v/>
      </c>
      <c r="O665" s="6"/>
      <c r="P665" s="6"/>
    </row>
    <row r="666" spans="1:16" x14ac:dyDescent="0.3">
      <c r="A666" s="6"/>
      <c r="B666" s="7"/>
      <c r="C666" s="6"/>
      <c r="D666" s="6"/>
      <c r="E666" s="6"/>
      <c r="F666" s="25"/>
      <c r="G666" s="25" t="str">
        <f>IF(A666="","",SUMIFS(Paradas_Detalhadas!$I:$I,Paradas_Detalhadas!$A:$A,A666,Paradas_Detalhadas!$B:$B,B666,Paradas_Detalhadas!$C:$C,C666,Paradas_Detalhadas!$D:$D,E666))</f>
        <v/>
      </c>
      <c r="H666" s="26" t="str">
        <f t="shared" si="50"/>
        <v/>
      </c>
      <c r="I666" s="10"/>
      <c r="J666" s="10"/>
      <c r="K666" s="10" t="str">
        <f t="shared" si="51"/>
        <v/>
      </c>
      <c r="L666" s="10" t="str">
        <f t="shared" si="52"/>
        <v/>
      </c>
      <c r="M666" s="10" t="str">
        <f t="shared" si="53"/>
        <v/>
      </c>
      <c r="N666" s="10" t="str">
        <f t="shared" si="54"/>
        <v/>
      </c>
      <c r="O666" s="6"/>
      <c r="P666" s="6"/>
    </row>
    <row r="667" spans="1:16" x14ac:dyDescent="0.3">
      <c r="A667" s="6"/>
      <c r="B667" s="7"/>
      <c r="C667" s="6"/>
      <c r="D667" s="6"/>
      <c r="E667" s="6"/>
      <c r="F667" s="25"/>
      <c r="G667" s="25" t="str">
        <f>IF(A667="","",SUMIFS(Paradas_Detalhadas!$I:$I,Paradas_Detalhadas!$A:$A,A667,Paradas_Detalhadas!$B:$B,B667,Paradas_Detalhadas!$C:$C,C667,Paradas_Detalhadas!$D:$D,E667))</f>
        <v/>
      </c>
      <c r="H667" s="26" t="str">
        <f t="shared" si="50"/>
        <v/>
      </c>
      <c r="I667" s="10"/>
      <c r="J667" s="10"/>
      <c r="K667" s="10" t="str">
        <f t="shared" si="51"/>
        <v/>
      </c>
      <c r="L667" s="10" t="str">
        <f t="shared" si="52"/>
        <v/>
      </c>
      <c r="M667" s="10" t="str">
        <f t="shared" si="53"/>
        <v/>
      </c>
      <c r="N667" s="10" t="str">
        <f t="shared" si="54"/>
        <v/>
      </c>
      <c r="O667" s="6"/>
      <c r="P667" s="6"/>
    </row>
    <row r="668" spans="1:16" x14ac:dyDescent="0.3">
      <c r="A668" s="6"/>
      <c r="B668" s="7"/>
      <c r="C668" s="6"/>
      <c r="D668" s="6"/>
      <c r="E668" s="6"/>
      <c r="F668" s="25"/>
      <c r="G668" s="25" t="str">
        <f>IF(A668="","",SUMIFS(Paradas_Detalhadas!$I:$I,Paradas_Detalhadas!$A:$A,A668,Paradas_Detalhadas!$B:$B,B668,Paradas_Detalhadas!$C:$C,C668,Paradas_Detalhadas!$D:$D,E668))</f>
        <v/>
      </c>
      <c r="H668" s="26" t="str">
        <f t="shared" si="50"/>
        <v/>
      </c>
      <c r="I668" s="10"/>
      <c r="J668" s="10"/>
      <c r="K668" s="10" t="str">
        <f t="shared" si="51"/>
        <v/>
      </c>
      <c r="L668" s="10" t="str">
        <f t="shared" si="52"/>
        <v/>
      </c>
      <c r="M668" s="10" t="str">
        <f t="shared" si="53"/>
        <v/>
      </c>
      <c r="N668" s="10" t="str">
        <f t="shared" si="54"/>
        <v/>
      </c>
      <c r="O668" s="6"/>
      <c r="P668" s="6"/>
    </row>
    <row r="669" spans="1:16" x14ac:dyDescent="0.3">
      <c r="A669" s="6"/>
      <c r="B669" s="7"/>
      <c r="C669" s="6"/>
      <c r="D669" s="6"/>
      <c r="E669" s="6"/>
      <c r="F669" s="25"/>
      <c r="G669" s="25" t="str">
        <f>IF(A669="","",SUMIFS(Paradas_Detalhadas!$I:$I,Paradas_Detalhadas!$A:$A,A669,Paradas_Detalhadas!$B:$B,B669,Paradas_Detalhadas!$C:$C,C669,Paradas_Detalhadas!$D:$D,E669))</f>
        <v/>
      </c>
      <c r="H669" s="26" t="str">
        <f t="shared" si="50"/>
        <v/>
      </c>
      <c r="I669" s="10"/>
      <c r="J669" s="10"/>
      <c r="K669" s="10" t="str">
        <f t="shared" si="51"/>
        <v/>
      </c>
      <c r="L669" s="10" t="str">
        <f t="shared" si="52"/>
        <v/>
      </c>
      <c r="M669" s="10" t="str">
        <f t="shared" si="53"/>
        <v/>
      </c>
      <c r="N669" s="10" t="str">
        <f t="shared" si="54"/>
        <v/>
      </c>
      <c r="O669" s="6"/>
      <c r="P669" s="6"/>
    </row>
    <row r="670" spans="1:16" x14ac:dyDescent="0.3">
      <c r="A670" s="6"/>
      <c r="B670" s="7"/>
      <c r="C670" s="6"/>
      <c r="D670" s="6"/>
      <c r="E670" s="6"/>
      <c r="F670" s="25"/>
      <c r="G670" s="25" t="str">
        <f>IF(A670="","",SUMIFS(Paradas_Detalhadas!$I:$I,Paradas_Detalhadas!$A:$A,A670,Paradas_Detalhadas!$B:$B,B670,Paradas_Detalhadas!$C:$C,C670,Paradas_Detalhadas!$D:$D,E670))</f>
        <v/>
      </c>
      <c r="H670" s="26" t="str">
        <f t="shared" si="50"/>
        <v/>
      </c>
      <c r="I670" s="10"/>
      <c r="J670" s="10"/>
      <c r="K670" s="10" t="str">
        <f t="shared" si="51"/>
        <v/>
      </c>
      <c r="L670" s="10" t="str">
        <f t="shared" si="52"/>
        <v/>
      </c>
      <c r="M670" s="10" t="str">
        <f t="shared" si="53"/>
        <v/>
      </c>
      <c r="N670" s="10" t="str">
        <f t="shared" si="54"/>
        <v/>
      </c>
      <c r="O670" s="6"/>
      <c r="P670" s="6"/>
    </row>
    <row r="671" spans="1:16" x14ac:dyDescent="0.3">
      <c r="A671" s="6"/>
      <c r="B671" s="7"/>
      <c r="C671" s="6"/>
      <c r="D671" s="6"/>
      <c r="E671" s="6"/>
      <c r="F671" s="25"/>
      <c r="G671" s="25" t="str">
        <f>IF(A671="","",SUMIFS(Paradas_Detalhadas!$I:$I,Paradas_Detalhadas!$A:$A,A671,Paradas_Detalhadas!$B:$B,B671,Paradas_Detalhadas!$C:$C,C671,Paradas_Detalhadas!$D:$D,E671))</f>
        <v/>
      </c>
      <c r="H671" s="26" t="str">
        <f t="shared" si="50"/>
        <v/>
      </c>
      <c r="I671" s="10"/>
      <c r="J671" s="10"/>
      <c r="K671" s="10" t="str">
        <f t="shared" si="51"/>
        <v/>
      </c>
      <c r="L671" s="10" t="str">
        <f t="shared" si="52"/>
        <v/>
      </c>
      <c r="M671" s="10" t="str">
        <f t="shared" si="53"/>
        <v/>
      </c>
      <c r="N671" s="10" t="str">
        <f t="shared" si="54"/>
        <v/>
      </c>
      <c r="O671" s="6"/>
      <c r="P671" s="6"/>
    </row>
    <row r="672" spans="1:16" x14ac:dyDescent="0.3">
      <c r="A672" s="6"/>
      <c r="B672" s="7"/>
      <c r="C672" s="6"/>
      <c r="D672" s="6"/>
      <c r="E672" s="6"/>
      <c r="F672" s="25"/>
      <c r="G672" s="25" t="str">
        <f>IF(A672="","",SUMIFS(Paradas_Detalhadas!$I:$I,Paradas_Detalhadas!$A:$A,A672,Paradas_Detalhadas!$B:$B,B672,Paradas_Detalhadas!$C:$C,C672,Paradas_Detalhadas!$D:$D,E672))</f>
        <v/>
      </c>
      <c r="H672" s="26" t="str">
        <f t="shared" si="50"/>
        <v/>
      </c>
      <c r="I672" s="10"/>
      <c r="J672" s="10"/>
      <c r="K672" s="10" t="str">
        <f t="shared" si="51"/>
        <v/>
      </c>
      <c r="L672" s="10" t="str">
        <f t="shared" si="52"/>
        <v/>
      </c>
      <c r="M672" s="10" t="str">
        <f t="shared" si="53"/>
        <v/>
      </c>
      <c r="N672" s="10" t="str">
        <f t="shared" si="54"/>
        <v/>
      </c>
      <c r="O672" s="6"/>
      <c r="P672" s="6"/>
    </row>
    <row r="673" spans="1:16" x14ac:dyDescent="0.3">
      <c r="A673" s="6"/>
      <c r="B673" s="7"/>
      <c r="C673" s="6"/>
      <c r="D673" s="6"/>
      <c r="E673" s="6"/>
      <c r="F673" s="25"/>
      <c r="G673" s="25" t="str">
        <f>IF(A673="","",SUMIFS(Paradas_Detalhadas!$I:$I,Paradas_Detalhadas!$A:$A,A673,Paradas_Detalhadas!$B:$B,B673,Paradas_Detalhadas!$C:$C,C673,Paradas_Detalhadas!$D:$D,E673))</f>
        <v/>
      </c>
      <c r="H673" s="26" t="str">
        <f t="shared" si="50"/>
        <v/>
      </c>
      <c r="I673" s="10"/>
      <c r="J673" s="10"/>
      <c r="K673" s="10" t="str">
        <f t="shared" si="51"/>
        <v/>
      </c>
      <c r="L673" s="10" t="str">
        <f t="shared" si="52"/>
        <v/>
      </c>
      <c r="M673" s="10" t="str">
        <f t="shared" si="53"/>
        <v/>
      </c>
      <c r="N673" s="10" t="str">
        <f t="shared" si="54"/>
        <v/>
      </c>
      <c r="O673" s="6"/>
      <c r="P673" s="6"/>
    </row>
    <row r="674" spans="1:16" x14ac:dyDescent="0.3">
      <c r="A674" s="6"/>
      <c r="B674" s="7"/>
      <c r="C674" s="6"/>
      <c r="D674" s="6"/>
      <c r="E674" s="6"/>
      <c r="F674" s="25"/>
      <c r="G674" s="25" t="str">
        <f>IF(A674="","",SUMIFS(Paradas_Detalhadas!$I:$I,Paradas_Detalhadas!$A:$A,A674,Paradas_Detalhadas!$B:$B,B674,Paradas_Detalhadas!$C:$C,C674,Paradas_Detalhadas!$D:$D,E674))</f>
        <v/>
      </c>
      <c r="H674" s="26" t="str">
        <f t="shared" si="50"/>
        <v/>
      </c>
      <c r="I674" s="10"/>
      <c r="J674" s="10"/>
      <c r="K674" s="10" t="str">
        <f t="shared" si="51"/>
        <v/>
      </c>
      <c r="L674" s="10" t="str">
        <f t="shared" si="52"/>
        <v/>
      </c>
      <c r="M674" s="10" t="str">
        <f t="shared" si="53"/>
        <v/>
      </c>
      <c r="N674" s="10" t="str">
        <f t="shared" si="54"/>
        <v/>
      </c>
      <c r="O674" s="6"/>
      <c r="P674" s="6"/>
    </row>
    <row r="675" spans="1:16" x14ac:dyDescent="0.3">
      <c r="A675" s="6"/>
      <c r="B675" s="7"/>
      <c r="C675" s="6"/>
      <c r="D675" s="6"/>
      <c r="E675" s="6"/>
      <c r="F675" s="25"/>
      <c r="G675" s="25" t="str">
        <f>IF(A675="","",SUMIFS(Paradas_Detalhadas!$I:$I,Paradas_Detalhadas!$A:$A,A675,Paradas_Detalhadas!$B:$B,B675,Paradas_Detalhadas!$C:$C,C675,Paradas_Detalhadas!$D:$D,E675))</f>
        <v/>
      </c>
      <c r="H675" s="26" t="str">
        <f t="shared" si="50"/>
        <v/>
      </c>
      <c r="I675" s="10"/>
      <c r="J675" s="10"/>
      <c r="K675" s="10" t="str">
        <f t="shared" si="51"/>
        <v/>
      </c>
      <c r="L675" s="10" t="str">
        <f t="shared" si="52"/>
        <v/>
      </c>
      <c r="M675" s="10" t="str">
        <f t="shared" si="53"/>
        <v/>
      </c>
      <c r="N675" s="10" t="str">
        <f t="shared" si="54"/>
        <v/>
      </c>
      <c r="O675" s="6"/>
      <c r="P675" s="6"/>
    </row>
    <row r="676" spans="1:16" x14ac:dyDescent="0.3">
      <c r="A676" s="6"/>
      <c r="B676" s="7"/>
      <c r="C676" s="6"/>
      <c r="D676" s="6"/>
      <c r="E676" s="6"/>
      <c r="F676" s="25"/>
      <c r="G676" s="25" t="str">
        <f>IF(A676="","",SUMIFS(Paradas_Detalhadas!$I:$I,Paradas_Detalhadas!$A:$A,A676,Paradas_Detalhadas!$B:$B,B676,Paradas_Detalhadas!$C:$C,C676,Paradas_Detalhadas!$D:$D,E676))</f>
        <v/>
      </c>
      <c r="H676" s="26" t="str">
        <f t="shared" si="50"/>
        <v/>
      </c>
      <c r="I676" s="10"/>
      <c r="J676" s="10"/>
      <c r="K676" s="10" t="str">
        <f t="shared" si="51"/>
        <v/>
      </c>
      <c r="L676" s="10" t="str">
        <f t="shared" si="52"/>
        <v/>
      </c>
      <c r="M676" s="10" t="str">
        <f t="shared" si="53"/>
        <v/>
      </c>
      <c r="N676" s="10" t="str">
        <f t="shared" si="54"/>
        <v/>
      </c>
      <c r="O676" s="6"/>
      <c r="P676" s="6"/>
    </row>
    <row r="677" spans="1:16" x14ac:dyDescent="0.3">
      <c r="A677" s="6"/>
      <c r="B677" s="7"/>
      <c r="C677" s="6"/>
      <c r="D677" s="6"/>
      <c r="E677" s="6"/>
      <c r="F677" s="25"/>
      <c r="G677" s="25" t="str">
        <f>IF(A677="","",SUMIFS(Paradas_Detalhadas!$I:$I,Paradas_Detalhadas!$A:$A,A677,Paradas_Detalhadas!$B:$B,B677,Paradas_Detalhadas!$C:$C,C677,Paradas_Detalhadas!$D:$D,E677))</f>
        <v/>
      </c>
      <c r="H677" s="26" t="str">
        <f t="shared" si="50"/>
        <v/>
      </c>
      <c r="I677" s="10"/>
      <c r="J677" s="10"/>
      <c r="K677" s="10" t="str">
        <f t="shared" si="51"/>
        <v/>
      </c>
      <c r="L677" s="10" t="str">
        <f t="shared" si="52"/>
        <v/>
      </c>
      <c r="M677" s="10" t="str">
        <f t="shared" si="53"/>
        <v/>
      </c>
      <c r="N677" s="10" t="str">
        <f t="shared" si="54"/>
        <v/>
      </c>
      <c r="O677" s="6"/>
      <c r="P677" s="6"/>
    </row>
    <row r="678" spans="1:16" x14ac:dyDescent="0.3">
      <c r="A678" s="6"/>
      <c r="B678" s="7"/>
      <c r="C678" s="6"/>
      <c r="D678" s="6"/>
      <c r="E678" s="6"/>
      <c r="F678" s="25"/>
      <c r="G678" s="25" t="str">
        <f>IF(A678="","",SUMIFS(Paradas_Detalhadas!$I:$I,Paradas_Detalhadas!$A:$A,A678,Paradas_Detalhadas!$B:$B,B678,Paradas_Detalhadas!$C:$C,C678,Paradas_Detalhadas!$D:$D,E678))</f>
        <v/>
      </c>
      <c r="H678" s="26" t="str">
        <f t="shared" si="50"/>
        <v/>
      </c>
      <c r="I678" s="10"/>
      <c r="J678" s="10"/>
      <c r="K678" s="10" t="str">
        <f t="shared" si="51"/>
        <v/>
      </c>
      <c r="L678" s="10" t="str">
        <f t="shared" si="52"/>
        <v/>
      </c>
      <c r="M678" s="10" t="str">
        <f t="shared" si="53"/>
        <v/>
      </c>
      <c r="N678" s="10" t="str">
        <f t="shared" si="54"/>
        <v/>
      </c>
      <c r="O678" s="6"/>
      <c r="P678" s="6"/>
    </row>
    <row r="679" spans="1:16" x14ac:dyDescent="0.3">
      <c r="A679" s="6"/>
      <c r="B679" s="7"/>
      <c r="C679" s="6"/>
      <c r="D679" s="6"/>
      <c r="E679" s="6"/>
      <c r="F679" s="25"/>
      <c r="G679" s="25" t="str">
        <f>IF(A679="","",SUMIFS(Paradas_Detalhadas!$I:$I,Paradas_Detalhadas!$A:$A,A679,Paradas_Detalhadas!$B:$B,B679,Paradas_Detalhadas!$C:$C,C679,Paradas_Detalhadas!$D:$D,E679))</f>
        <v/>
      </c>
      <c r="H679" s="26" t="str">
        <f t="shared" si="50"/>
        <v/>
      </c>
      <c r="I679" s="10"/>
      <c r="J679" s="10"/>
      <c r="K679" s="10" t="str">
        <f t="shared" si="51"/>
        <v/>
      </c>
      <c r="L679" s="10" t="str">
        <f t="shared" si="52"/>
        <v/>
      </c>
      <c r="M679" s="10" t="str">
        <f t="shared" si="53"/>
        <v/>
      </c>
      <c r="N679" s="10" t="str">
        <f t="shared" si="54"/>
        <v/>
      </c>
      <c r="O679" s="6"/>
      <c r="P679" s="6"/>
    </row>
    <row r="680" spans="1:16" x14ac:dyDescent="0.3">
      <c r="A680" s="6"/>
      <c r="B680" s="7"/>
      <c r="C680" s="6"/>
      <c r="D680" s="6"/>
      <c r="E680" s="6"/>
      <c r="F680" s="25"/>
      <c r="G680" s="25" t="str">
        <f>IF(A680="","",SUMIFS(Paradas_Detalhadas!$I:$I,Paradas_Detalhadas!$A:$A,A680,Paradas_Detalhadas!$B:$B,B680,Paradas_Detalhadas!$C:$C,C680,Paradas_Detalhadas!$D:$D,E680))</f>
        <v/>
      </c>
      <c r="H680" s="26" t="str">
        <f t="shared" si="50"/>
        <v/>
      </c>
      <c r="I680" s="10"/>
      <c r="J680" s="10"/>
      <c r="K680" s="10" t="str">
        <f t="shared" si="51"/>
        <v/>
      </c>
      <c r="L680" s="10" t="str">
        <f t="shared" si="52"/>
        <v/>
      </c>
      <c r="M680" s="10" t="str">
        <f t="shared" si="53"/>
        <v/>
      </c>
      <c r="N680" s="10" t="str">
        <f t="shared" si="54"/>
        <v/>
      </c>
      <c r="O680" s="6"/>
      <c r="P680" s="6"/>
    </row>
    <row r="681" spans="1:16" x14ac:dyDescent="0.3">
      <c r="A681" s="6"/>
      <c r="B681" s="7"/>
      <c r="C681" s="6"/>
      <c r="D681" s="6"/>
      <c r="E681" s="6"/>
      <c r="F681" s="25"/>
      <c r="G681" s="25" t="str">
        <f>IF(A681="","",SUMIFS(Paradas_Detalhadas!$I:$I,Paradas_Detalhadas!$A:$A,A681,Paradas_Detalhadas!$B:$B,B681,Paradas_Detalhadas!$C:$C,C681,Paradas_Detalhadas!$D:$D,E681))</f>
        <v/>
      </c>
      <c r="H681" s="26" t="str">
        <f t="shared" si="50"/>
        <v/>
      </c>
      <c r="I681" s="10"/>
      <c r="J681" s="10"/>
      <c r="K681" s="10" t="str">
        <f t="shared" si="51"/>
        <v/>
      </c>
      <c r="L681" s="10" t="str">
        <f t="shared" si="52"/>
        <v/>
      </c>
      <c r="M681" s="10" t="str">
        <f t="shared" si="53"/>
        <v/>
      </c>
      <c r="N681" s="10" t="str">
        <f t="shared" si="54"/>
        <v/>
      </c>
      <c r="O681" s="6"/>
      <c r="P681" s="6"/>
    </row>
    <row r="682" spans="1:16" x14ac:dyDescent="0.3">
      <c r="A682" s="6"/>
      <c r="B682" s="7"/>
      <c r="C682" s="6"/>
      <c r="D682" s="6"/>
      <c r="E682" s="6"/>
      <c r="F682" s="25"/>
      <c r="G682" s="25" t="str">
        <f>IF(A682="","",SUMIFS(Paradas_Detalhadas!$I:$I,Paradas_Detalhadas!$A:$A,A682,Paradas_Detalhadas!$B:$B,B682,Paradas_Detalhadas!$C:$C,C682,Paradas_Detalhadas!$D:$D,E682))</f>
        <v/>
      </c>
      <c r="H682" s="26" t="str">
        <f t="shared" si="50"/>
        <v/>
      </c>
      <c r="I682" s="10"/>
      <c r="J682" s="10"/>
      <c r="K682" s="10" t="str">
        <f t="shared" si="51"/>
        <v/>
      </c>
      <c r="L682" s="10" t="str">
        <f t="shared" si="52"/>
        <v/>
      </c>
      <c r="M682" s="10" t="str">
        <f t="shared" si="53"/>
        <v/>
      </c>
      <c r="N682" s="10" t="str">
        <f t="shared" si="54"/>
        <v/>
      </c>
      <c r="O682" s="6"/>
      <c r="P682" s="6"/>
    </row>
    <row r="683" spans="1:16" x14ac:dyDescent="0.3">
      <c r="A683" s="6"/>
      <c r="B683" s="7"/>
      <c r="C683" s="6"/>
      <c r="D683" s="6"/>
      <c r="E683" s="6"/>
      <c r="F683" s="25"/>
      <c r="G683" s="25" t="str">
        <f>IF(A683="","",SUMIFS(Paradas_Detalhadas!$I:$I,Paradas_Detalhadas!$A:$A,A683,Paradas_Detalhadas!$B:$B,B683,Paradas_Detalhadas!$C:$C,C683,Paradas_Detalhadas!$D:$D,E683))</f>
        <v/>
      </c>
      <c r="H683" s="26" t="str">
        <f t="shared" si="50"/>
        <v/>
      </c>
      <c r="I683" s="10"/>
      <c r="J683" s="10"/>
      <c r="K683" s="10" t="str">
        <f t="shared" si="51"/>
        <v/>
      </c>
      <c r="L683" s="10" t="str">
        <f t="shared" si="52"/>
        <v/>
      </c>
      <c r="M683" s="10" t="str">
        <f t="shared" si="53"/>
        <v/>
      </c>
      <c r="N683" s="10" t="str">
        <f t="shared" si="54"/>
        <v/>
      </c>
      <c r="O683" s="6"/>
      <c r="P683" s="6"/>
    </row>
    <row r="684" spans="1:16" x14ac:dyDescent="0.3">
      <c r="A684" s="6"/>
      <c r="B684" s="7"/>
      <c r="C684" s="6"/>
      <c r="D684" s="6"/>
      <c r="E684" s="6"/>
      <c r="F684" s="25"/>
      <c r="G684" s="25" t="str">
        <f>IF(A684="","",SUMIFS(Paradas_Detalhadas!$I:$I,Paradas_Detalhadas!$A:$A,A684,Paradas_Detalhadas!$B:$B,B684,Paradas_Detalhadas!$C:$C,C684,Paradas_Detalhadas!$D:$D,E684))</f>
        <v/>
      </c>
      <c r="H684" s="26" t="str">
        <f t="shared" si="50"/>
        <v/>
      </c>
      <c r="I684" s="10"/>
      <c r="J684" s="10"/>
      <c r="K684" s="10" t="str">
        <f t="shared" si="51"/>
        <v/>
      </c>
      <c r="L684" s="10" t="str">
        <f t="shared" si="52"/>
        <v/>
      </c>
      <c r="M684" s="10" t="str">
        <f t="shared" si="53"/>
        <v/>
      </c>
      <c r="N684" s="10" t="str">
        <f t="shared" si="54"/>
        <v/>
      </c>
      <c r="O684" s="6"/>
      <c r="P684" s="6"/>
    </row>
    <row r="685" spans="1:16" x14ac:dyDescent="0.3">
      <c r="A685" s="6"/>
      <c r="B685" s="7"/>
      <c r="C685" s="6"/>
      <c r="D685" s="6"/>
      <c r="E685" s="6"/>
      <c r="F685" s="25"/>
      <c r="G685" s="25" t="str">
        <f>IF(A685="","",SUMIFS(Paradas_Detalhadas!$I:$I,Paradas_Detalhadas!$A:$A,A685,Paradas_Detalhadas!$B:$B,B685,Paradas_Detalhadas!$C:$C,C685,Paradas_Detalhadas!$D:$D,E685))</f>
        <v/>
      </c>
      <c r="H685" s="26" t="str">
        <f t="shared" si="50"/>
        <v/>
      </c>
      <c r="I685" s="10"/>
      <c r="J685" s="10"/>
      <c r="K685" s="10" t="str">
        <f t="shared" si="51"/>
        <v/>
      </c>
      <c r="L685" s="10" t="str">
        <f t="shared" si="52"/>
        <v/>
      </c>
      <c r="M685" s="10" t="str">
        <f t="shared" si="53"/>
        <v/>
      </c>
      <c r="N685" s="10" t="str">
        <f t="shared" si="54"/>
        <v/>
      </c>
      <c r="O685" s="6"/>
      <c r="P685" s="6"/>
    </row>
    <row r="686" spans="1:16" x14ac:dyDescent="0.3">
      <c r="A686" s="6"/>
      <c r="B686" s="7"/>
      <c r="C686" s="6"/>
      <c r="D686" s="6"/>
      <c r="E686" s="6"/>
      <c r="F686" s="25"/>
      <c r="G686" s="25" t="str">
        <f>IF(A686="","",SUMIFS(Paradas_Detalhadas!$I:$I,Paradas_Detalhadas!$A:$A,A686,Paradas_Detalhadas!$B:$B,B686,Paradas_Detalhadas!$C:$C,C686,Paradas_Detalhadas!$D:$D,E686))</f>
        <v/>
      </c>
      <c r="H686" s="26" t="str">
        <f t="shared" ref="H686:H749" si="55">IF(OR(F686="",G686=""),"",MAX(F686-G686,0))</f>
        <v/>
      </c>
      <c r="I686" s="10"/>
      <c r="J686" s="10"/>
      <c r="K686" s="10" t="str">
        <f t="shared" ref="K686:K749" si="56">IF(AND(I686="",J686=""),"",SUM(I686:J686))</f>
        <v/>
      </c>
      <c r="L686" s="10" t="str">
        <f t="shared" ref="L686:L749" si="57">IFERROR(K686/H686,"")</f>
        <v/>
      </c>
      <c r="M686" s="10" t="str">
        <f t="shared" ref="M686:M749" si="58">IFERROR(I686/H686,"")</f>
        <v/>
      </c>
      <c r="N686" s="10" t="str">
        <f t="shared" ref="N686:N749" si="59">IFERROR(J686/H686,"")</f>
        <v/>
      </c>
      <c r="O686" s="6"/>
      <c r="P686" s="6"/>
    </row>
    <row r="687" spans="1:16" x14ac:dyDescent="0.3">
      <c r="A687" s="6"/>
      <c r="B687" s="7"/>
      <c r="C687" s="6"/>
      <c r="D687" s="6"/>
      <c r="E687" s="6"/>
      <c r="F687" s="25"/>
      <c r="G687" s="25" t="str">
        <f>IF(A687="","",SUMIFS(Paradas_Detalhadas!$I:$I,Paradas_Detalhadas!$A:$A,A687,Paradas_Detalhadas!$B:$B,B687,Paradas_Detalhadas!$C:$C,C687,Paradas_Detalhadas!$D:$D,E687))</f>
        <v/>
      </c>
      <c r="H687" s="26" t="str">
        <f t="shared" si="55"/>
        <v/>
      </c>
      <c r="I687" s="10"/>
      <c r="J687" s="10"/>
      <c r="K687" s="10" t="str">
        <f t="shared" si="56"/>
        <v/>
      </c>
      <c r="L687" s="10" t="str">
        <f t="shared" si="57"/>
        <v/>
      </c>
      <c r="M687" s="10" t="str">
        <f t="shared" si="58"/>
        <v/>
      </c>
      <c r="N687" s="10" t="str">
        <f t="shared" si="59"/>
        <v/>
      </c>
      <c r="O687" s="6"/>
      <c r="P687" s="6"/>
    </row>
    <row r="688" spans="1:16" x14ac:dyDescent="0.3">
      <c r="A688" s="6"/>
      <c r="B688" s="7"/>
      <c r="C688" s="6"/>
      <c r="D688" s="6"/>
      <c r="E688" s="6"/>
      <c r="F688" s="25"/>
      <c r="G688" s="25" t="str">
        <f>IF(A688="","",SUMIFS(Paradas_Detalhadas!$I:$I,Paradas_Detalhadas!$A:$A,A688,Paradas_Detalhadas!$B:$B,B688,Paradas_Detalhadas!$C:$C,C688,Paradas_Detalhadas!$D:$D,E688))</f>
        <v/>
      </c>
      <c r="H688" s="26" t="str">
        <f t="shared" si="55"/>
        <v/>
      </c>
      <c r="I688" s="10"/>
      <c r="J688" s="10"/>
      <c r="K688" s="10" t="str">
        <f t="shared" si="56"/>
        <v/>
      </c>
      <c r="L688" s="10" t="str">
        <f t="shared" si="57"/>
        <v/>
      </c>
      <c r="M688" s="10" t="str">
        <f t="shared" si="58"/>
        <v/>
      </c>
      <c r="N688" s="10" t="str">
        <f t="shared" si="59"/>
        <v/>
      </c>
      <c r="O688" s="6"/>
      <c r="P688" s="6"/>
    </row>
    <row r="689" spans="1:16" x14ac:dyDescent="0.3">
      <c r="A689" s="6"/>
      <c r="B689" s="7"/>
      <c r="C689" s="6"/>
      <c r="D689" s="6"/>
      <c r="E689" s="6"/>
      <c r="F689" s="25"/>
      <c r="G689" s="25" t="str">
        <f>IF(A689="","",SUMIFS(Paradas_Detalhadas!$I:$I,Paradas_Detalhadas!$A:$A,A689,Paradas_Detalhadas!$B:$B,B689,Paradas_Detalhadas!$C:$C,C689,Paradas_Detalhadas!$D:$D,E689))</f>
        <v/>
      </c>
      <c r="H689" s="26" t="str">
        <f t="shared" si="55"/>
        <v/>
      </c>
      <c r="I689" s="10"/>
      <c r="J689" s="10"/>
      <c r="K689" s="10" t="str">
        <f t="shared" si="56"/>
        <v/>
      </c>
      <c r="L689" s="10" t="str">
        <f t="shared" si="57"/>
        <v/>
      </c>
      <c r="M689" s="10" t="str">
        <f t="shared" si="58"/>
        <v/>
      </c>
      <c r="N689" s="10" t="str">
        <f t="shared" si="59"/>
        <v/>
      </c>
      <c r="O689" s="6"/>
      <c r="P689" s="6"/>
    </row>
    <row r="690" spans="1:16" x14ac:dyDescent="0.3">
      <c r="A690" s="6"/>
      <c r="B690" s="7"/>
      <c r="C690" s="6"/>
      <c r="D690" s="6"/>
      <c r="E690" s="6"/>
      <c r="F690" s="25"/>
      <c r="G690" s="25" t="str">
        <f>IF(A690="","",SUMIFS(Paradas_Detalhadas!$I:$I,Paradas_Detalhadas!$A:$A,A690,Paradas_Detalhadas!$B:$B,B690,Paradas_Detalhadas!$C:$C,C690,Paradas_Detalhadas!$D:$D,E690))</f>
        <v/>
      </c>
      <c r="H690" s="26" t="str">
        <f t="shared" si="55"/>
        <v/>
      </c>
      <c r="I690" s="10"/>
      <c r="J690" s="10"/>
      <c r="K690" s="10" t="str">
        <f t="shared" si="56"/>
        <v/>
      </c>
      <c r="L690" s="10" t="str">
        <f t="shared" si="57"/>
        <v/>
      </c>
      <c r="M690" s="10" t="str">
        <f t="shared" si="58"/>
        <v/>
      </c>
      <c r="N690" s="10" t="str">
        <f t="shared" si="59"/>
        <v/>
      </c>
      <c r="O690" s="6"/>
      <c r="P690" s="6"/>
    </row>
    <row r="691" spans="1:16" x14ac:dyDescent="0.3">
      <c r="A691" s="6"/>
      <c r="B691" s="7"/>
      <c r="C691" s="6"/>
      <c r="D691" s="6"/>
      <c r="E691" s="6"/>
      <c r="F691" s="25"/>
      <c r="G691" s="25" t="str">
        <f>IF(A691="","",SUMIFS(Paradas_Detalhadas!$I:$I,Paradas_Detalhadas!$A:$A,A691,Paradas_Detalhadas!$B:$B,B691,Paradas_Detalhadas!$C:$C,C691,Paradas_Detalhadas!$D:$D,E691))</f>
        <v/>
      </c>
      <c r="H691" s="26" t="str">
        <f t="shared" si="55"/>
        <v/>
      </c>
      <c r="I691" s="10"/>
      <c r="J691" s="10"/>
      <c r="K691" s="10" t="str">
        <f t="shared" si="56"/>
        <v/>
      </c>
      <c r="L691" s="10" t="str">
        <f t="shared" si="57"/>
        <v/>
      </c>
      <c r="M691" s="10" t="str">
        <f t="shared" si="58"/>
        <v/>
      </c>
      <c r="N691" s="10" t="str">
        <f t="shared" si="59"/>
        <v/>
      </c>
      <c r="O691" s="6"/>
      <c r="P691" s="6"/>
    </row>
    <row r="692" spans="1:16" x14ac:dyDescent="0.3">
      <c r="A692" s="6"/>
      <c r="B692" s="7"/>
      <c r="C692" s="6"/>
      <c r="D692" s="6"/>
      <c r="E692" s="6"/>
      <c r="F692" s="25"/>
      <c r="G692" s="25" t="str">
        <f>IF(A692="","",SUMIFS(Paradas_Detalhadas!$I:$I,Paradas_Detalhadas!$A:$A,A692,Paradas_Detalhadas!$B:$B,B692,Paradas_Detalhadas!$C:$C,C692,Paradas_Detalhadas!$D:$D,E692))</f>
        <v/>
      </c>
      <c r="H692" s="26" t="str">
        <f t="shared" si="55"/>
        <v/>
      </c>
      <c r="I692" s="10"/>
      <c r="J692" s="10"/>
      <c r="K692" s="10" t="str">
        <f t="shared" si="56"/>
        <v/>
      </c>
      <c r="L692" s="10" t="str">
        <f t="shared" si="57"/>
        <v/>
      </c>
      <c r="M692" s="10" t="str">
        <f t="shared" si="58"/>
        <v/>
      </c>
      <c r="N692" s="10" t="str">
        <f t="shared" si="59"/>
        <v/>
      </c>
      <c r="O692" s="6"/>
      <c r="P692" s="6"/>
    </row>
    <row r="693" spans="1:16" x14ac:dyDescent="0.3">
      <c r="A693" s="6"/>
      <c r="B693" s="7"/>
      <c r="C693" s="6"/>
      <c r="D693" s="6"/>
      <c r="E693" s="6"/>
      <c r="F693" s="25"/>
      <c r="G693" s="25" t="str">
        <f>IF(A693="","",SUMIFS(Paradas_Detalhadas!$I:$I,Paradas_Detalhadas!$A:$A,A693,Paradas_Detalhadas!$B:$B,B693,Paradas_Detalhadas!$C:$C,C693,Paradas_Detalhadas!$D:$D,E693))</f>
        <v/>
      </c>
      <c r="H693" s="26" t="str">
        <f t="shared" si="55"/>
        <v/>
      </c>
      <c r="I693" s="10"/>
      <c r="J693" s="10"/>
      <c r="K693" s="10" t="str">
        <f t="shared" si="56"/>
        <v/>
      </c>
      <c r="L693" s="10" t="str">
        <f t="shared" si="57"/>
        <v/>
      </c>
      <c r="M693" s="10" t="str">
        <f t="shared" si="58"/>
        <v/>
      </c>
      <c r="N693" s="10" t="str">
        <f t="shared" si="59"/>
        <v/>
      </c>
      <c r="O693" s="6"/>
      <c r="P693" s="6"/>
    </row>
    <row r="694" spans="1:16" x14ac:dyDescent="0.3">
      <c r="A694" s="6"/>
      <c r="B694" s="7"/>
      <c r="C694" s="6"/>
      <c r="D694" s="6"/>
      <c r="E694" s="6"/>
      <c r="F694" s="25"/>
      <c r="G694" s="25" t="str">
        <f>IF(A694="","",SUMIFS(Paradas_Detalhadas!$I:$I,Paradas_Detalhadas!$A:$A,A694,Paradas_Detalhadas!$B:$B,B694,Paradas_Detalhadas!$C:$C,C694,Paradas_Detalhadas!$D:$D,E694))</f>
        <v/>
      </c>
      <c r="H694" s="26" t="str">
        <f t="shared" si="55"/>
        <v/>
      </c>
      <c r="I694" s="10"/>
      <c r="J694" s="10"/>
      <c r="K694" s="10" t="str">
        <f t="shared" si="56"/>
        <v/>
      </c>
      <c r="L694" s="10" t="str">
        <f t="shared" si="57"/>
        <v/>
      </c>
      <c r="M694" s="10" t="str">
        <f t="shared" si="58"/>
        <v/>
      </c>
      <c r="N694" s="10" t="str">
        <f t="shared" si="59"/>
        <v/>
      </c>
      <c r="O694" s="6"/>
      <c r="P694" s="6"/>
    </row>
    <row r="695" spans="1:16" x14ac:dyDescent="0.3">
      <c r="A695" s="6"/>
      <c r="B695" s="7"/>
      <c r="C695" s="6"/>
      <c r="D695" s="6"/>
      <c r="E695" s="6"/>
      <c r="F695" s="25"/>
      <c r="G695" s="25" t="str">
        <f>IF(A695="","",SUMIFS(Paradas_Detalhadas!$I:$I,Paradas_Detalhadas!$A:$A,A695,Paradas_Detalhadas!$B:$B,B695,Paradas_Detalhadas!$C:$C,C695,Paradas_Detalhadas!$D:$D,E695))</f>
        <v/>
      </c>
      <c r="H695" s="26" t="str">
        <f t="shared" si="55"/>
        <v/>
      </c>
      <c r="I695" s="10"/>
      <c r="J695" s="10"/>
      <c r="K695" s="10" t="str">
        <f t="shared" si="56"/>
        <v/>
      </c>
      <c r="L695" s="10" t="str">
        <f t="shared" si="57"/>
        <v/>
      </c>
      <c r="M695" s="10" t="str">
        <f t="shared" si="58"/>
        <v/>
      </c>
      <c r="N695" s="10" t="str">
        <f t="shared" si="59"/>
        <v/>
      </c>
      <c r="O695" s="6"/>
      <c r="P695" s="6"/>
    </row>
    <row r="696" spans="1:16" x14ac:dyDescent="0.3">
      <c r="A696" s="6"/>
      <c r="B696" s="7"/>
      <c r="C696" s="6"/>
      <c r="D696" s="6"/>
      <c r="E696" s="6"/>
      <c r="F696" s="25"/>
      <c r="G696" s="25" t="str">
        <f>IF(A696="","",SUMIFS(Paradas_Detalhadas!$I:$I,Paradas_Detalhadas!$A:$A,A696,Paradas_Detalhadas!$B:$B,B696,Paradas_Detalhadas!$C:$C,C696,Paradas_Detalhadas!$D:$D,E696))</f>
        <v/>
      </c>
      <c r="H696" s="26" t="str">
        <f t="shared" si="55"/>
        <v/>
      </c>
      <c r="I696" s="10"/>
      <c r="J696" s="10"/>
      <c r="K696" s="10" t="str">
        <f t="shared" si="56"/>
        <v/>
      </c>
      <c r="L696" s="10" t="str">
        <f t="shared" si="57"/>
        <v/>
      </c>
      <c r="M696" s="10" t="str">
        <f t="shared" si="58"/>
        <v/>
      </c>
      <c r="N696" s="10" t="str">
        <f t="shared" si="59"/>
        <v/>
      </c>
      <c r="O696" s="6"/>
      <c r="P696" s="6"/>
    </row>
    <row r="697" spans="1:16" x14ac:dyDescent="0.3">
      <c r="A697" s="6"/>
      <c r="B697" s="7"/>
      <c r="C697" s="6"/>
      <c r="D697" s="6"/>
      <c r="E697" s="6"/>
      <c r="F697" s="25"/>
      <c r="G697" s="25" t="str">
        <f>IF(A697="","",SUMIFS(Paradas_Detalhadas!$I:$I,Paradas_Detalhadas!$A:$A,A697,Paradas_Detalhadas!$B:$B,B697,Paradas_Detalhadas!$C:$C,C697,Paradas_Detalhadas!$D:$D,E697))</f>
        <v/>
      </c>
      <c r="H697" s="26" t="str">
        <f t="shared" si="55"/>
        <v/>
      </c>
      <c r="I697" s="10"/>
      <c r="J697" s="10"/>
      <c r="K697" s="10" t="str">
        <f t="shared" si="56"/>
        <v/>
      </c>
      <c r="L697" s="10" t="str">
        <f t="shared" si="57"/>
        <v/>
      </c>
      <c r="M697" s="10" t="str">
        <f t="shared" si="58"/>
        <v/>
      </c>
      <c r="N697" s="10" t="str">
        <f t="shared" si="59"/>
        <v/>
      </c>
      <c r="O697" s="6"/>
      <c r="P697" s="6"/>
    </row>
    <row r="698" spans="1:16" x14ac:dyDescent="0.3">
      <c r="A698" s="6"/>
      <c r="B698" s="7"/>
      <c r="C698" s="6"/>
      <c r="D698" s="6"/>
      <c r="E698" s="6"/>
      <c r="F698" s="25"/>
      <c r="G698" s="25" t="str">
        <f>IF(A698="","",SUMIFS(Paradas_Detalhadas!$I:$I,Paradas_Detalhadas!$A:$A,A698,Paradas_Detalhadas!$B:$B,B698,Paradas_Detalhadas!$C:$C,C698,Paradas_Detalhadas!$D:$D,E698))</f>
        <v/>
      </c>
      <c r="H698" s="26" t="str">
        <f t="shared" si="55"/>
        <v/>
      </c>
      <c r="I698" s="10"/>
      <c r="J698" s="10"/>
      <c r="K698" s="10" t="str">
        <f t="shared" si="56"/>
        <v/>
      </c>
      <c r="L698" s="10" t="str">
        <f t="shared" si="57"/>
        <v/>
      </c>
      <c r="M698" s="10" t="str">
        <f t="shared" si="58"/>
        <v/>
      </c>
      <c r="N698" s="10" t="str">
        <f t="shared" si="59"/>
        <v/>
      </c>
      <c r="O698" s="6"/>
      <c r="P698" s="6"/>
    </row>
    <row r="699" spans="1:16" x14ac:dyDescent="0.3">
      <c r="A699" s="6"/>
      <c r="B699" s="7"/>
      <c r="C699" s="6"/>
      <c r="D699" s="6"/>
      <c r="E699" s="6"/>
      <c r="F699" s="25"/>
      <c r="G699" s="25" t="str">
        <f>IF(A699="","",SUMIFS(Paradas_Detalhadas!$I:$I,Paradas_Detalhadas!$A:$A,A699,Paradas_Detalhadas!$B:$B,B699,Paradas_Detalhadas!$C:$C,C699,Paradas_Detalhadas!$D:$D,E699))</f>
        <v/>
      </c>
      <c r="H699" s="26" t="str">
        <f t="shared" si="55"/>
        <v/>
      </c>
      <c r="I699" s="10"/>
      <c r="J699" s="10"/>
      <c r="K699" s="10" t="str">
        <f t="shared" si="56"/>
        <v/>
      </c>
      <c r="L699" s="10" t="str">
        <f t="shared" si="57"/>
        <v/>
      </c>
      <c r="M699" s="10" t="str">
        <f t="shared" si="58"/>
        <v/>
      </c>
      <c r="N699" s="10" t="str">
        <f t="shared" si="59"/>
        <v/>
      </c>
      <c r="O699" s="6"/>
      <c r="P699" s="6"/>
    </row>
    <row r="700" spans="1:16" x14ac:dyDescent="0.3">
      <c r="A700" s="6"/>
      <c r="B700" s="7"/>
      <c r="C700" s="6"/>
      <c r="D700" s="6"/>
      <c r="E700" s="6"/>
      <c r="F700" s="25"/>
      <c r="G700" s="25" t="str">
        <f>IF(A700="","",SUMIFS(Paradas_Detalhadas!$I:$I,Paradas_Detalhadas!$A:$A,A700,Paradas_Detalhadas!$B:$B,B700,Paradas_Detalhadas!$C:$C,C700,Paradas_Detalhadas!$D:$D,E700))</f>
        <v/>
      </c>
      <c r="H700" s="26" t="str">
        <f t="shared" si="55"/>
        <v/>
      </c>
      <c r="I700" s="10"/>
      <c r="J700" s="10"/>
      <c r="K700" s="10" t="str">
        <f t="shared" si="56"/>
        <v/>
      </c>
      <c r="L700" s="10" t="str">
        <f t="shared" si="57"/>
        <v/>
      </c>
      <c r="M700" s="10" t="str">
        <f t="shared" si="58"/>
        <v/>
      </c>
      <c r="N700" s="10" t="str">
        <f t="shared" si="59"/>
        <v/>
      </c>
      <c r="O700" s="6"/>
      <c r="P700" s="6"/>
    </row>
    <row r="701" spans="1:16" x14ac:dyDescent="0.3">
      <c r="A701" s="6"/>
      <c r="B701" s="7"/>
      <c r="C701" s="6"/>
      <c r="D701" s="6"/>
      <c r="E701" s="6"/>
      <c r="F701" s="25"/>
      <c r="G701" s="25" t="str">
        <f>IF(A701="","",SUMIFS(Paradas_Detalhadas!$I:$I,Paradas_Detalhadas!$A:$A,A701,Paradas_Detalhadas!$B:$B,B701,Paradas_Detalhadas!$C:$C,C701,Paradas_Detalhadas!$D:$D,E701))</f>
        <v/>
      </c>
      <c r="H701" s="26" t="str">
        <f t="shared" si="55"/>
        <v/>
      </c>
      <c r="I701" s="10"/>
      <c r="J701" s="10"/>
      <c r="K701" s="10" t="str">
        <f t="shared" si="56"/>
        <v/>
      </c>
      <c r="L701" s="10" t="str">
        <f t="shared" si="57"/>
        <v/>
      </c>
      <c r="M701" s="10" t="str">
        <f t="shared" si="58"/>
        <v/>
      </c>
      <c r="N701" s="10" t="str">
        <f t="shared" si="59"/>
        <v/>
      </c>
      <c r="O701" s="6"/>
      <c r="P701" s="6"/>
    </row>
    <row r="702" spans="1:16" x14ac:dyDescent="0.3">
      <c r="A702" s="6"/>
      <c r="B702" s="7"/>
      <c r="C702" s="6"/>
      <c r="D702" s="6"/>
      <c r="E702" s="6"/>
      <c r="F702" s="25"/>
      <c r="G702" s="25" t="str">
        <f>IF(A702="","",SUMIFS(Paradas_Detalhadas!$I:$I,Paradas_Detalhadas!$A:$A,A702,Paradas_Detalhadas!$B:$B,B702,Paradas_Detalhadas!$C:$C,C702,Paradas_Detalhadas!$D:$D,E702))</f>
        <v/>
      </c>
      <c r="H702" s="26" t="str">
        <f t="shared" si="55"/>
        <v/>
      </c>
      <c r="I702" s="10"/>
      <c r="J702" s="10"/>
      <c r="K702" s="10" t="str">
        <f t="shared" si="56"/>
        <v/>
      </c>
      <c r="L702" s="10" t="str">
        <f t="shared" si="57"/>
        <v/>
      </c>
      <c r="M702" s="10" t="str">
        <f t="shared" si="58"/>
        <v/>
      </c>
      <c r="N702" s="10" t="str">
        <f t="shared" si="59"/>
        <v/>
      </c>
      <c r="O702" s="6"/>
      <c r="P702" s="6"/>
    </row>
    <row r="703" spans="1:16" x14ac:dyDescent="0.3">
      <c r="A703" s="6"/>
      <c r="B703" s="7"/>
      <c r="C703" s="6"/>
      <c r="D703" s="6"/>
      <c r="E703" s="6"/>
      <c r="F703" s="25"/>
      <c r="G703" s="25" t="str">
        <f>IF(A703="","",SUMIFS(Paradas_Detalhadas!$I:$I,Paradas_Detalhadas!$A:$A,A703,Paradas_Detalhadas!$B:$B,B703,Paradas_Detalhadas!$C:$C,C703,Paradas_Detalhadas!$D:$D,E703))</f>
        <v/>
      </c>
      <c r="H703" s="26" t="str">
        <f t="shared" si="55"/>
        <v/>
      </c>
      <c r="I703" s="10"/>
      <c r="J703" s="10"/>
      <c r="K703" s="10" t="str">
        <f t="shared" si="56"/>
        <v/>
      </c>
      <c r="L703" s="10" t="str">
        <f t="shared" si="57"/>
        <v/>
      </c>
      <c r="M703" s="10" t="str">
        <f t="shared" si="58"/>
        <v/>
      </c>
      <c r="N703" s="10" t="str">
        <f t="shared" si="59"/>
        <v/>
      </c>
      <c r="O703" s="6"/>
      <c r="P703" s="6"/>
    </row>
    <row r="704" spans="1:16" x14ac:dyDescent="0.3">
      <c r="A704" s="6"/>
      <c r="B704" s="7"/>
      <c r="C704" s="6"/>
      <c r="D704" s="6"/>
      <c r="E704" s="6"/>
      <c r="F704" s="25"/>
      <c r="G704" s="25" t="str">
        <f>IF(A704="","",SUMIFS(Paradas_Detalhadas!$I:$I,Paradas_Detalhadas!$A:$A,A704,Paradas_Detalhadas!$B:$B,B704,Paradas_Detalhadas!$C:$C,C704,Paradas_Detalhadas!$D:$D,E704))</f>
        <v/>
      </c>
      <c r="H704" s="26" t="str">
        <f t="shared" si="55"/>
        <v/>
      </c>
      <c r="I704" s="10"/>
      <c r="J704" s="10"/>
      <c r="K704" s="10" t="str">
        <f t="shared" si="56"/>
        <v/>
      </c>
      <c r="L704" s="10" t="str">
        <f t="shared" si="57"/>
        <v/>
      </c>
      <c r="M704" s="10" t="str">
        <f t="shared" si="58"/>
        <v/>
      </c>
      <c r="N704" s="10" t="str">
        <f t="shared" si="59"/>
        <v/>
      </c>
      <c r="O704" s="6"/>
      <c r="P704" s="6"/>
    </row>
    <row r="705" spans="1:16" x14ac:dyDescent="0.3">
      <c r="A705" s="6"/>
      <c r="B705" s="7"/>
      <c r="C705" s="6"/>
      <c r="D705" s="6"/>
      <c r="E705" s="6"/>
      <c r="F705" s="25"/>
      <c r="G705" s="25" t="str">
        <f>IF(A705="","",SUMIFS(Paradas_Detalhadas!$I:$I,Paradas_Detalhadas!$A:$A,A705,Paradas_Detalhadas!$B:$B,B705,Paradas_Detalhadas!$C:$C,C705,Paradas_Detalhadas!$D:$D,E705))</f>
        <v/>
      </c>
      <c r="H705" s="26" t="str">
        <f t="shared" si="55"/>
        <v/>
      </c>
      <c r="I705" s="10"/>
      <c r="J705" s="10"/>
      <c r="K705" s="10" t="str">
        <f t="shared" si="56"/>
        <v/>
      </c>
      <c r="L705" s="10" t="str">
        <f t="shared" si="57"/>
        <v/>
      </c>
      <c r="M705" s="10" t="str">
        <f t="shared" si="58"/>
        <v/>
      </c>
      <c r="N705" s="10" t="str">
        <f t="shared" si="59"/>
        <v/>
      </c>
      <c r="O705" s="6"/>
      <c r="P705" s="6"/>
    </row>
    <row r="706" spans="1:16" x14ac:dyDescent="0.3">
      <c r="A706" s="6"/>
      <c r="B706" s="7"/>
      <c r="C706" s="6"/>
      <c r="D706" s="6"/>
      <c r="E706" s="6"/>
      <c r="F706" s="25"/>
      <c r="G706" s="25" t="str">
        <f>IF(A706="","",SUMIFS(Paradas_Detalhadas!$I:$I,Paradas_Detalhadas!$A:$A,A706,Paradas_Detalhadas!$B:$B,B706,Paradas_Detalhadas!$C:$C,C706,Paradas_Detalhadas!$D:$D,E706))</f>
        <v/>
      </c>
      <c r="H706" s="26" t="str">
        <f t="shared" si="55"/>
        <v/>
      </c>
      <c r="I706" s="10"/>
      <c r="J706" s="10"/>
      <c r="K706" s="10" t="str">
        <f t="shared" si="56"/>
        <v/>
      </c>
      <c r="L706" s="10" t="str">
        <f t="shared" si="57"/>
        <v/>
      </c>
      <c r="M706" s="10" t="str">
        <f t="shared" si="58"/>
        <v/>
      </c>
      <c r="N706" s="10" t="str">
        <f t="shared" si="59"/>
        <v/>
      </c>
      <c r="O706" s="6"/>
      <c r="P706" s="6"/>
    </row>
    <row r="707" spans="1:16" x14ac:dyDescent="0.3">
      <c r="A707" s="6"/>
      <c r="B707" s="7"/>
      <c r="C707" s="6"/>
      <c r="D707" s="6"/>
      <c r="E707" s="6"/>
      <c r="F707" s="25"/>
      <c r="G707" s="25" t="str">
        <f>IF(A707="","",SUMIFS(Paradas_Detalhadas!$I:$I,Paradas_Detalhadas!$A:$A,A707,Paradas_Detalhadas!$B:$B,B707,Paradas_Detalhadas!$C:$C,C707,Paradas_Detalhadas!$D:$D,E707))</f>
        <v/>
      </c>
      <c r="H707" s="26" t="str">
        <f t="shared" si="55"/>
        <v/>
      </c>
      <c r="I707" s="10"/>
      <c r="J707" s="10"/>
      <c r="K707" s="10" t="str">
        <f t="shared" si="56"/>
        <v/>
      </c>
      <c r="L707" s="10" t="str">
        <f t="shared" si="57"/>
        <v/>
      </c>
      <c r="M707" s="10" t="str">
        <f t="shared" si="58"/>
        <v/>
      </c>
      <c r="N707" s="10" t="str">
        <f t="shared" si="59"/>
        <v/>
      </c>
      <c r="O707" s="6"/>
      <c r="P707" s="6"/>
    </row>
    <row r="708" spans="1:16" x14ac:dyDescent="0.3">
      <c r="A708" s="6"/>
      <c r="B708" s="7"/>
      <c r="C708" s="6"/>
      <c r="D708" s="6"/>
      <c r="E708" s="6"/>
      <c r="F708" s="25"/>
      <c r="G708" s="25" t="str">
        <f>IF(A708="","",SUMIFS(Paradas_Detalhadas!$I:$I,Paradas_Detalhadas!$A:$A,A708,Paradas_Detalhadas!$B:$B,B708,Paradas_Detalhadas!$C:$C,C708,Paradas_Detalhadas!$D:$D,E708))</f>
        <v/>
      </c>
      <c r="H708" s="26" t="str">
        <f t="shared" si="55"/>
        <v/>
      </c>
      <c r="I708" s="10"/>
      <c r="J708" s="10"/>
      <c r="K708" s="10" t="str">
        <f t="shared" si="56"/>
        <v/>
      </c>
      <c r="L708" s="10" t="str">
        <f t="shared" si="57"/>
        <v/>
      </c>
      <c r="M708" s="10" t="str">
        <f t="shared" si="58"/>
        <v/>
      </c>
      <c r="N708" s="10" t="str">
        <f t="shared" si="59"/>
        <v/>
      </c>
      <c r="O708" s="6"/>
      <c r="P708" s="6"/>
    </row>
    <row r="709" spans="1:16" x14ac:dyDescent="0.3">
      <c r="A709" s="6"/>
      <c r="B709" s="7"/>
      <c r="C709" s="6"/>
      <c r="D709" s="6"/>
      <c r="E709" s="6"/>
      <c r="F709" s="25"/>
      <c r="G709" s="25" t="str">
        <f>IF(A709="","",SUMIFS(Paradas_Detalhadas!$I:$I,Paradas_Detalhadas!$A:$A,A709,Paradas_Detalhadas!$B:$B,B709,Paradas_Detalhadas!$C:$C,C709,Paradas_Detalhadas!$D:$D,E709))</f>
        <v/>
      </c>
      <c r="H709" s="26" t="str">
        <f t="shared" si="55"/>
        <v/>
      </c>
      <c r="I709" s="10"/>
      <c r="J709" s="10"/>
      <c r="K709" s="10" t="str">
        <f t="shared" si="56"/>
        <v/>
      </c>
      <c r="L709" s="10" t="str">
        <f t="shared" si="57"/>
        <v/>
      </c>
      <c r="M709" s="10" t="str">
        <f t="shared" si="58"/>
        <v/>
      </c>
      <c r="N709" s="10" t="str">
        <f t="shared" si="59"/>
        <v/>
      </c>
      <c r="O709" s="6"/>
      <c r="P709" s="6"/>
    </row>
    <row r="710" spans="1:16" x14ac:dyDescent="0.3">
      <c r="A710" s="6"/>
      <c r="B710" s="7"/>
      <c r="C710" s="6"/>
      <c r="D710" s="6"/>
      <c r="E710" s="6"/>
      <c r="F710" s="25"/>
      <c r="G710" s="25" t="str">
        <f>IF(A710="","",SUMIFS(Paradas_Detalhadas!$I:$I,Paradas_Detalhadas!$A:$A,A710,Paradas_Detalhadas!$B:$B,B710,Paradas_Detalhadas!$C:$C,C710,Paradas_Detalhadas!$D:$D,E710))</f>
        <v/>
      </c>
      <c r="H710" s="26" t="str">
        <f t="shared" si="55"/>
        <v/>
      </c>
      <c r="I710" s="10"/>
      <c r="J710" s="10"/>
      <c r="K710" s="10" t="str">
        <f t="shared" si="56"/>
        <v/>
      </c>
      <c r="L710" s="10" t="str">
        <f t="shared" si="57"/>
        <v/>
      </c>
      <c r="M710" s="10" t="str">
        <f t="shared" si="58"/>
        <v/>
      </c>
      <c r="N710" s="10" t="str">
        <f t="shared" si="59"/>
        <v/>
      </c>
      <c r="O710" s="6"/>
      <c r="P710" s="6"/>
    </row>
    <row r="711" spans="1:16" x14ac:dyDescent="0.3">
      <c r="A711" s="6"/>
      <c r="B711" s="7"/>
      <c r="C711" s="6"/>
      <c r="D711" s="6"/>
      <c r="E711" s="6"/>
      <c r="F711" s="25"/>
      <c r="G711" s="25" t="str">
        <f>IF(A711="","",SUMIFS(Paradas_Detalhadas!$I:$I,Paradas_Detalhadas!$A:$A,A711,Paradas_Detalhadas!$B:$B,B711,Paradas_Detalhadas!$C:$C,C711,Paradas_Detalhadas!$D:$D,E711))</f>
        <v/>
      </c>
      <c r="H711" s="26" t="str">
        <f t="shared" si="55"/>
        <v/>
      </c>
      <c r="I711" s="10"/>
      <c r="J711" s="10"/>
      <c r="K711" s="10" t="str">
        <f t="shared" si="56"/>
        <v/>
      </c>
      <c r="L711" s="10" t="str">
        <f t="shared" si="57"/>
        <v/>
      </c>
      <c r="M711" s="10" t="str">
        <f t="shared" si="58"/>
        <v/>
      </c>
      <c r="N711" s="10" t="str">
        <f t="shared" si="59"/>
        <v/>
      </c>
      <c r="O711" s="6"/>
      <c r="P711" s="6"/>
    </row>
    <row r="712" spans="1:16" x14ac:dyDescent="0.3">
      <c r="A712" s="6"/>
      <c r="B712" s="7"/>
      <c r="C712" s="6"/>
      <c r="D712" s="6"/>
      <c r="E712" s="6"/>
      <c r="F712" s="25"/>
      <c r="G712" s="25" t="str">
        <f>IF(A712="","",SUMIFS(Paradas_Detalhadas!$I:$I,Paradas_Detalhadas!$A:$A,A712,Paradas_Detalhadas!$B:$B,B712,Paradas_Detalhadas!$C:$C,C712,Paradas_Detalhadas!$D:$D,E712))</f>
        <v/>
      </c>
      <c r="H712" s="26" t="str">
        <f t="shared" si="55"/>
        <v/>
      </c>
      <c r="I712" s="10"/>
      <c r="J712" s="10"/>
      <c r="K712" s="10" t="str">
        <f t="shared" si="56"/>
        <v/>
      </c>
      <c r="L712" s="10" t="str">
        <f t="shared" si="57"/>
        <v/>
      </c>
      <c r="M712" s="10" t="str">
        <f t="shared" si="58"/>
        <v/>
      </c>
      <c r="N712" s="10" t="str">
        <f t="shared" si="59"/>
        <v/>
      </c>
      <c r="O712" s="6"/>
      <c r="P712" s="6"/>
    </row>
    <row r="713" spans="1:16" x14ac:dyDescent="0.3">
      <c r="A713" s="6"/>
      <c r="B713" s="7"/>
      <c r="C713" s="6"/>
      <c r="D713" s="6"/>
      <c r="E713" s="6"/>
      <c r="F713" s="25"/>
      <c r="G713" s="25" t="str">
        <f>IF(A713="","",SUMIFS(Paradas_Detalhadas!$I:$I,Paradas_Detalhadas!$A:$A,A713,Paradas_Detalhadas!$B:$B,B713,Paradas_Detalhadas!$C:$C,C713,Paradas_Detalhadas!$D:$D,E713))</f>
        <v/>
      </c>
      <c r="H713" s="26" t="str">
        <f t="shared" si="55"/>
        <v/>
      </c>
      <c r="I713" s="10"/>
      <c r="J713" s="10"/>
      <c r="K713" s="10" t="str">
        <f t="shared" si="56"/>
        <v/>
      </c>
      <c r="L713" s="10" t="str">
        <f t="shared" si="57"/>
        <v/>
      </c>
      <c r="M713" s="10" t="str">
        <f t="shared" si="58"/>
        <v/>
      </c>
      <c r="N713" s="10" t="str">
        <f t="shared" si="59"/>
        <v/>
      </c>
      <c r="O713" s="6"/>
      <c r="P713" s="6"/>
    </row>
    <row r="714" spans="1:16" x14ac:dyDescent="0.3">
      <c r="A714" s="6"/>
      <c r="B714" s="7"/>
      <c r="C714" s="6"/>
      <c r="D714" s="6"/>
      <c r="E714" s="6"/>
      <c r="F714" s="25"/>
      <c r="G714" s="25" t="str">
        <f>IF(A714="","",SUMIFS(Paradas_Detalhadas!$I:$I,Paradas_Detalhadas!$A:$A,A714,Paradas_Detalhadas!$B:$B,B714,Paradas_Detalhadas!$C:$C,C714,Paradas_Detalhadas!$D:$D,E714))</f>
        <v/>
      </c>
      <c r="H714" s="26" t="str">
        <f t="shared" si="55"/>
        <v/>
      </c>
      <c r="I714" s="10"/>
      <c r="J714" s="10"/>
      <c r="K714" s="10" t="str">
        <f t="shared" si="56"/>
        <v/>
      </c>
      <c r="L714" s="10" t="str">
        <f t="shared" si="57"/>
        <v/>
      </c>
      <c r="M714" s="10" t="str">
        <f t="shared" si="58"/>
        <v/>
      </c>
      <c r="N714" s="10" t="str">
        <f t="shared" si="59"/>
        <v/>
      </c>
      <c r="O714" s="6"/>
      <c r="P714" s="6"/>
    </row>
    <row r="715" spans="1:16" x14ac:dyDescent="0.3">
      <c r="A715" s="6"/>
      <c r="B715" s="7"/>
      <c r="C715" s="6"/>
      <c r="D715" s="6"/>
      <c r="E715" s="6"/>
      <c r="F715" s="25"/>
      <c r="G715" s="25" t="str">
        <f>IF(A715="","",SUMIFS(Paradas_Detalhadas!$I:$I,Paradas_Detalhadas!$A:$A,A715,Paradas_Detalhadas!$B:$B,B715,Paradas_Detalhadas!$C:$C,C715,Paradas_Detalhadas!$D:$D,E715))</f>
        <v/>
      </c>
      <c r="H715" s="26" t="str">
        <f t="shared" si="55"/>
        <v/>
      </c>
      <c r="I715" s="10"/>
      <c r="J715" s="10"/>
      <c r="K715" s="10" t="str">
        <f t="shared" si="56"/>
        <v/>
      </c>
      <c r="L715" s="10" t="str">
        <f t="shared" si="57"/>
        <v/>
      </c>
      <c r="M715" s="10" t="str">
        <f t="shared" si="58"/>
        <v/>
      </c>
      <c r="N715" s="10" t="str">
        <f t="shared" si="59"/>
        <v/>
      </c>
      <c r="O715" s="6"/>
      <c r="P715" s="6"/>
    </row>
    <row r="716" spans="1:16" x14ac:dyDescent="0.3">
      <c r="A716" s="6"/>
      <c r="B716" s="7"/>
      <c r="C716" s="6"/>
      <c r="D716" s="6"/>
      <c r="E716" s="6"/>
      <c r="F716" s="25"/>
      <c r="G716" s="25" t="str">
        <f>IF(A716="","",SUMIFS(Paradas_Detalhadas!$I:$I,Paradas_Detalhadas!$A:$A,A716,Paradas_Detalhadas!$B:$B,B716,Paradas_Detalhadas!$C:$C,C716,Paradas_Detalhadas!$D:$D,E716))</f>
        <v/>
      </c>
      <c r="H716" s="26" t="str">
        <f t="shared" si="55"/>
        <v/>
      </c>
      <c r="I716" s="10"/>
      <c r="J716" s="10"/>
      <c r="K716" s="10" t="str">
        <f t="shared" si="56"/>
        <v/>
      </c>
      <c r="L716" s="10" t="str">
        <f t="shared" si="57"/>
        <v/>
      </c>
      <c r="M716" s="10" t="str">
        <f t="shared" si="58"/>
        <v/>
      </c>
      <c r="N716" s="10" t="str">
        <f t="shared" si="59"/>
        <v/>
      </c>
      <c r="O716" s="6"/>
      <c r="P716" s="6"/>
    </row>
    <row r="717" spans="1:16" x14ac:dyDescent="0.3">
      <c r="A717" s="6"/>
      <c r="B717" s="7"/>
      <c r="C717" s="6"/>
      <c r="D717" s="6"/>
      <c r="E717" s="6"/>
      <c r="F717" s="25"/>
      <c r="G717" s="25" t="str">
        <f>IF(A717="","",SUMIFS(Paradas_Detalhadas!$I:$I,Paradas_Detalhadas!$A:$A,A717,Paradas_Detalhadas!$B:$B,B717,Paradas_Detalhadas!$C:$C,C717,Paradas_Detalhadas!$D:$D,E717))</f>
        <v/>
      </c>
      <c r="H717" s="26" t="str">
        <f t="shared" si="55"/>
        <v/>
      </c>
      <c r="I717" s="10"/>
      <c r="J717" s="10"/>
      <c r="K717" s="10" t="str">
        <f t="shared" si="56"/>
        <v/>
      </c>
      <c r="L717" s="10" t="str">
        <f t="shared" si="57"/>
        <v/>
      </c>
      <c r="M717" s="10" t="str">
        <f t="shared" si="58"/>
        <v/>
      </c>
      <c r="N717" s="10" t="str">
        <f t="shared" si="59"/>
        <v/>
      </c>
      <c r="O717" s="6"/>
      <c r="P717" s="6"/>
    </row>
    <row r="718" spans="1:16" x14ac:dyDescent="0.3">
      <c r="A718" s="6"/>
      <c r="B718" s="7"/>
      <c r="C718" s="6"/>
      <c r="D718" s="6"/>
      <c r="E718" s="6"/>
      <c r="F718" s="25"/>
      <c r="G718" s="25" t="str">
        <f>IF(A718="","",SUMIFS(Paradas_Detalhadas!$I:$I,Paradas_Detalhadas!$A:$A,A718,Paradas_Detalhadas!$B:$B,B718,Paradas_Detalhadas!$C:$C,C718,Paradas_Detalhadas!$D:$D,E718))</f>
        <v/>
      </c>
      <c r="H718" s="26" t="str">
        <f t="shared" si="55"/>
        <v/>
      </c>
      <c r="I718" s="10"/>
      <c r="J718" s="10"/>
      <c r="K718" s="10" t="str">
        <f t="shared" si="56"/>
        <v/>
      </c>
      <c r="L718" s="10" t="str">
        <f t="shared" si="57"/>
        <v/>
      </c>
      <c r="M718" s="10" t="str">
        <f t="shared" si="58"/>
        <v/>
      </c>
      <c r="N718" s="10" t="str">
        <f t="shared" si="59"/>
        <v/>
      </c>
      <c r="O718" s="6"/>
      <c r="P718" s="6"/>
    </row>
    <row r="719" spans="1:16" x14ac:dyDescent="0.3">
      <c r="A719" s="6"/>
      <c r="B719" s="7"/>
      <c r="C719" s="6"/>
      <c r="D719" s="6"/>
      <c r="E719" s="6"/>
      <c r="F719" s="25"/>
      <c r="G719" s="25" t="str">
        <f>IF(A719="","",SUMIFS(Paradas_Detalhadas!$I:$I,Paradas_Detalhadas!$A:$A,A719,Paradas_Detalhadas!$B:$B,B719,Paradas_Detalhadas!$C:$C,C719,Paradas_Detalhadas!$D:$D,E719))</f>
        <v/>
      </c>
      <c r="H719" s="26" t="str">
        <f t="shared" si="55"/>
        <v/>
      </c>
      <c r="I719" s="10"/>
      <c r="J719" s="10"/>
      <c r="K719" s="10" t="str">
        <f t="shared" si="56"/>
        <v/>
      </c>
      <c r="L719" s="10" t="str">
        <f t="shared" si="57"/>
        <v/>
      </c>
      <c r="M719" s="10" t="str">
        <f t="shared" si="58"/>
        <v/>
      </c>
      <c r="N719" s="10" t="str">
        <f t="shared" si="59"/>
        <v/>
      </c>
      <c r="O719" s="6"/>
      <c r="P719" s="6"/>
    </row>
    <row r="720" spans="1:16" x14ac:dyDescent="0.3">
      <c r="A720" s="6"/>
      <c r="B720" s="7"/>
      <c r="C720" s="6"/>
      <c r="D720" s="6"/>
      <c r="E720" s="6"/>
      <c r="F720" s="25"/>
      <c r="G720" s="25" t="str">
        <f>IF(A720="","",SUMIFS(Paradas_Detalhadas!$I:$I,Paradas_Detalhadas!$A:$A,A720,Paradas_Detalhadas!$B:$B,B720,Paradas_Detalhadas!$C:$C,C720,Paradas_Detalhadas!$D:$D,E720))</f>
        <v/>
      </c>
      <c r="H720" s="26" t="str">
        <f t="shared" si="55"/>
        <v/>
      </c>
      <c r="I720" s="10"/>
      <c r="J720" s="10"/>
      <c r="K720" s="10" t="str">
        <f t="shared" si="56"/>
        <v/>
      </c>
      <c r="L720" s="10" t="str">
        <f t="shared" si="57"/>
        <v/>
      </c>
      <c r="M720" s="10" t="str">
        <f t="shared" si="58"/>
        <v/>
      </c>
      <c r="N720" s="10" t="str">
        <f t="shared" si="59"/>
        <v/>
      </c>
      <c r="O720" s="6"/>
      <c r="P720" s="6"/>
    </row>
    <row r="721" spans="1:16" x14ac:dyDescent="0.3">
      <c r="A721" s="6"/>
      <c r="B721" s="7"/>
      <c r="C721" s="6"/>
      <c r="D721" s="6"/>
      <c r="E721" s="6"/>
      <c r="F721" s="25"/>
      <c r="G721" s="25" t="str">
        <f>IF(A721="","",SUMIFS(Paradas_Detalhadas!$I:$I,Paradas_Detalhadas!$A:$A,A721,Paradas_Detalhadas!$B:$B,B721,Paradas_Detalhadas!$C:$C,C721,Paradas_Detalhadas!$D:$D,E721))</f>
        <v/>
      </c>
      <c r="H721" s="26" t="str">
        <f t="shared" si="55"/>
        <v/>
      </c>
      <c r="I721" s="10"/>
      <c r="J721" s="10"/>
      <c r="K721" s="10" t="str">
        <f t="shared" si="56"/>
        <v/>
      </c>
      <c r="L721" s="10" t="str">
        <f t="shared" si="57"/>
        <v/>
      </c>
      <c r="M721" s="10" t="str">
        <f t="shared" si="58"/>
        <v/>
      </c>
      <c r="N721" s="10" t="str">
        <f t="shared" si="59"/>
        <v/>
      </c>
      <c r="O721" s="6"/>
      <c r="P721" s="6"/>
    </row>
    <row r="722" spans="1:16" x14ac:dyDescent="0.3">
      <c r="A722" s="6"/>
      <c r="B722" s="7"/>
      <c r="C722" s="6"/>
      <c r="D722" s="6"/>
      <c r="E722" s="6"/>
      <c r="F722" s="25"/>
      <c r="G722" s="25" t="str">
        <f>IF(A722="","",SUMIFS(Paradas_Detalhadas!$I:$I,Paradas_Detalhadas!$A:$A,A722,Paradas_Detalhadas!$B:$B,B722,Paradas_Detalhadas!$C:$C,C722,Paradas_Detalhadas!$D:$D,E722))</f>
        <v/>
      </c>
      <c r="H722" s="26" t="str">
        <f t="shared" si="55"/>
        <v/>
      </c>
      <c r="I722" s="10"/>
      <c r="J722" s="10"/>
      <c r="K722" s="10" t="str">
        <f t="shared" si="56"/>
        <v/>
      </c>
      <c r="L722" s="10" t="str">
        <f t="shared" si="57"/>
        <v/>
      </c>
      <c r="M722" s="10" t="str">
        <f t="shared" si="58"/>
        <v/>
      </c>
      <c r="N722" s="10" t="str">
        <f t="shared" si="59"/>
        <v/>
      </c>
      <c r="O722" s="6"/>
      <c r="P722" s="6"/>
    </row>
    <row r="723" spans="1:16" x14ac:dyDescent="0.3">
      <c r="A723" s="6"/>
      <c r="B723" s="7"/>
      <c r="C723" s="6"/>
      <c r="D723" s="6"/>
      <c r="E723" s="6"/>
      <c r="F723" s="25"/>
      <c r="G723" s="25" t="str">
        <f>IF(A723="","",SUMIFS(Paradas_Detalhadas!$I:$I,Paradas_Detalhadas!$A:$A,A723,Paradas_Detalhadas!$B:$B,B723,Paradas_Detalhadas!$C:$C,C723,Paradas_Detalhadas!$D:$D,E723))</f>
        <v/>
      </c>
      <c r="H723" s="26" t="str">
        <f t="shared" si="55"/>
        <v/>
      </c>
      <c r="I723" s="10"/>
      <c r="J723" s="10"/>
      <c r="K723" s="10" t="str">
        <f t="shared" si="56"/>
        <v/>
      </c>
      <c r="L723" s="10" t="str">
        <f t="shared" si="57"/>
        <v/>
      </c>
      <c r="M723" s="10" t="str">
        <f t="shared" si="58"/>
        <v/>
      </c>
      <c r="N723" s="10" t="str">
        <f t="shared" si="59"/>
        <v/>
      </c>
      <c r="O723" s="6"/>
      <c r="P723" s="6"/>
    </row>
    <row r="724" spans="1:16" x14ac:dyDescent="0.3">
      <c r="A724" s="6"/>
      <c r="B724" s="7"/>
      <c r="C724" s="6"/>
      <c r="D724" s="6"/>
      <c r="E724" s="6"/>
      <c r="F724" s="25"/>
      <c r="G724" s="25" t="str">
        <f>IF(A724="","",SUMIFS(Paradas_Detalhadas!$I:$I,Paradas_Detalhadas!$A:$A,A724,Paradas_Detalhadas!$B:$B,B724,Paradas_Detalhadas!$C:$C,C724,Paradas_Detalhadas!$D:$D,E724))</f>
        <v/>
      </c>
      <c r="H724" s="26" t="str">
        <f t="shared" si="55"/>
        <v/>
      </c>
      <c r="I724" s="10"/>
      <c r="J724" s="10"/>
      <c r="K724" s="10" t="str">
        <f t="shared" si="56"/>
        <v/>
      </c>
      <c r="L724" s="10" t="str">
        <f t="shared" si="57"/>
        <v/>
      </c>
      <c r="M724" s="10" t="str">
        <f t="shared" si="58"/>
        <v/>
      </c>
      <c r="N724" s="10" t="str">
        <f t="shared" si="59"/>
        <v/>
      </c>
      <c r="O724" s="6"/>
      <c r="P724" s="6"/>
    </row>
    <row r="725" spans="1:16" x14ac:dyDescent="0.3">
      <c r="A725" s="6"/>
      <c r="B725" s="7"/>
      <c r="C725" s="6"/>
      <c r="D725" s="6"/>
      <c r="E725" s="6"/>
      <c r="F725" s="25"/>
      <c r="G725" s="25" t="str">
        <f>IF(A725="","",SUMIFS(Paradas_Detalhadas!$I:$I,Paradas_Detalhadas!$A:$A,A725,Paradas_Detalhadas!$B:$B,B725,Paradas_Detalhadas!$C:$C,C725,Paradas_Detalhadas!$D:$D,E725))</f>
        <v/>
      </c>
      <c r="H725" s="26" t="str">
        <f t="shared" si="55"/>
        <v/>
      </c>
      <c r="I725" s="10"/>
      <c r="J725" s="10"/>
      <c r="K725" s="10" t="str">
        <f t="shared" si="56"/>
        <v/>
      </c>
      <c r="L725" s="10" t="str">
        <f t="shared" si="57"/>
        <v/>
      </c>
      <c r="M725" s="10" t="str">
        <f t="shared" si="58"/>
        <v/>
      </c>
      <c r="N725" s="10" t="str">
        <f t="shared" si="59"/>
        <v/>
      </c>
      <c r="O725" s="6"/>
      <c r="P725" s="6"/>
    </row>
    <row r="726" spans="1:16" x14ac:dyDescent="0.3">
      <c r="A726" s="6"/>
      <c r="B726" s="7"/>
      <c r="C726" s="6"/>
      <c r="D726" s="6"/>
      <c r="E726" s="6"/>
      <c r="F726" s="25"/>
      <c r="G726" s="25" t="str">
        <f>IF(A726="","",SUMIFS(Paradas_Detalhadas!$I:$I,Paradas_Detalhadas!$A:$A,A726,Paradas_Detalhadas!$B:$B,B726,Paradas_Detalhadas!$C:$C,C726,Paradas_Detalhadas!$D:$D,E726))</f>
        <v/>
      </c>
      <c r="H726" s="26" t="str">
        <f t="shared" si="55"/>
        <v/>
      </c>
      <c r="I726" s="10"/>
      <c r="J726" s="10"/>
      <c r="K726" s="10" t="str">
        <f t="shared" si="56"/>
        <v/>
      </c>
      <c r="L726" s="10" t="str">
        <f t="shared" si="57"/>
        <v/>
      </c>
      <c r="M726" s="10" t="str">
        <f t="shared" si="58"/>
        <v/>
      </c>
      <c r="N726" s="10" t="str">
        <f t="shared" si="59"/>
        <v/>
      </c>
      <c r="O726" s="6"/>
      <c r="P726" s="6"/>
    </row>
    <row r="727" spans="1:16" x14ac:dyDescent="0.3">
      <c r="A727" s="6"/>
      <c r="B727" s="7"/>
      <c r="C727" s="6"/>
      <c r="D727" s="6"/>
      <c r="E727" s="6"/>
      <c r="F727" s="25"/>
      <c r="G727" s="25" t="str">
        <f>IF(A727="","",SUMIFS(Paradas_Detalhadas!$I:$I,Paradas_Detalhadas!$A:$A,A727,Paradas_Detalhadas!$B:$B,B727,Paradas_Detalhadas!$C:$C,C727,Paradas_Detalhadas!$D:$D,E727))</f>
        <v/>
      </c>
      <c r="H727" s="26" t="str">
        <f t="shared" si="55"/>
        <v/>
      </c>
      <c r="I727" s="10"/>
      <c r="J727" s="10"/>
      <c r="K727" s="10" t="str">
        <f t="shared" si="56"/>
        <v/>
      </c>
      <c r="L727" s="10" t="str">
        <f t="shared" si="57"/>
        <v/>
      </c>
      <c r="M727" s="10" t="str">
        <f t="shared" si="58"/>
        <v/>
      </c>
      <c r="N727" s="10" t="str">
        <f t="shared" si="59"/>
        <v/>
      </c>
      <c r="O727" s="6"/>
      <c r="P727" s="6"/>
    </row>
    <row r="728" spans="1:16" x14ac:dyDescent="0.3">
      <c r="A728" s="6"/>
      <c r="B728" s="7"/>
      <c r="C728" s="6"/>
      <c r="D728" s="6"/>
      <c r="E728" s="6"/>
      <c r="F728" s="25"/>
      <c r="G728" s="25" t="str">
        <f>IF(A728="","",SUMIFS(Paradas_Detalhadas!$I:$I,Paradas_Detalhadas!$A:$A,A728,Paradas_Detalhadas!$B:$B,B728,Paradas_Detalhadas!$C:$C,C728,Paradas_Detalhadas!$D:$D,E728))</f>
        <v/>
      </c>
      <c r="H728" s="26" t="str">
        <f t="shared" si="55"/>
        <v/>
      </c>
      <c r="I728" s="10"/>
      <c r="J728" s="10"/>
      <c r="K728" s="10" t="str">
        <f t="shared" si="56"/>
        <v/>
      </c>
      <c r="L728" s="10" t="str">
        <f t="shared" si="57"/>
        <v/>
      </c>
      <c r="M728" s="10" t="str">
        <f t="shared" si="58"/>
        <v/>
      </c>
      <c r="N728" s="10" t="str">
        <f t="shared" si="59"/>
        <v/>
      </c>
      <c r="O728" s="6"/>
      <c r="P728" s="6"/>
    </row>
    <row r="729" spans="1:16" x14ac:dyDescent="0.3">
      <c r="A729" s="6"/>
      <c r="B729" s="7"/>
      <c r="C729" s="6"/>
      <c r="D729" s="6"/>
      <c r="E729" s="6"/>
      <c r="F729" s="25"/>
      <c r="G729" s="25" t="str">
        <f>IF(A729="","",SUMIFS(Paradas_Detalhadas!$I:$I,Paradas_Detalhadas!$A:$A,A729,Paradas_Detalhadas!$B:$B,B729,Paradas_Detalhadas!$C:$C,C729,Paradas_Detalhadas!$D:$D,E729))</f>
        <v/>
      </c>
      <c r="H729" s="26" t="str">
        <f t="shared" si="55"/>
        <v/>
      </c>
      <c r="I729" s="10"/>
      <c r="J729" s="10"/>
      <c r="K729" s="10" t="str">
        <f t="shared" si="56"/>
        <v/>
      </c>
      <c r="L729" s="10" t="str">
        <f t="shared" si="57"/>
        <v/>
      </c>
      <c r="M729" s="10" t="str">
        <f t="shared" si="58"/>
        <v/>
      </c>
      <c r="N729" s="10" t="str">
        <f t="shared" si="59"/>
        <v/>
      </c>
      <c r="O729" s="6"/>
      <c r="P729" s="6"/>
    </row>
    <row r="730" spans="1:16" x14ac:dyDescent="0.3">
      <c r="A730" s="6"/>
      <c r="B730" s="7"/>
      <c r="C730" s="6"/>
      <c r="D730" s="6"/>
      <c r="E730" s="6"/>
      <c r="F730" s="25"/>
      <c r="G730" s="25" t="str">
        <f>IF(A730="","",SUMIFS(Paradas_Detalhadas!$I:$I,Paradas_Detalhadas!$A:$A,A730,Paradas_Detalhadas!$B:$B,B730,Paradas_Detalhadas!$C:$C,C730,Paradas_Detalhadas!$D:$D,E730))</f>
        <v/>
      </c>
      <c r="H730" s="26" t="str">
        <f t="shared" si="55"/>
        <v/>
      </c>
      <c r="I730" s="10"/>
      <c r="J730" s="10"/>
      <c r="K730" s="10" t="str">
        <f t="shared" si="56"/>
        <v/>
      </c>
      <c r="L730" s="10" t="str">
        <f t="shared" si="57"/>
        <v/>
      </c>
      <c r="M730" s="10" t="str">
        <f t="shared" si="58"/>
        <v/>
      </c>
      <c r="N730" s="10" t="str">
        <f t="shared" si="59"/>
        <v/>
      </c>
      <c r="O730" s="6"/>
      <c r="P730" s="6"/>
    </row>
    <row r="731" spans="1:16" x14ac:dyDescent="0.3">
      <c r="A731" s="6"/>
      <c r="B731" s="7"/>
      <c r="C731" s="6"/>
      <c r="D731" s="6"/>
      <c r="E731" s="6"/>
      <c r="F731" s="25"/>
      <c r="G731" s="25" t="str">
        <f>IF(A731="","",SUMIFS(Paradas_Detalhadas!$I:$I,Paradas_Detalhadas!$A:$A,A731,Paradas_Detalhadas!$B:$B,B731,Paradas_Detalhadas!$C:$C,C731,Paradas_Detalhadas!$D:$D,E731))</f>
        <v/>
      </c>
      <c r="H731" s="26" t="str">
        <f t="shared" si="55"/>
        <v/>
      </c>
      <c r="I731" s="10"/>
      <c r="J731" s="10"/>
      <c r="K731" s="10" t="str">
        <f t="shared" si="56"/>
        <v/>
      </c>
      <c r="L731" s="10" t="str">
        <f t="shared" si="57"/>
        <v/>
      </c>
      <c r="M731" s="10" t="str">
        <f t="shared" si="58"/>
        <v/>
      </c>
      <c r="N731" s="10" t="str">
        <f t="shared" si="59"/>
        <v/>
      </c>
      <c r="O731" s="6"/>
      <c r="P731" s="6"/>
    </row>
    <row r="732" spans="1:16" x14ac:dyDescent="0.3">
      <c r="A732" s="6"/>
      <c r="B732" s="7"/>
      <c r="C732" s="6"/>
      <c r="D732" s="6"/>
      <c r="E732" s="6"/>
      <c r="F732" s="25"/>
      <c r="G732" s="25" t="str">
        <f>IF(A732="","",SUMIFS(Paradas_Detalhadas!$I:$I,Paradas_Detalhadas!$A:$A,A732,Paradas_Detalhadas!$B:$B,B732,Paradas_Detalhadas!$C:$C,C732,Paradas_Detalhadas!$D:$D,E732))</f>
        <v/>
      </c>
      <c r="H732" s="26" t="str">
        <f t="shared" si="55"/>
        <v/>
      </c>
      <c r="I732" s="10"/>
      <c r="J732" s="10"/>
      <c r="K732" s="10" t="str">
        <f t="shared" si="56"/>
        <v/>
      </c>
      <c r="L732" s="10" t="str">
        <f t="shared" si="57"/>
        <v/>
      </c>
      <c r="M732" s="10" t="str">
        <f t="shared" si="58"/>
        <v/>
      </c>
      <c r="N732" s="10" t="str">
        <f t="shared" si="59"/>
        <v/>
      </c>
      <c r="O732" s="6"/>
      <c r="P732" s="6"/>
    </row>
    <row r="733" spans="1:16" x14ac:dyDescent="0.3">
      <c r="A733" s="6"/>
      <c r="B733" s="7"/>
      <c r="C733" s="6"/>
      <c r="D733" s="6"/>
      <c r="E733" s="6"/>
      <c r="F733" s="25"/>
      <c r="G733" s="25" t="str">
        <f>IF(A733="","",SUMIFS(Paradas_Detalhadas!$I:$I,Paradas_Detalhadas!$A:$A,A733,Paradas_Detalhadas!$B:$B,B733,Paradas_Detalhadas!$C:$C,C733,Paradas_Detalhadas!$D:$D,E733))</f>
        <v/>
      </c>
      <c r="H733" s="26" t="str">
        <f t="shared" si="55"/>
        <v/>
      </c>
      <c r="I733" s="10"/>
      <c r="J733" s="10"/>
      <c r="K733" s="10" t="str">
        <f t="shared" si="56"/>
        <v/>
      </c>
      <c r="L733" s="10" t="str">
        <f t="shared" si="57"/>
        <v/>
      </c>
      <c r="M733" s="10" t="str">
        <f t="shared" si="58"/>
        <v/>
      </c>
      <c r="N733" s="10" t="str">
        <f t="shared" si="59"/>
        <v/>
      </c>
      <c r="O733" s="6"/>
      <c r="P733" s="6"/>
    </row>
    <row r="734" spans="1:16" x14ac:dyDescent="0.3">
      <c r="A734" s="6"/>
      <c r="B734" s="7"/>
      <c r="C734" s="6"/>
      <c r="D734" s="6"/>
      <c r="E734" s="6"/>
      <c r="F734" s="25"/>
      <c r="G734" s="25" t="str">
        <f>IF(A734="","",SUMIFS(Paradas_Detalhadas!$I:$I,Paradas_Detalhadas!$A:$A,A734,Paradas_Detalhadas!$B:$B,B734,Paradas_Detalhadas!$C:$C,C734,Paradas_Detalhadas!$D:$D,E734))</f>
        <v/>
      </c>
      <c r="H734" s="26" t="str">
        <f t="shared" si="55"/>
        <v/>
      </c>
      <c r="I734" s="10"/>
      <c r="J734" s="10"/>
      <c r="K734" s="10" t="str">
        <f t="shared" si="56"/>
        <v/>
      </c>
      <c r="L734" s="10" t="str">
        <f t="shared" si="57"/>
        <v/>
      </c>
      <c r="M734" s="10" t="str">
        <f t="shared" si="58"/>
        <v/>
      </c>
      <c r="N734" s="10" t="str">
        <f t="shared" si="59"/>
        <v/>
      </c>
      <c r="O734" s="6"/>
      <c r="P734" s="6"/>
    </row>
    <row r="735" spans="1:16" x14ac:dyDescent="0.3">
      <c r="A735" s="6"/>
      <c r="B735" s="7"/>
      <c r="C735" s="6"/>
      <c r="D735" s="6"/>
      <c r="E735" s="6"/>
      <c r="F735" s="25"/>
      <c r="G735" s="25" t="str">
        <f>IF(A735="","",SUMIFS(Paradas_Detalhadas!$I:$I,Paradas_Detalhadas!$A:$A,A735,Paradas_Detalhadas!$B:$B,B735,Paradas_Detalhadas!$C:$C,C735,Paradas_Detalhadas!$D:$D,E735))</f>
        <v/>
      </c>
      <c r="H735" s="26" t="str">
        <f t="shared" si="55"/>
        <v/>
      </c>
      <c r="I735" s="10"/>
      <c r="J735" s="10"/>
      <c r="K735" s="10" t="str">
        <f t="shared" si="56"/>
        <v/>
      </c>
      <c r="L735" s="10" t="str">
        <f t="shared" si="57"/>
        <v/>
      </c>
      <c r="M735" s="10" t="str">
        <f t="shared" si="58"/>
        <v/>
      </c>
      <c r="N735" s="10" t="str">
        <f t="shared" si="59"/>
        <v/>
      </c>
      <c r="O735" s="6"/>
      <c r="P735" s="6"/>
    </row>
    <row r="736" spans="1:16" x14ac:dyDescent="0.3">
      <c r="A736" s="6"/>
      <c r="B736" s="7"/>
      <c r="C736" s="6"/>
      <c r="D736" s="6"/>
      <c r="E736" s="6"/>
      <c r="F736" s="25"/>
      <c r="G736" s="25" t="str">
        <f>IF(A736="","",SUMIFS(Paradas_Detalhadas!$I:$I,Paradas_Detalhadas!$A:$A,A736,Paradas_Detalhadas!$B:$B,B736,Paradas_Detalhadas!$C:$C,C736,Paradas_Detalhadas!$D:$D,E736))</f>
        <v/>
      </c>
      <c r="H736" s="26" t="str">
        <f t="shared" si="55"/>
        <v/>
      </c>
      <c r="I736" s="10"/>
      <c r="J736" s="10"/>
      <c r="K736" s="10" t="str">
        <f t="shared" si="56"/>
        <v/>
      </c>
      <c r="L736" s="10" t="str">
        <f t="shared" si="57"/>
        <v/>
      </c>
      <c r="M736" s="10" t="str">
        <f t="shared" si="58"/>
        <v/>
      </c>
      <c r="N736" s="10" t="str">
        <f t="shared" si="59"/>
        <v/>
      </c>
      <c r="O736" s="6"/>
      <c r="P736" s="6"/>
    </row>
    <row r="737" spans="1:16" x14ac:dyDescent="0.3">
      <c r="A737" s="6"/>
      <c r="B737" s="7"/>
      <c r="C737" s="6"/>
      <c r="D737" s="6"/>
      <c r="E737" s="6"/>
      <c r="F737" s="25"/>
      <c r="G737" s="25" t="str">
        <f>IF(A737="","",SUMIFS(Paradas_Detalhadas!$I:$I,Paradas_Detalhadas!$A:$A,A737,Paradas_Detalhadas!$B:$B,B737,Paradas_Detalhadas!$C:$C,C737,Paradas_Detalhadas!$D:$D,E737))</f>
        <v/>
      </c>
      <c r="H737" s="26" t="str">
        <f t="shared" si="55"/>
        <v/>
      </c>
      <c r="I737" s="10"/>
      <c r="J737" s="10"/>
      <c r="K737" s="10" t="str">
        <f t="shared" si="56"/>
        <v/>
      </c>
      <c r="L737" s="10" t="str">
        <f t="shared" si="57"/>
        <v/>
      </c>
      <c r="M737" s="10" t="str">
        <f t="shared" si="58"/>
        <v/>
      </c>
      <c r="N737" s="10" t="str">
        <f t="shared" si="59"/>
        <v/>
      </c>
      <c r="O737" s="6"/>
      <c r="P737" s="6"/>
    </row>
    <row r="738" spans="1:16" x14ac:dyDescent="0.3">
      <c r="A738" s="6"/>
      <c r="B738" s="7"/>
      <c r="C738" s="6"/>
      <c r="D738" s="6"/>
      <c r="E738" s="6"/>
      <c r="F738" s="25"/>
      <c r="G738" s="25" t="str">
        <f>IF(A738="","",SUMIFS(Paradas_Detalhadas!$I:$I,Paradas_Detalhadas!$A:$A,A738,Paradas_Detalhadas!$B:$B,B738,Paradas_Detalhadas!$C:$C,C738,Paradas_Detalhadas!$D:$D,E738))</f>
        <v/>
      </c>
      <c r="H738" s="26" t="str">
        <f t="shared" si="55"/>
        <v/>
      </c>
      <c r="I738" s="10"/>
      <c r="J738" s="10"/>
      <c r="K738" s="10" t="str">
        <f t="shared" si="56"/>
        <v/>
      </c>
      <c r="L738" s="10" t="str">
        <f t="shared" si="57"/>
        <v/>
      </c>
      <c r="M738" s="10" t="str">
        <f t="shared" si="58"/>
        <v/>
      </c>
      <c r="N738" s="10" t="str">
        <f t="shared" si="59"/>
        <v/>
      </c>
      <c r="O738" s="6"/>
      <c r="P738" s="6"/>
    </row>
    <row r="739" spans="1:16" x14ac:dyDescent="0.3">
      <c r="A739" s="6"/>
      <c r="B739" s="7"/>
      <c r="C739" s="6"/>
      <c r="D739" s="6"/>
      <c r="E739" s="6"/>
      <c r="F739" s="25"/>
      <c r="G739" s="25" t="str">
        <f>IF(A739="","",SUMIFS(Paradas_Detalhadas!$I:$I,Paradas_Detalhadas!$A:$A,A739,Paradas_Detalhadas!$B:$B,B739,Paradas_Detalhadas!$C:$C,C739,Paradas_Detalhadas!$D:$D,E739))</f>
        <v/>
      </c>
      <c r="H739" s="26" t="str">
        <f t="shared" si="55"/>
        <v/>
      </c>
      <c r="I739" s="10"/>
      <c r="J739" s="10"/>
      <c r="K739" s="10" t="str">
        <f t="shared" si="56"/>
        <v/>
      </c>
      <c r="L739" s="10" t="str">
        <f t="shared" si="57"/>
        <v/>
      </c>
      <c r="M739" s="10" t="str">
        <f t="shared" si="58"/>
        <v/>
      </c>
      <c r="N739" s="10" t="str">
        <f t="shared" si="59"/>
        <v/>
      </c>
      <c r="O739" s="6"/>
      <c r="P739" s="6"/>
    </row>
    <row r="740" spans="1:16" x14ac:dyDescent="0.3">
      <c r="A740" s="6"/>
      <c r="B740" s="7"/>
      <c r="C740" s="6"/>
      <c r="D740" s="6"/>
      <c r="E740" s="6"/>
      <c r="F740" s="25"/>
      <c r="G740" s="25" t="str">
        <f>IF(A740="","",SUMIFS(Paradas_Detalhadas!$I:$I,Paradas_Detalhadas!$A:$A,A740,Paradas_Detalhadas!$B:$B,B740,Paradas_Detalhadas!$C:$C,C740,Paradas_Detalhadas!$D:$D,E740))</f>
        <v/>
      </c>
      <c r="H740" s="26" t="str">
        <f t="shared" si="55"/>
        <v/>
      </c>
      <c r="I740" s="10"/>
      <c r="J740" s="10"/>
      <c r="K740" s="10" t="str">
        <f t="shared" si="56"/>
        <v/>
      </c>
      <c r="L740" s="10" t="str">
        <f t="shared" si="57"/>
        <v/>
      </c>
      <c r="M740" s="10" t="str">
        <f t="shared" si="58"/>
        <v/>
      </c>
      <c r="N740" s="10" t="str">
        <f t="shared" si="59"/>
        <v/>
      </c>
      <c r="O740" s="6"/>
      <c r="P740" s="6"/>
    </row>
    <row r="741" spans="1:16" x14ac:dyDescent="0.3">
      <c r="A741" s="6"/>
      <c r="B741" s="7"/>
      <c r="C741" s="6"/>
      <c r="D741" s="6"/>
      <c r="E741" s="6"/>
      <c r="F741" s="25"/>
      <c r="G741" s="25" t="str">
        <f>IF(A741="","",SUMIFS(Paradas_Detalhadas!$I:$I,Paradas_Detalhadas!$A:$A,A741,Paradas_Detalhadas!$B:$B,B741,Paradas_Detalhadas!$C:$C,C741,Paradas_Detalhadas!$D:$D,E741))</f>
        <v/>
      </c>
      <c r="H741" s="26" t="str">
        <f t="shared" si="55"/>
        <v/>
      </c>
      <c r="I741" s="10"/>
      <c r="J741" s="10"/>
      <c r="K741" s="10" t="str">
        <f t="shared" si="56"/>
        <v/>
      </c>
      <c r="L741" s="10" t="str">
        <f t="shared" si="57"/>
        <v/>
      </c>
      <c r="M741" s="10" t="str">
        <f t="shared" si="58"/>
        <v/>
      </c>
      <c r="N741" s="10" t="str">
        <f t="shared" si="59"/>
        <v/>
      </c>
      <c r="O741" s="6"/>
      <c r="P741" s="6"/>
    </row>
    <row r="742" spans="1:16" x14ac:dyDescent="0.3">
      <c r="A742" s="6"/>
      <c r="B742" s="7"/>
      <c r="C742" s="6"/>
      <c r="D742" s="6"/>
      <c r="E742" s="6"/>
      <c r="F742" s="25"/>
      <c r="G742" s="25" t="str">
        <f>IF(A742="","",SUMIFS(Paradas_Detalhadas!$I:$I,Paradas_Detalhadas!$A:$A,A742,Paradas_Detalhadas!$B:$B,B742,Paradas_Detalhadas!$C:$C,C742,Paradas_Detalhadas!$D:$D,E742))</f>
        <v/>
      </c>
      <c r="H742" s="26" t="str">
        <f t="shared" si="55"/>
        <v/>
      </c>
      <c r="I742" s="10"/>
      <c r="J742" s="10"/>
      <c r="K742" s="10" t="str">
        <f t="shared" si="56"/>
        <v/>
      </c>
      <c r="L742" s="10" t="str">
        <f t="shared" si="57"/>
        <v/>
      </c>
      <c r="M742" s="10" t="str">
        <f t="shared" si="58"/>
        <v/>
      </c>
      <c r="N742" s="10" t="str">
        <f t="shared" si="59"/>
        <v/>
      </c>
      <c r="O742" s="6"/>
      <c r="P742" s="6"/>
    </row>
    <row r="743" spans="1:16" x14ac:dyDescent="0.3">
      <c r="A743" s="6"/>
      <c r="B743" s="7"/>
      <c r="C743" s="6"/>
      <c r="D743" s="6"/>
      <c r="E743" s="6"/>
      <c r="F743" s="25"/>
      <c r="G743" s="25" t="str">
        <f>IF(A743="","",SUMIFS(Paradas_Detalhadas!$I:$I,Paradas_Detalhadas!$A:$A,A743,Paradas_Detalhadas!$B:$B,B743,Paradas_Detalhadas!$C:$C,C743,Paradas_Detalhadas!$D:$D,E743))</f>
        <v/>
      </c>
      <c r="H743" s="26" t="str">
        <f t="shared" si="55"/>
        <v/>
      </c>
      <c r="I743" s="10"/>
      <c r="J743" s="10"/>
      <c r="K743" s="10" t="str">
        <f t="shared" si="56"/>
        <v/>
      </c>
      <c r="L743" s="10" t="str">
        <f t="shared" si="57"/>
        <v/>
      </c>
      <c r="M743" s="10" t="str">
        <f t="shared" si="58"/>
        <v/>
      </c>
      <c r="N743" s="10" t="str">
        <f t="shared" si="59"/>
        <v/>
      </c>
      <c r="O743" s="6"/>
      <c r="P743" s="6"/>
    </row>
    <row r="744" spans="1:16" x14ac:dyDescent="0.3">
      <c r="A744" s="6"/>
      <c r="B744" s="7"/>
      <c r="C744" s="6"/>
      <c r="D744" s="6"/>
      <c r="E744" s="6"/>
      <c r="F744" s="25"/>
      <c r="G744" s="25" t="str">
        <f>IF(A744="","",SUMIFS(Paradas_Detalhadas!$I:$I,Paradas_Detalhadas!$A:$A,A744,Paradas_Detalhadas!$B:$B,B744,Paradas_Detalhadas!$C:$C,C744,Paradas_Detalhadas!$D:$D,E744))</f>
        <v/>
      </c>
      <c r="H744" s="26" t="str">
        <f t="shared" si="55"/>
        <v/>
      </c>
      <c r="I744" s="10"/>
      <c r="J744" s="10"/>
      <c r="K744" s="10" t="str">
        <f t="shared" si="56"/>
        <v/>
      </c>
      <c r="L744" s="10" t="str">
        <f t="shared" si="57"/>
        <v/>
      </c>
      <c r="M744" s="10" t="str">
        <f t="shared" si="58"/>
        <v/>
      </c>
      <c r="N744" s="10" t="str">
        <f t="shared" si="59"/>
        <v/>
      </c>
      <c r="O744" s="6"/>
      <c r="P744" s="6"/>
    </row>
    <row r="745" spans="1:16" x14ac:dyDescent="0.3">
      <c r="A745" s="6"/>
      <c r="B745" s="7"/>
      <c r="C745" s="6"/>
      <c r="D745" s="6"/>
      <c r="E745" s="6"/>
      <c r="F745" s="25"/>
      <c r="G745" s="25" t="str">
        <f>IF(A745="","",SUMIFS(Paradas_Detalhadas!$I:$I,Paradas_Detalhadas!$A:$A,A745,Paradas_Detalhadas!$B:$B,B745,Paradas_Detalhadas!$C:$C,C745,Paradas_Detalhadas!$D:$D,E745))</f>
        <v/>
      </c>
      <c r="H745" s="26" t="str">
        <f t="shared" si="55"/>
        <v/>
      </c>
      <c r="I745" s="10"/>
      <c r="J745" s="10"/>
      <c r="K745" s="10" t="str">
        <f t="shared" si="56"/>
        <v/>
      </c>
      <c r="L745" s="10" t="str">
        <f t="shared" si="57"/>
        <v/>
      </c>
      <c r="M745" s="10" t="str">
        <f t="shared" si="58"/>
        <v/>
      </c>
      <c r="N745" s="10" t="str">
        <f t="shared" si="59"/>
        <v/>
      </c>
      <c r="O745" s="6"/>
      <c r="P745" s="6"/>
    </row>
    <row r="746" spans="1:16" x14ac:dyDescent="0.3">
      <c r="A746" s="6"/>
      <c r="B746" s="7"/>
      <c r="C746" s="6"/>
      <c r="D746" s="6"/>
      <c r="E746" s="6"/>
      <c r="F746" s="25"/>
      <c r="G746" s="25" t="str">
        <f>IF(A746="","",SUMIFS(Paradas_Detalhadas!$I:$I,Paradas_Detalhadas!$A:$A,A746,Paradas_Detalhadas!$B:$B,B746,Paradas_Detalhadas!$C:$C,C746,Paradas_Detalhadas!$D:$D,E746))</f>
        <v/>
      </c>
      <c r="H746" s="26" t="str">
        <f t="shared" si="55"/>
        <v/>
      </c>
      <c r="I746" s="10"/>
      <c r="J746" s="10"/>
      <c r="K746" s="10" t="str">
        <f t="shared" si="56"/>
        <v/>
      </c>
      <c r="L746" s="10" t="str">
        <f t="shared" si="57"/>
        <v/>
      </c>
      <c r="M746" s="10" t="str">
        <f t="shared" si="58"/>
        <v/>
      </c>
      <c r="N746" s="10" t="str">
        <f t="shared" si="59"/>
        <v/>
      </c>
      <c r="O746" s="6"/>
      <c r="P746" s="6"/>
    </row>
    <row r="747" spans="1:16" x14ac:dyDescent="0.3">
      <c r="A747" s="6"/>
      <c r="B747" s="7"/>
      <c r="C747" s="6"/>
      <c r="D747" s="6"/>
      <c r="E747" s="6"/>
      <c r="F747" s="25"/>
      <c r="G747" s="25" t="str">
        <f>IF(A747="","",SUMIFS(Paradas_Detalhadas!$I:$I,Paradas_Detalhadas!$A:$A,A747,Paradas_Detalhadas!$B:$B,B747,Paradas_Detalhadas!$C:$C,C747,Paradas_Detalhadas!$D:$D,E747))</f>
        <v/>
      </c>
      <c r="H747" s="26" t="str">
        <f t="shared" si="55"/>
        <v/>
      </c>
      <c r="I747" s="10"/>
      <c r="J747" s="10"/>
      <c r="K747" s="10" t="str">
        <f t="shared" si="56"/>
        <v/>
      </c>
      <c r="L747" s="10" t="str">
        <f t="shared" si="57"/>
        <v/>
      </c>
      <c r="M747" s="10" t="str">
        <f t="shared" si="58"/>
        <v/>
      </c>
      <c r="N747" s="10" t="str">
        <f t="shared" si="59"/>
        <v/>
      </c>
      <c r="O747" s="6"/>
      <c r="P747" s="6"/>
    </row>
    <row r="748" spans="1:16" x14ac:dyDescent="0.3">
      <c r="A748" s="6"/>
      <c r="B748" s="7"/>
      <c r="C748" s="6"/>
      <c r="D748" s="6"/>
      <c r="E748" s="6"/>
      <c r="F748" s="25"/>
      <c r="G748" s="25" t="str">
        <f>IF(A748="","",SUMIFS(Paradas_Detalhadas!$I:$I,Paradas_Detalhadas!$A:$A,A748,Paradas_Detalhadas!$B:$B,B748,Paradas_Detalhadas!$C:$C,C748,Paradas_Detalhadas!$D:$D,E748))</f>
        <v/>
      </c>
      <c r="H748" s="26" t="str">
        <f t="shared" si="55"/>
        <v/>
      </c>
      <c r="I748" s="10"/>
      <c r="J748" s="10"/>
      <c r="K748" s="10" t="str">
        <f t="shared" si="56"/>
        <v/>
      </c>
      <c r="L748" s="10" t="str">
        <f t="shared" si="57"/>
        <v/>
      </c>
      <c r="M748" s="10" t="str">
        <f t="shared" si="58"/>
        <v/>
      </c>
      <c r="N748" s="10" t="str">
        <f t="shared" si="59"/>
        <v/>
      </c>
      <c r="O748" s="6"/>
      <c r="P748" s="6"/>
    </row>
    <row r="749" spans="1:16" x14ac:dyDescent="0.3">
      <c r="A749" s="6"/>
      <c r="B749" s="7"/>
      <c r="C749" s="6"/>
      <c r="D749" s="6"/>
      <c r="E749" s="6"/>
      <c r="F749" s="25"/>
      <c r="G749" s="25" t="str">
        <f>IF(A749="","",SUMIFS(Paradas_Detalhadas!$I:$I,Paradas_Detalhadas!$A:$A,A749,Paradas_Detalhadas!$B:$B,B749,Paradas_Detalhadas!$C:$C,C749,Paradas_Detalhadas!$D:$D,E749))</f>
        <v/>
      </c>
      <c r="H749" s="26" t="str">
        <f t="shared" si="55"/>
        <v/>
      </c>
      <c r="I749" s="10"/>
      <c r="J749" s="10"/>
      <c r="K749" s="10" t="str">
        <f t="shared" si="56"/>
        <v/>
      </c>
      <c r="L749" s="10" t="str">
        <f t="shared" si="57"/>
        <v/>
      </c>
      <c r="M749" s="10" t="str">
        <f t="shared" si="58"/>
        <v/>
      </c>
      <c r="N749" s="10" t="str">
        <f t="shared" si="59"/>
        <v/>
      </c>
      <c r="O749" s="6"/>
      <c r="P749" s="6"/>
    </row>
    <row r="750" spans="1:16" x14ac:dyDescent="0.3">
      <c r="A750" s="6"/>
      <c r="B750" s="7"/>
      <c r="C750" s="6"/>
      <c r="D750" s="6"/>
      <c r="E750" s="6"/>
      <c r="F750" s="25"/>
      <c r="G750" s="25" t="str">
        <f>IF(A750="","",SUMIFS(Paradas_Detalhadas!$I:$I,Paradas_Detalhadas!$A:$A,A750,Paradas_Detalhadas!$B:$B,B750,Paradas_Detalhadas!$C:$C,C750,Paradas_Detalhadas!$D:$D,E750))</f>
        <v/>
      </c>
      <c r="H750" s="26" t="str">
        <f t="shared" ref="H750:H813" si="60">IF(OR(F750="",G750=""),"",MAX(F750-G750,0))</f>
        <v/>
      </c>
      <c r="I750" s="10"/>
      <c r="J750" s="10"/>
      <c r="K750" s="10" t="str">
        <f t="shared" ref="K750:K813" si="61">IF(AND(I750="",J750=""),"",SUM(I750:J750))</f>
        <v/>
      </c>
      <c r="L750" s="10" t="str">
        <f t="shared" ref="L750:L813" si="62">IFERROR(K750/H750,"")</f>
        <v/>
      </c>
      <c r="M750" s="10" t="str">
        <f t="shared" ref="M750:M813" si="63">IFERROR(I750/H750,"")</f>
        <v/>
      </c>
      <c r="N750" s="10" t="str">
        <f t="shared" ref="N750:N813" si="64">IFERROR(J750/H750,"")</f>
        <v/>
      </c>
      <c r="O750" s="6"/>
      <c r="P750" s="6"/>
    </row>
    <row r="751" spans="1:16" x14ac:dyDescent="0.3">
      <c r="A751" s="6"/>
      <c r="B751" s="7"/>
      <c r="C751" s="6"/>
      <c r="D751" s="6"/>
      <c r="E751" s="6"/>
      <c r="F751" s="25"/>
      <c r="G751" s="25" t="str">
        <f>IF(A751="","",SUMIFS(Paradas_Detalhadas!$I:$I,Paradas_Detalhadas!$A:$A,A751,Paradas_Detalhadas!$B:$B,B751,Paradas_Detalhadas!$C:$C,C751,Paradas_Detalhadas!$D:$D,E751))</f>
        <v/>
      </c>
      <c r="H751" s="26" t="str">
        <f t="shared" si="60"/>
        <v/>
      </c>
      <c r="I751" s="10"/>
      <c r="J751" s="10"/>
      <c r="K751" s="10" t="str">
        <f t="shared" si="61"/>
        <v/>
      </c>
      <c r="L751" s="10" t="str">
        <f t="shared" si="62"/>
        <v/>
      </c>
      <c r="M751" s="10" t="str">
        <f t="shared" si="63"/>
        <v/>
      </c>
      <c r="N751" s="10" t="str">
        <f t="shared" si="64"/>
        <v/>
      </c>
      <c r="O751" s="6"/>
      <c r="P751" s="6"/>
    </row>
    <row r="752" spans="1:16" x14ac:dyDescent="0.3">
      <c r="A752" s="6"/>
      <c r="B752" s="7"/>
      <c r="C752" s="6"/>
      <c r="D752" s="6"/>
      <c r="E752" s="6"/>
      <c r="F752" s="25"/>
      <c r="G752" s="25" t="str">
        <f>IF(A752="","",SUMIFS(Paradas_Detalhadas!$I:$I,Paradas_Detalhadas!$A:$A,A752,Paradas_Detalhadas!$B:$B,B752,Paradas_Detalhadas!$C:$C,C752,Paradas_Detalhadas!$D:$D,E752))</f>
        <v/>
      </c>
      <c r="H752" s="26" t="str">
        <f t="shared" si="60"/>
        <v/>
      </c>
      <c r="I752" s="10"/>
      <c r="J752" s="10"/>
      <c r="K752" s="10" t="str">
        <f t="shared" si="61"/>
        <v/>
      </c>
      <c r="L752" s="10" t="str">
        <f t="shared" si="62"/>
        <v/>
      </c>
      <c r="M752" s="10" t="str">
        <f t="shared" si="63"/>
        <v/>
      </c>
      <c r="N752" s="10" t="str">
        <f t="shared" si="64"/>
        <v/>
      </c>
      <c r="O752" s="6"/>
      <c r="P752" s="6"/>
    </row>
    <row r="753" spans="1:16" x14ac:dyDescent="0.3">
      <c r="A753" s="6"/>
      <c r="B753" s="7"/>
      <c r="C753" s="6"/>
      <c r="D753" s="6"/>
      <c r="E753" s="6"/>
      <c r="F753" s="25"/>
      <c r="G753" s="25" t="str">
        <f>IF(A753="","",SUMIFS(Paradas_Detalhadas!$I:$I,Paradas_Detalhadas!$A:$A,A753,Paradas_Detalhadas!$B:$B,B753,Paradas_Detalhadas!$C:$C,C753,Paradas_Detalhadas!$D:$D,E753))</f>
        <v/>
      </c>
      <c r="H753" s="26" t="str">
        <f t="shared" si="60"/>
        <v/>
      </c>
      <c r="I753" s="10"/>
      <c r="J753" s="10"/>
      <c r="K753" s="10" t="str">
        <f t="shared" si="61"/>
        <v/>
      </c>
      <c r="L753" s="10" t="str">
        <f t="shared" si="62"/>
        <v/>
      </c>
      <c r="M753" s="10" t="str">
        <f t="shared" si="63"/>
        <v/>
      </c>
      <c r="N753" s="10" t="str">
        <f t="shared" si="64"/>
        <v/>
      </c>
      <c r="O753" s="6"/>
      <c r="P753" s="6"/>
    </row>
    <row r="754" spans="1:16" x14ac:dyDescent="0.3">
      <c r="A754" s="6"/>
      <c r="B754" s="7"/>
      <c r="C754" s="6"/>
      <c r="D754" s="6"/>
      <c r="E754" s="6"/>
      <c r="F754" s="25"/>
      <c r="G754" s="25" t="str">
        <f>IF(A754="","",SUMIFS(Paradas_Detalhadas!$I:$I,Paradas_Detalhadas!$A:$A,A754,Paradas_Detalhadas!$B:$B,B754,Paradas_Detalhadas!$C:$C,C754,Paradas_Detalhadas!$D:$D,E754))</f>
        <v/>
      </c>
      <c r="H754" s="26" t="str">
        <f t="shared" si="60"/>
        <v/>
      </c>
      <c r="I754" s="10"/>
      <c r="J754" s="10"/>
      <c r="K754" s="10" t="str">
        <f t="shared" si="61"/>
        <v/>
      </c>
      <c r="L754" s="10" t="str">
        <f t="shared" si="62"/>
        <v/>
      </c>
      <c r="M754" s="10" t="str">
        <f t="shared" si="63"/>
        <v/>
      </c>
      <c r="N754" s="10" t="str">
        <f t="shared" si="64"/>
        <v/>
      </c>
      <c r="O754" s="6"/>
      <c r="P754" s="6"/>
    </row>
    <row r="755" spans="1:16" x14ac:dyDescent="0.3">
      <c r="A755" s="6"/>
      <c r="B755" s="7"/>
      <c r="C755" s="6"/>
      <c r="D755" s="6"/>
      <c r="E755" s="6"/>
      <c r="F755" s="25"/>
      <c r="G755" s="25" t="str">
        <f>IF(A755="","",SUMIFS(Paradas_Detalhadas!$I:$I,Paradas_Detalhadas!$A:$A,A755,Paradas_Detalhadas!$B:$B,B755,Paradas_Detalhadas!$C:$C,C755,Paradas_Detalhadas!$D:$D,E755))</f>
        <v/>
      </c>
      <c r="H755" s="26" t="str">
        <f t="shared" si="60"/>
        <v/>
      </c>
      <c r="I755" s="10"/>
      <c r="J755" s="10"/>
      <c r="K755" s="10" t="str">
        <f t="shared" si="61"/>
        <v/>
      </c>
      <c r="L755" s="10" t="str">
        <f t="shared" si="62"/>
        <v/>
      </c>
      <c r="M755" s="10" t="str">
        <f t="shared" si="63"/>
        <v/>
      </c>
      <c r="N755" s="10" t="str">
        <f t="shared" si="64"/>
        <v/>
      </c>
      <c r="O755" s="6"/>
      <c r="P755" s="6"/>
    </row>
    <row r="756" spans="1:16" x14ac:dyDescent="0.3">
      <c r="A756" s="6"/>
      <c r="B756" s="7"/>
      <c r="C756" s="6"/>
      <c r="D756" s="6"/>
      <c r="E756" s="6"/>
      <c r="F756" s="25"/>
      <c r="G756" s="25" t="str">
        <f>IF(A756="","",SUMIFS(Paradas_Detalhadas!$I:$I,Paradas_Detalhadas!$A:$A,A756,Paradas_Detalhadas!$B:$B,B756,Paradas_Detalhadas!$C:$C,C756,Paradas_Detalhadas!$D:$D,E756))</f>
        <v/>
      </c>
      <c r="H756" s="26" t="str">
        <f t="shared" si="60"/>
        <v/>
      </c>
      <c r="I756" s="10"/>
      <c r="J756" s="10"/>
      <c r="K756" s="10" t="str">
        <f t="shared" si="61"/>
        <v/>
      </c>
      <c r="L756" s="10" t="str">
        <f t="shared" si="62"/>
        <v/>
      </c>
      <c r="M756" s="10" t="str">
        <f t="shared" si="63"/>
        <v/>
      </c>
      <c r="N756" s="10" t="str">
        <f t="shared" si="64"/>
        <v/>
      </c>
      <c r="O756" s="6"/>
      <c r="P756" s="6"/>
    </row>
    <row r="757" spans="1:16" x14ac:dyDescent="0.3">
      <c r="A757" s="6"/>
      <c r="B757" s="7"/>
      <c r="C757" s="6"/>
      <c r="D757" s="6"/>
      <c r="E757" s="6"/>
      <c r="F757" s="25"/>
      <c r="G757" s="25" t="str">
        <f>IF(A757="","",SUMIFS(Paradas_Detalhadas!$I:$I,Paradas_Detalhadas!$A:$A,A757,Paradas_Detalhadas!$B:$B,B757,Paradas_Detalhadas!$C:$C,C757,Paradas_Detalhadas!$D:$D,E757))</f>
        <v/>
      </c>
      <c r="H757" s="26" t="str">
        <f t="shared" si="60"/>
        <v/>
      </c>
      <c r="I757" s="10"/>
      <c r="J757" s="10"/>
      <c r="K757" s="10" t="str">
        <f t="shared" si="61"/>
        <v/>
      </c>
      <c r="L757" s="10" t="str">
        <f t="shared" si="62"/>
        <v/>
      </c>
      <c r="M757" s="10" t="str">
        <f t="shared" si="63"/>
        <v/>
      </c>
      <c r="N757" s="10" t="str">
        <f t="shared" si="64"/>
        <v/>
      </c>
      <c r="O757" s="6"/>
      <c r="P757" s="6"/>
    </row>
    <row r="758" spans="1:16" x14ac:dyDescent="0.3">
      <c r="A758" s="6"/>
      <c r="B758" s="7"/>
      <c r="C758" s="6"/>
      <c r="D758" s="6"/>
      <c r="E758" s="6"/>
      <c r="F758" s="25"/>
      <c r="G758" s="25" t="str">
        <f>IF(A758="","",SUMIFS(Paradas_Detalhadas!$I:$I,Paradas_Detalhadas!$A:$A,A758,Paradas_Detalhadas!$B:$B,B758,Paradas_Detalhadas!$C:$C,C758,Paradas_Detalhadas!$D:$D,E758))</f>
        <v/>
      </c>
      <c r="H758" s="26" t="str">
        <f t="shared" si="60"/>
        <v/>
      </c>
      <c r="I758" s="10"/>
      <c r="J758" s="10"/>
      <c r="K758" s="10" t="str">
        <f t="shared" si="61"/>
        <v/>
      </c>
      <c r="L758" s="10" t="str">
        <f t="shared" si="62"/>
        <v/>
      </c>
      <c r="M758" s="10" t="str">
        <f t="shared" si="63"/>
        <v/>
      </c>
      <c r="N758" s="10" t="str">
        <f t="shared" si="64"/>
        <v/>
      </c>
      <c r="O758" s="6"/>
      <c r="P758" s="6"/>
    </row>
    <row r="759" spans="1:16" x14ac:dyDescent="0.3">
      <c r="A759" s="6"/>
      <c r="B759" s="7"/>
      <c r="C759" s="6"/>
      <c r="D759" s="6"/>
      <c r="E759" s="6"/>
      <c r="F759" s="25"/>
      <c r="G759" s="25" t="str">
        <f>IF(A759="","",SUMIFS(Paradas_Detalhadas!$I:$I,Paradas_Detalhadas!$A:$A,A759,Paradas_Detalhadas!$B:$B,B759,Paradas_Detalhadas!$C:$C,C759,Paradas_Detalhadas!$D:$D,E759))</f>
        <v/>
      </c>
      <c r="H759" s="26" t="str">
        <f t="shared" si="60"/>
        <v/>
      </c>
      <c r="I759" s="10"/>
      <c r="J759" s="10"/>
      <c r="K759" s="10" t="str">
        <f t="shared" si="61"/>
        <v/>
      </c>
      <c r="L759" s="10" t="str">
        <f t="shared" si="62"/>
        <v/>
      </c>
      <c r="M759" s="10" t="str">
        <f t="shared" si="63"/>
        <v/>
      </c>
      <c r="N759" s="10" t="str">
        <f t="shared" si="64"/>
        <v/>
      </c>
      <c r="O759" s="6"/>
      <c r="P759" s="6"/>
    </row>
    <row r="760" spans="1:16" x14ac:dyDescent="0.3">
      <c r="A760" s="6"/>
      <c r="B760" s="7"/>
      <c r="C760" s="6"/>
      <c r="D760" s="6"/>
      <c r="E760" s="6"/>
      <c r="F760" s="25"/>
      <c r="G760" s="25" t="str">
        <f>IF(A760="","",SUMIFS(Paradas_Detalhadas!$I:$I,Paradas_Detalhadas!$A:$A,A760,Paradas_Detalhadas!$B:$B,B760,Paradas_Detalhadas!$C:$C,C760,Paradas_Detalhadas!$D:$D,E760))</f>
        <v/>
      </c>
      <c r="H760" s="26" t="str">
        <f t="shared" si="60"/>
        <v/>
      </c>
      <c r="I760" s="10"/>
      <c r="J760" s="10"/>
      <c r="K760" s="10" t="str">
        <f t="shared" si="61"/>
        <v/>
      </c>
      <c r="L760" s="10" t="str">
        <f t="shared" si="62"/>
        <v/>
      </c>
      <c r="M760" s="10" t="str">
        <f t="shared" si="63"/>
        <v/>
      </c>
      <c r="N760" s="10" t="str">
        <f t="shared" si="64"/>
        <v/>
      </c>
      <c r="O760" s="6"/>
      <c r="P760" s="6"/>
    </row>
    <row r="761" spans="1:16" x14ac:dyDescent="0.3">
      <c r="A761" s="6"/>
      <c r="B761" s="7"/>
      <c r="C761" s="6"/>
      <c r="D761" s="6"/>
      <c r="E761" s="6"/>
      <c r="F761" s="25"/>
      <c r="G761" s="25" t="str">
        <f>IF(A761="","",SUMIFS(Paradas_Detalhadas!$I:$I,Paradas_Detalhadas!$A:$A,A761,Paradas_Detalhadas!$B:$B,B761,Paradas_Detalhadas!$C:$C,C761,Paradas_Detalhadas!$D:$D,E761))</f>
        <v/>
      </c>
      <c r="H761" s="26" t="str">
        <f t="shared" si="60"/>
        <v/>
      </c>
      <c r="I761" s="10"/>
      <c r="J761" s="10"/>
      <c r="K761" s="10" t="str">
        <f t="shared" si="61"/>
        <v/>
      </c>
      <c r="L761" s="10" t="str">
        <f t="shared" si="62"/>
        <v/>
      </c>
      <c r="M761" s="10" t="str">
        <f t="shared" si="63"/>
        <v/>
      </c>
      <c r="N761" s="10" t="str">
        <f t="shared" si="64"/>
        <v/>
      </c>
      <c r="O761" s="6"/>
      <c r="P761" s="6"/>
    </row>
    <row r="762" spans="1:16" x14ac:dyDescent="0.3">
      <c r="A762" s="6"/>
      <c r="B762" s="7"/>
      <c r="C762" s="6"/>
      <c r="D762" s="6"/>
      <c r="E762" s="6"/>
      <c r="F762" s="25"/>
      <c r="G762" s="25" t="str">
        <f>IF(A762="","",SUMIFS(Paradas_Detalhadas!$I:$I,Paradas_Detalhadas!$A:$A,A762,Paradas_Detalhadas!$B:$B,B762,Paradas_Detalhadas!$C:$C,C762,Paradas_Detalhadas!$D:$D,E762))</f>
        <v/>
      </c>
      <c r="H762" s="26" t="str">
        <f t="shared" si="60"/>
        <v/>
      </c>
      <c r="I762" s="10"/>
      <c r="J762" s="10"/>
      <c r="K762" s="10" t="str">
        <f t="shared" si="61"/>
        <v/>
      </c>
      <c r="L762" s="10" t="str">
        <f t="shared" si="62"/>
        <v/>
      </c>
      <c r="M762" s="10" t="str">
        <f t="shared" si="63"/>
        <v/>
      </c>
      <c r="N762" s="10" t="str">
        <f t="shared" si="64"/>
        <v/>
      </c>
      <c r="O762" s="6"/>
      <c r="P762" s="6"/>
    </row>
    <row r="763" spans="1:16" x14ac:dyDescent="0.3">
      <c r="A763" s="6"/>
      <c r="B763" s="7"/>
      <c r="C763" s="6"/>
      <c r="D763" s="6"/>
      <c r="E763" s="6"/>
      <c r="F763" s="25"/>
      <c r="G763" s="25" t="str">
        <f>IF(A763="","",SUMIFS(Paradas_Detalhadas!$I:$I,Paradas_Detalhadas!$A:$A,A763,Paradas_Detalhadas!$B:$B,B763,Paradas_Detalhadas!$C:$C,C763,Paradas_Detalhadas!$D:$D,E763))</f>
        <v/>
      </c>
      <c r="H763" s="26" t="str">
        <f t="shared" si="60"/>
        <v/>
      </c>
      <c r="I763" s="10"/>
      <c r="J763" s="10"/>
      <c r="K763" s="10" t="str">
        <f t="shared" si="61"/>
        <v/>
      </c>
      <c r="L763" s="10" t="str">
        <f t="shared" si="62"/>
        <v/>
      </c>
      <c r="M763" s="10" t="str">
        <f t="shared" si="63"/>
        <v/>
      </c>
      <c r="N763" s="10" t="str">
        <f t="shared" si="64"/>
        <v/>
      </c>
      <c r="O763" s="6"/>
      <c r="P763" s="6"/>
    </row>
    <row r="764" spans="1:16" x14ac:dyDescent="0.3">
      <c r="A764" s="6"/>
      <c r="B764" s="7"/>
      <c r="C764" s="6"/>
      <c r="D764" s="6"/>
      <c r="E764" s="6"/>
      <c r="F764" s="25"/>
      <c r="G764" s="25" t="str">
        <f>IF(A764="","",SUMIFS(Paradas_Detalhadas!$I:$I,Paradas_Detalhadas!$A:$A,A764,Paradas_Detalhadas!$B:$B,B764,Paradas_Detalhadas!$C:$C,C764,Paradas_Detalhadas!$D:$D,E764))</f>
        <v/>
      </c>
      <c r="H764" s="26" t="str">
        <f t="shared" si="60"/>
        <v/>
      </c>
      <c r="I764" s="10"/>
      <c r="J764" s="10"/>
      <c r="K764" s="10" t="str">
        <f t="shared" si="61"/>
        <v/>
      </c>
      <c r="L764" s="10" t="str">
        <f t="shared" si="62"/>
        <v/>
      </c>
      <c r="M764" s="10" t="str">
        <f t="shared" si="63"/>
        <v/>
      </c>
      <c r="N764" s="10" t="str">
        <f t="shared" si="64"/>
        <v/>
      </c>
      <c r="O764" s="6"/>
      <c r="P764" s="6"/>
    </row>
    <row r="765" spans="1:16" x14ac:dyDescent="0.3">
      <c r="A765" s="6"/>
      <c r="B765" s="7"/>
      <c r="C765" s="6"/>
      <c r="D765" s="6"/>
      <c r="E765" s="6"/>
      <c r="F765" s="25"/>
      <c r="G765" s="25" t="str">
        <f>IF(A765="","",SUMIFS(Paradas_Detalhadas!$I:$I,Paradas_Detalhadas!$A:$A,A765,Paradas_Detalhadas!$B:$B,B765,Paradas_Detalhadas!$C:$C,C765,Paradas_Detalhadas!$D:$D,E765))</f>
        <v/>
      </c>
      <c r="H765" s="26" t="str">
        <f t="shared" si="60"/>
        <v/>
      </c>
      <c r="I765" s="10"/>
      <c r="J765" s="10"/>
      <c r="K765" s="10" t="str">
        <f t="shared" si="61"/>
        <v/>
      </c>
      <c r="L765" s="10" t="str">
        <f t="shared" si="62"/>
        <v/>
      </c>
      <c r="M765" s="10" t="str">
        <f t="shared" si="63"/>
        <v/>
      </c>
      <c r="N765" s="10" t="str">
        <f t="shared" si="64"/>
        <v/>
      </c>
      <c r="O765" s="6"/>
      <c r="P765" s="6"/>
    </row>
    <row r="766" spans="1:16" x14ac:dyDescent="0.3">
      <c r="A766" s="6"/>
      <c r="B766" s="7"/>
      <c r="C766" s="6"/>
      <c r="D766" s="6"/>
      <c r="E766" s="6"/>
      <c r="F766" s="25"/>
      <c r="G766" s="25" t="str">
        <f>IF(A766="","",SUMIFS(Paradas_Detalhadas!$I:$I,Paradas_Detalhadas!$A:$A,A766,Paradas_Detalhadas!$B:$B,B766,Paradas_Detalhadas!$C:$C,C766,Paradas_Detalhadas!$D:$D,E766))</f>
        <v/>
      </c>
      <c r="H766" s="26" t="str">
        <f t="shared" si="60"/>
        <v/>
      </c>
      <c r="I766" s="10"/>
      <c r="J766" s="10"/>
      <c r="K766" s="10" t="str">
        <f t="shared" si="61"/>
        <v/>
      </c>
      <c r="L766" s="10" t="str">
        <f t="shared" si="62"/>
        <v/>
      </c>
      <c r="M766" s="10" t="str">
        <f t="shared" si="63"/>
        <v/>
      </c>
      <c r="N766" s="10" t="str">
        <f t="shared" si="64"/>
        <v/>
      </c>
      <c r="O766" s="6"/>
      <c r="P766" s="6"/>
    </row>
    <row r="767" spans="1:16" x14ac:dyDescent="0.3">
      <c r="A767" s="6"/>
      <c r="B767" s="7"/>
      <c r="C767" s="6"/>
      <c r="D767" s="6"/>
      <c r="E767" s="6"/>
      <c r="F767" s="25"/>
      <c r="G767" s="25" t="str">
        <f>IF(A767="","",SUMIFS(Paradas_Detalhadas!$I:$I,Paradas_Detalhadas!$A:$A,A767,Paradas_Detalhadas!$B:$B,B767,Paradas_Detalhadas!$C:$C,C767,Paradas_Detalhadas!$D:$D,E767))</f>
        <v/>
      </c>
      <c r="H767" s="26" t="str">
        <f t="shared" si="60"/>
        <v/>
      </c>
      <c r="I767" s="10"/>
      <c r="J767" s="10"/>
      <c r="K767" s="10" t="str">
        <f t="shared" si="61"/>
        <v/>
      </c>
      <c r="L767" s="10" t="str">
        <f t="shared" si="62"/>
        <v/>
      </c>
      <c r="M767" s="10" t="str">
        <f t="shared" si="63"/>
        <v/>
      </c>
      <c r="N767" s="10" t="str">
        <f t="shared" si="64"/>
        <v/>
      </c>
      <c r="O767" s="6"/>
      <c r="P767" s="6"/>
    </row>
    <row r="768" spans="1:16" x14ac:dyDescent="0.3">
      <c r="A768" s="6"/>
      <c r="B768" s="7"/>
      <c r="C768" s="6"/>
      <c r="D768" s="6"/>
      <c r="E768" s="6"/>
      <c r="F768" s="25"/>
      <c r="G768" s="25" t="str">
        <f>IF(A768="","",SUMIFS(Paradas_Detalhadas!$I:$I,Paradas_Detalhadas!$A:$A,A768,Paradas_Detalhadas!$B:$B,B768,Paradas_Detalhadas!$C:$C,C768,Paradas_Detalhadas!$D:$D,E768))</f>
        <v/>
      </c>
      <c r="H768" s="26" t="str">
        <f t="shared" si="60"/>
        <v/>
      </c>
      <c r="I768" s="10"/>
      <c r="J768" s="10"/>
      <c r="K768" s="10" t="str">
        <f t="shared" si="61"/>
        <v/>
      </c>
      <c r="L768" s="10" t="str">
        <f t="shared" si="62"/>
        <v/>
      </c>
      <c r="M768" s="10" t="str">
        <f t="shared" si="63"/>
        <v/>
      </c>
      <c r="N768" s="10" t="str">
        <f t="shared" si="64"/>
        <v/>
      </c>
      <c r="O768" s="6"/>
      <c r="P768" s="6"/>
    </row>
    <row r="769" spans="1:16" x14ac:dyDescent="0.3">
      <c r="A769" s="6"/>
      <c r="B769" s="7"/>
      <c r="C769" s="6"/>
      <c r="D769" s="6"/>
      <c r="E769" s="6"/>
      <c r="F769" s="25"/>
      <c r="G769" s="25" t="str">
        <f>IF(A769="","",SUMIFS(Paradas_Detalhadas!$I:$I,Paradas_Detalhadas!$A:$A,A769,Paradas_Detalhadas!$B:$B,B769,Paradas_Detalhadas!$C:$C,C769,Paradas_Detalhadas!$D:$D,E769))</f>
        <v/>
      </c>
      <c r="H769" s="26" t="str">
        <f t="shared" si="60"/>
        <v/>
      </c>
      <c r="I769" s="10"/>
      <c r="J769" s="10"/>
      <c r="K769" s="10" t="str">
        <f t="shared" si="61"/>
        <v/>
      </c>
      <c r="L769" s="10" t="str">
        <f t="shared" si="62"/>
        <v/>
      </c>
      <c r="M769" s="10" t="str">
        <f t="shared" si="63"/>
        <v/>
      </c>
      <c r="N769" s="10" t="str">
        <f t="shared" si="64"/>
        <v/>
      </c>
      <c r="O769" s="6"/>
      <c r="P769" s="6"/>
    </row>
    <row r="770" spans="1:16" x14ac:dyDescent="0.3">
      <c r="A770" s="6"/>
      <c r="B770" s="7"/>
      <c r="C770" s="6"/>
      <c r="D770" s="6"/>
      <c r="E770" s="6"/>
      <c r="F770" s="25"/>
      <c r="G770" s="25" t="str">
        <f>IF(A770="","",SUMIFS(Paradas_Detalhadas!$I:$I,Paradas_Detalhadas!$A:$A,A770,Paradas_Detalhadas!$B:$B,B770,Paradas_Detalhadas!$C:$C,C770,Paradas_Detalhadas!$D:$D,E770))</f>
        <v/>
      </c>
      <c r="H770" s="26" t="str">
        <f t="shared" si="60"/>
        <v/>
      </c>
      <c r="I770" s="10"/>
      <c r="J770" s="10"/>
      <c r="K770" s="10" t="str">
        <f t="shared" si="61"/>
        <v/>
      </c>
      <c r="L770" s="10" t="str">
        <f t="shared" si="62"/>
        <v/>
      </c>
      <c r="M770" s="10" t="str">
        <f t="shared" si="63"/>
        <v/>
      </c>
      <c r="N770" s="10" t="str">
        <f t="shared" si="64"/>
        <v/>
      </c>
      <c r="O770" s="6"/>
      <c r="P770" s="6"/>
    </row>
    <row r="771" spans="1:16" x14ac:dyDescent="0.3">
      <c r="A771" s="6"/>
      <c r="B771" s="7"/>
      <c r="C771" s="6"/>
      <c r="D771" s="6"/>
      <c r="E771" s="6"/>
      <c r="F771" s="25"/>
      <c r="G771" s="25" t="str">
        <f>IF(A771="","",SUMIFS(Paradas_Detalhadas!$I:$I,Paradas_Detalhadas!$A:$A,A771,Paradas_Detalhadas!$B:$B,B771,Paradas_Detalhadas!$C:$C,C771,Paradas_Detalhadas!$D:$D,E771))</f>
        <v/>
      </c>
      <c r="H771" s="26" t="str">
        <f t="shared" si="60"/>
        <v/>
      </c>
      <c r="I771" s="10"/>
      <c r="J771" s="10"/>
      <c r="K771" s="10" t="str">
        <f t="shared" si="61"/>
        <v/>
      </c>
      <c r="L771" s="10" t="str">
        <f t="shared" si="62"/>
        <v/>
      </c>
      <c r="M771" s="10" t="str">
        <f t="shared" si="63"/>
        <v/>
      </c>
      <c r="N771" s="10" t="str">
        <f t="shared" si="64"/>
        <v/>
      </c>
      <c r="O771" s="6"/>
      <c r="P771" s="6"/>
    </row>
    <row r="772" spans="1:16" x14ac:dyDescent="0.3">
      <c r="A772" s="6"/>
      <c r="B772" s="7"/>
      <c r="C772" s="6"/>
      <c r="D772" s="6"/>
      <c r="E772" s="6"/>
      <c r="F772" s="25"/>
      <c r="G772" s="25" t="str">
        <f>IF(A772="","",SUMIFS(Paradas_Detalhadas!$I:$I,Paradas_Detalhadas!$A:$A,A772,Paradas_Detalhadas!$B:$B,B772,Paradas_Detalhadas!$C:$C,C772,Paradas_Detalhadas!$D:$D,E772))</f>
        <v/>
      </c>
      <c r="H772" s="26" t="str">
        <f t="shared" si="60"/>
        <v/>
      </c>
      <c r="I772" s="10"/>
      <c r="J772" s="10"/>
      <c r="K772" s="10" t="str">
        <f t="shared" si="61"/>
        <v/>
      </c>
      <c r="L772" s="10" t="str">
        <f t="shared" si="62"/>
        <v/>
      </c>
      <c r="M772" s="10" t="str">
        <f t="shared" si="63"/>
        <v/>
      </c>
      <c r="N772" s="10" t="str">
        <f t="shared" si="64"/>
        <v/>
      </c>
      <c r="O772" s="6"/>
      <c r="P772" s="6"/>
    </row>
    <row r="773" spans="1:16" x14ac:dyDescent="0.3">
      <c r="A773" s="6"/>
      <c r="B773" s="7"/>
      <c r="C773" s="6"/>
      <c r="D773" s="6"/>
      <c r="E773" s="6"/>
      <c r="F773" s="25"/>
      <c r="G773" s="25" t="str">
        <f>IF(A773="","",SUMIFS(Paradas_Detalhadas!$I:$I,Paradas_Detalhadas!$A:$A,A773,Paradas_Detalhadas!$B:$B,B773,Paradas_Detalhadas!$C:$C,C773,Paradas_Detalhadas!$D:$D,E773))</f>
        <v/>
      </c>
      <c r="H773" s="26" t="str">
        <f t="shared" si="60"/>
        <v/>
      </c>
      <c r="I773" s="10"/>
      <c r="J773" s="10"/>
      <c r="K773" s="10" t="str">
        <f t="shared" si="61"/>
        <v/>
      </c>
      <c r="L773" s="10" t="str">
        <f t="shared" si="62"/>
        <v/>
      </c>
      <c r="M773" s="10" t="str">
        <f t="shared" si="63"/>
        <v/>
      </c>
      <c r="N773" s="10" t="str">
        <f t="shared" si="64"/>
        <v/>
      </c>
      <c r="O773" s="6"/>
      <c r="P773" s="6"/>
    </row>
    <row r="774" spans="1:16" x14ac:dyDescent="0.3">
      <c r="A774" s="6"/>
      <c r="B774" s="7"/>
      <c r="C774" s="6"/>
      <c r="D774" s="6"/>
      <c r="E774" s="6"/>
      <c r="F774" s="25"/>
      <c r="G774" s="25" t="str">
        <f>IF(A774="","",SUMIFS(Paradas_Detalhadas!$I:$I,Paradas_Detalhadas!$A:$A,A774,Paradas_Detalhadas!$B:$B,B774,Paradas_Detalhadas!$C:$C,C774,Paradas_Detalhadas!$D:$D,E774))</f>
        <v/>
      </c>
      <c r="H774" s="26" t="str">
        <f t="shared" si="60"/>
        <v/>
      </c>
      <c r="I774" s="10"/>
      <c r="J774" s="10"/>
      <c r="K774" s="10" t="str">
        <f t="shared" si="61"/>
        <v/>
      </c>
      <c r="L774" s="10" t="str">
        <f t="shared" si="62"/>
        <v/>
      </c>
      <c r="M774" s="10" t="str">
        <f t="shared" si="63"/>
        <v/>
      </c>
      <c r="N774" s="10" t="str">
        <f t="shared" si="64"/>
        <v/>
      </c>
      <c r="O774" s="6"/>
      <c r="P774" s="6"/>
    </row>
    <row r="775" spans="1:16" x14ac:dyDescent="0.3">
      <c r="A775" s="6"/>
      <c r="B775" s="7"/>
      <c r="C775" s="6"/>
      <c r="D775" s="6"/>
      <c r="E775" s="6"/>
      <c r="F775" s="25"/>
      <c r="G775" s="25" t="str">
        <f>IF(A775="","",SUMIFS(Paradas_Detalhadas!$I:$I,Paradas_Detalhadas!$A:$A,A775,Paradas_Detalhadas!$B:$B,B775,Paradas_Detalhadas!$C:$C,C775,Paradas_Detalhadas!$D:$D,E775))</f>
        <v/>
      </c>
      <c r="H775" s="26" t="str">
        <f t="shared" si="60"/>
        <v/>
      </c>
      <c r="I775" s="10"/>
      <c r="J775" s="10"/>
      <c r="K775" s="10" t="str">
        <f t="shared" si="61"/>
        <v/>
      </c>
      <c r="L775" s="10" t="str">
        <f t="shared" si="62"/>
        <v/>
      </c>
      <c r="M775" s="10" t="str">
        <f t="shared" si="63"/>
        <v/>
      </c>
      <c r="N775" s="10" t="str">
        <f t="shared" si="64"/>
        <v/>
      </c>
      <c r="O775" s="6"/>
      <c r="P775" s="6"/>
    </row>
    <row r="776" spans="1:16" x14ac:dyDescent="0.3">
      <c r="A776" s="6"/>
      <c r="B776" s="7"/>
      <c r="C776" s="6"/>
      <c r="D776" s="6"/>
      <c r="E776" s="6"/>
      <c r="F776" s="25"/>
      <c r="G776" s="25" t="str">
        <f>IF(A776="","",SUMIFS(Paradas_Detalhadas!$I:$I,Paradas_Detalhadas!$A:$A,A776,Paradas_Detalhadas!$B:$B,B776,Paradas_Detalhadas!$C:$C,C776,Paradas_Detalhadas!$D:$D,E776))</f>
        <v/>
      </c>
      <c r="H776" s="26" t="str">
        <f t="shared" si="60"/>
        <v/>
      </c>
      <c r="I776" s="10"/>
      <c r="J776" s="10"/>
      <c r="K776" s="10" t="str">
        <f t="shared" si="61"/>
        <v/>
      </c>
      <c r="L776" s="10" t="str">
        <f t="shared" si="62"/>
        <v/>
      </c>
      <c r="M776" s="10" t="str">
        <f t="shared" si="63"/>
        <v/>
      </c>
      <c r="N776" s="10" t="str">
        <f t="shared" si="64"/>
        <v/>
      </c>
      <c r="O776" s="6"/>
      <c r="P776" s="6"/>
    </row>
    <row r="777" spans="1:16" x14ac:dyDescent="0.3">
      <c r="A777" s="6"/>
      <c r="B777" s="7"/>
      <c r="C777" s="6"/>
      <c r="D777" s="6"/>
      <c r="E777" s="6"/>
      <c r="F777" s="25"/>
      <c r="G777" s="25" t="str">
        <f>IF(A777="","",SUMIFS(Paradas_Detalhadas!$I:$I,Paradas_Detalhadas!$A:$A,A777,Paradas_Detalhadas!$B:$B,B777,Paradas_Detalhadas!$C:$C,C777,Paradas_Detalhadas!$D:$D,E777))</f>
        <v/>
      </c>
      <c r="H777" s="26" t="str">
        <f t="shared" si="60"/>
        <v/>
      </c>
      <c r="I777" s="10"/>
      <c r="J777" s="10"/>
      <c r="K777" s="10" t="str">
        <f t="shared" si="61"/>
        <v/>
      </c>
      <c r="L777" s="10" t="str">
        <f t="shared" si="62"/>
        <v/>
      </c>
      <c r="M777" s="10" t="str">
        <f t="shared" si="63"/>
        <v/>
      </c>
      <c r="N777" s="10" t="str">
        <f t="shared" si="64"/>
        <v/>
      </c>
      <c r="O777" s="6"/>
      <c r="P777" s="6"/>
    </row>
    <row r="778" spans="1:16" x14ac:dyDescent="0.3">
      <c r="A778" s="6"/>
      <c r="B778" s="7"/>
      <c r="C778" s="6"/>
      <c r="D778" s="6"/>
      <c r="E778" s="6"/>
      <c r="F778" s="25"/>
      <c r="G778" s="25" t="str">
        <f>IF(A778="","",SUMIFS(Paradas_Detalhadas!$I:$I,Paradas_Detalhadas!$A:$A,A778,Paradas_Detalhadas!$B:$B,B778,Paradas_Detalhadas!$C:$C,C778,Paradas_Detalhadas!$D:$D,E778))</f>
        <v/>
      </c>
      <c r="H778" s="26" t="str">
        <f t="shared" si="60"/>
        <v/>
      </c>
      <c r="I778" s="10"/>
      <c r="J778" s="10"/>
      <c r="K778" s="10" t="str">
        <f t="shared" si="61"/>
        <v/>
      </c>
      <c r="L778" s="10" t="str">
        <f t="shared" si="62"/>
        <v/>
      </c>
      <c r="M778" s="10" t="str">
        <f t="shared" si="63"/>
        <v/>
      </c>
      <c r="N778" s="10" t="str">
        <f t="shared" si="64"/>
        <v/>
      </c>
      <c r="O778" s="6"/>
      <c r="P778" s="6"/>
    </row>
    <row r="779" spans="1:16" x14ac:dyDescent="0.3">
      <c r="A779" s="6"/>
      <c r="B779" s="7"/>
      <c r="C779" s="6"/>
      <c r="D779" s="6"/>
      <c r="E779" s="6"/>
      <c r="F779" s="25"/>
      <c r="G779" s="25" t="str">
        <f>IF(A779="","",SUMIFS(Paradas_Detalhadas!$I:$I,Paradas_Detalhadas!$A:$A,A779,Paradas_Detalhadas!$B:$B,B779,Paradas_Detalhadas!$C:$C,C779,Paradas_Detalhadas!$D:$D,E779))</f>
        <v/>
      </c>
      <c r="H779" s="26" t="str">
        <f t="shared" si="60"/>
        <v/>
      </c>
      <c r="I779" s="10"/>
      <c r="J779" s="10"/>
      <c r="K779" s="10" t="str">
        <f t="shared" si="61"/>
        <v/>
      </c>
      <c r="L779" s="10" t="str">
        <f t="shared" si="62"/>
        <v/>
      </c>
      <c r="M779" s="10" t="str">
        <f t="shared" si="63"/>
        <v/>
      </c>
      <c r="N779" s="10" t="str">
        <f t="shared" si="64"/>
        <v/>
      </c>
      <c r="O779" s="6"/>
      <c r="P779" s="6"/>
    </row>
    <row r="780" spans="1:16" x14ac:dyDescent="0.3">
      <c r="A780" s="6"/>
      <c r="B780" s="7"/>
      <c r="C780" s="6"/>
      <c r="D780" s="6"/>
      <c r="E780" s="6"/>
      <c r="F780" s="25"/>
      <c r="G780" s="25" t="str">
        <f>IF(A780="","",SUMIFS(Paradas_Detalhadas!$I:$I,Paradas_Detalhadas!$A:$A,A780,Paradas_Detalhadas!$B:$B,B780,Paradas_Detalhadas!$C:$C,C780,Paradas_Detalhadas!$D:$D,E780))</f>
        <v/>
      </c>
      <c r="H780" s="26" t="str">
        <f t="shared" si="60"/>
        <v/>
      </c>
      <c r="I780" s="10"/>
      <c r="J780" s="10"/>
      <c r="K780" s="10" t="str">
        <f t="shared" si="61"/>
        <v/>
      </c>
      <c r="L780" s="10" t="str">
        <f t="shared" si="62"/>
        <v/>
      </c>
      <c r="M780" s="10" t="str">
        <f t="shared" si="63"/>
        <v/>
      </c>
      <c r="N780" s="10" t="str">
        <f t="shared" si="64"/>
        <v/>
      </c>
      <c r="O780" s="6"/>
      <c r="P780" s="6"/>
    </row>
    <row r="781" spans="1:16" x14ac:dyDescent="0.3">
      <c r="A781" s="6"/>
      <c r="B781" s="7"/>
      <c r="C781" s="6"/>
      <c r="D781" s="6"/>
      <c r="E781" s="6"/>
      <c r="F781" s="25"/>
      <c r="G781" s="25" t="str">
        <f>IF(A781="","",SUMIFS(Paradas_Detalhadas!$I:$I,Paradas_Detalhadas!$A:$A,A781,Paradas_Detalhadas!$B:$B,B781,Paradas_Detalhadas!$C:$C,C781,Paradas_Detalhadas!$D:$D,E781))</f>
        <v/>
      </c>
      <c r="H781" s="26" t="str">
        <f t="shared" si="60"/>
        <v/>
      </c>
      <c r="I781" s="10"/>
      <c r="J781" s="10"/>
      <c r="K781" s="10" t="str">
        <f t="shared" si="61"/>
        <v/>
      </c>
      <c r="L781" s="10" t="str">
        <f t="shared" si="62"/>
        <v/>
      </c>
      <c r="M781" s="10" t="str">
        <f t="shared" si="63"/>
        <v/>
      </c>
      <c r="N781" s="10" t="str">
        <f t="shared" si="64"/>
        <v/>
      </c>
      <c r="O781" s="6"/>
      <c r="P781" s="6"/>
    </row>
    <row r="782" spans="1:16" x14ac:dyDescent="0.3">
      <c r="A782" s="6"/>
      <c r="B782" s="7"/>
      <c r="C782" s="6"/>
      <c r="D782" s="6"/>
      <c r="E782" s="6"/>
      <c r="F782" s="25"/>
      <c r="G782" s="25" t="str">
        <f>IF(A782="","",SUMIFS(Paradas_Detalhadas!$I:$I,Paradas_Detalhadas!$A:$A,A782,Paradas_Detalhadas!$B:$B,B782,Paradas_Detalhadas!$C:$C,C782,Paradas_Detalhadas!$D:$D,E782))</f>
        <v/>
      </c>
      <c r="H782" s="26" t="str">
        <f t="shared" si="60"/>
        <v/>
      </c>
      <c r="I782" s="10"/>
      <c r="J782" s="10"/>
      <c r="K782" s="10" t="str">
        <f t="shared" si="61"/>
        <v/>
      </c>
      <c r="L782" s="10" t="str">
        <f t="shared" si="62"/>
        <v/>
      </c>
      <c r="M782" s="10" t="str">
        <f t="shared" si="63"/>
        <v/>
      </c>
      <c r="N782" s="10" t="str">
        <f t="shared" si="64"/>
        <v/>
      </c>
      <c r="O782" s="6"/>
      <c r="P782" s="6"/>
    </row>
    <row r="783" spans="1:16" x14ac:dyDescent="0.3">
      <c r="A783" s="6"/>
      <c r="B783" s="7"/>
      <c r="C783" s="6"/>
      <c r="D783" s="6"/>
      <c r="E783" s="6"/>
      <c r="F783" s="25"/>
      <c r="G783" s="25" t="str">
        <f>IF(A783="","",SUMIFS(Paradas_Detalhadas!$I:$I,Paradas_Detalhadas!$A:$A,A783,Paradas_Detalhadas!$B:$B,B783,Paradas_Detalhadas!$C:$C,C783,Paradas_Detalhadas!$D:$D,E783))</f>
        <v/>
      </c>
      <c r="H783" s="26" t="str">
        <f t="shared" si="60"/>
        <v/>
      </c>
      <c r="I783" s="10"/>
      <c r="J783" s="10"/>
      <c r="K783" s="10" t="str">
        <f t="shared" si="61"/>
        <v/>
      </c>
      <c r="L783" s="10" t="str">
        <f t="shared" si="62"/>
        <v/>
      </c>
      <c r="M783" s="10" t="str">
        <f t="shared" si="63"/>
        <v/>
      </c>
      <c r="N783" s="10" t="str">
        <f t="shared" si="64"/>
        <v/>
      </c>
      <c r="O783" s="6"/>
      <c r="P783" s="6"/>
    </row>
    <row r="784" spans="1:16" x14ac:dyDescent="0.3">
      <c r="A784" s="6"/>
      <c r="B784" s="7"/>
      <c r="C784" s="6"/>
      <c r="D784" s="6"/>
      <c r="E784" s="6"/>
      <c r="F784" s="25"/>
      <c r="G784" s="25" t="str">
        <f>IF(A784="","",SUMIFS(Paradas_Detalhadas!$I:$I,Paradas_Detalhadas!$A:$A,A784,Paradas_Detalhadas!$B:$B,B784,Paradas_Detalhadas!$C:$C,C784,Paradas_Detalhadas!$D:$D,E784))</f>
        <v/>
      </c>
      <c r="H784" s="26" t="str">
        <f t="shared" si="60"/>
        <v/>
      </c>
      <c r="I784" s="10"/>
      <c r="J784" s="10"/>
      <c r="K784" s="10" t="str">
        <f t="shared" si="61"/>
        <v/>
      </c>
      <c r="L784" s="10" t="str">
        <f t="shared" si="62"/>
        <v/>
      </c>
      <c r="M784" s="10" t="str">
        <f t="shared" si="63"/>
        <v/>
      </c>
      <c r="N784" s="10" t="str">
        <f t="shared" si="64"/>
        <v/>
      </c>
      <c r="O784" s="6"/>
      <c r="P784" s="6"/>
    </row>
    <row r="785" spans="1:16" x14ac:dyDescent="0.3">
      <c r="A785" s="6"/>
      <c r="B785" s="7"/>
      <c r="C785" s="6"/>
      <c r="D785" s="6"/>
      <c r="E785" s="6"/>
      <c r="F785" s="25"/>
      <c r="G785" s="25" t="str">
        <f>IF(A785="","",SUMIFS(Paradas_Detalhadas!$I:$I,Paradas_Detalhadas!$A:$A,A785,Paradas_Detalhadas!$B:$B,B785,Paradas_Detalhadas!$C:$C,C785,Paradas_Detalhadas!$D:$D,E785))</f>
        <v/>
      </c>
      <c r="H785" s="26" t="str">
        <f t="shared" si="60"/>
        <v/>
      </c>
      <c r="I785" s="10"/>
      <c r="J785" s="10"/>
      <c r="K785" s="10" t="str">
        <f t="shared" si="61"/>
        <v/>
      </c>
      <c r="L785" s="10" t="str">
        <f t="shared" si="62"/>
        <v/>
      </c>
      <c r="M785" s="10" t="str">
        <f t="shared" si="63"/>
        <v/>
      </c>
      <c r="N785" s="10" t="str">
        <f t="shared" si="64"/>
        <v/>
      </c>
      <c r="O785" s="6"/>
      <c r="P785" s="6"/>
    </row>
    <row r="786" spans="1:16" x14ac:dyDescent="0.3">
      <c r="A786" s="6"/>
      <c r="B786" s="7"/>
      <c r="C786" s="6"/>
      <c r="D786" s="6"/>
      <c r="E786" s="6"/>
      <c r="F786" s="25"/>
      <c r="G786" s="25" t="str">
        <f>IF(A786="","",SUMIFS(Paradas_Detalhadas!$I:$I,Paradas_Detalhadas!$A:$A,A786,Paradas_Detalhadas!$B:$B,B786,Paradas_Detalhadas!$C:$C,C786,Paradas_Detalhadas!$D:$D,E786))</f>
        <v/>
      </c>
      <c r="H786" s="26" t="str">
        <f t="shared" si="60"/>
        <v/>
      </c>
      <c r="I786" s="10"/>
      <c r="J786" s="10"/>
      <c r="K786" s="10" t="str">
        <f t="shared" si="61"/>
        <v/>
      </c>
      <c r="L786" s="10" t="str">
        <f t="shared" si="62"/>
        <v/>
      </c>
      <c r="M786" s="10" t="str">
        <f t="shared" si="63"/>
        <v/>
      </c>
      <c r="N786" s="10" t="str">
        <f t="shared" si="64"/>
        <v/>
      </c>
      <c r="O786" s="6"/>
      <c r="P786" s="6"/>
    </row>
    <row r="787" spans="1:16" x14ac:dyDescent="0.3">
      <c r="A787" s="6"/>
      <c r="B787" s="7"/>
      <c r="C787" s="6"/>
      <c r="D787" s="6"/>
      <c r="E787" s="6"/>
      <c r="F787" s="25"/>
      <c r="G787" s="25" t="str">
        <f>IF(A787="","",SUMIFS(Paradas_Detalhadas!$I:$I,Paradas_Detalhadas!$A:$A,A787,Paradas_Detalhadas!$B:$B,B787,Paradas_Detalhadas!$C:$C,C787,Paradas_Detalhadas!$D:$D,E787))</f>
        <v/>
      </c>
      <c r="H787" s="26" t="str">
        <f t="shared" si="60"/>
        <v/>
      </c>
      <c r="I787" s="10"/>
      <c r="J787" s="10"/>
      <c r="K787" s="10" t="str">
        <f t="shared" si="61"/>
        <v/>
      </c>
      <c r="L787" s="10" t="str">
        <f t="shared" si="62"/>
        <v/>
      </c>
      <c r="M787" s="10" t="str">
        <f t="shared" si="63"/>
        <v/>
      </c>
      <c r="N787" s="10" t="str">
        <f t="shared" si="64"/>
        <v/>
      </c>
      <c r="O787" s="6"/>
      <c r="P787" s="6"/>
    </row>
    <row r="788" spans="1:16" x14ac:dyDescent="0.3">
      <c r="A788" s="6"/>
      <c r="B788" s="7"/>
      <c r="C788" s="6"/>
      <c r="D788" s="6"/>
      <c r="E788" s="6"/>
      <c r="F788" s="25"/>
      <c r="G788" s="25" t="str">
        <f>IF(A788="","",SUMIFS(Paradas_Detalhadas!$I:$I,Paradas_Detalhadas!$A:$A,A788,Paradas_Detalhadas!$B:$B,B788,Paradas_Detalhadas!$C:$C,C788,Paradas_Detalhadas!$D:$D,E788))</f>
        <v/>
      </c>
      <c r="H788" s="26" t="str">
        <f t="shared" si="60"/>
        <v/>
      </c>
      <c r="I788" s="10"/>
      <c r="J788" s="10"/>
      <c r="K788" s="10" t="str">
        <f t="shared" si="61"/>
        <v/>
      </c>
      <c r="L788" s="10" t="str">
        <f t="shared" si="62"/>
        <v/>
      </c>
      <c r="M788" s="10" t="str">
        <f t="shared" si="63"/>
        <v/>
      </c>
      <c r="N788" s="10" t="str">
        <f t="shared" si="64"/>
        <v/>
      </c>
      <c r="O788" s="6"/>
      <c r="P788" s="6"/>
    </row>
    <row r="789" spans="1:16" x14ac:dyDescent="0.3">
      <c r="A789" s="6"/>
      <c r="B789" s="7"/>
      <c r="C789" s="6"/>
      <c r="D789" s="6"/>
      <c r="E789" s="6"/>
      <c r="F789" s="25"/>
      <c r="G789" s="25" t="str">
        <f>IF(A789="","",SUMIFS(Paradas_Detalhadas!$I:$I,Paradas_Detalhadas!$A:$A,A789,Paradas_Detalhadas!$B:$B,B789,Paradas_Detalhadas!$C:$C,C789,Paradas_Detalhadas!$D:$D,E789))</f>
        <v/>
      </c>
      <c r="H789" s="26" t="str">
        <f t="shared" si="60"/>
        <v/>
      </c>
      <c r="I789" s="10"/>
      <c r="J789" s="10"/>
      <c r="K789" s="10" t="str">
        <f t="shared" si="61"/>
        <v/>
      </c>
      <c r="L789" s="10" t="str">
        <f t="shared" si="62"/>
        <v/>
      </c>
      <c r="M789" s="10" t="str">
        <f t="shared" si="63"/>
        <v/>
      </c>
      <c r="N789" s="10" t="str">
        <f t="shared" si="64"/>
        <v/>
      </c>
      <c r="O789" s="6"/>
      <c r="P789" s="6"/>
    </row>
    <row r="790" spans="1:16" x14ac:dyDescent="0.3">
      <c r="A790" s="6"/>
      <c r="B790" s="7"/>
      <c r="C790" s="6"/>
      <c r="D790" s="6"/>
      <c r="E790" s="6"/>
      <c r="F790" s="25"/>
      <c r="G790" s="25" t="str">
        <f>IF(A790="","",SUMIFS(Paradas_Detalhadas!$I:$I,Paradas_Detalhadas!$A:$A,A790,Paradas_Detalhadas!$B:$B,B790,Paradas_Detalhadas!$C:$C,C790,Paradas_Detalhadas!$D:$D,E790))</f>
        <v/>
      </c>
      <c r="H790" s="26" t="str">
        <f t="shared" si="60"/>
        <v/>
      </c>
      <c r="I790" s="10"/>
      <c r="J790" s="10"/>
      <c r="K790" s="10" t="str">
        <f t="shared" si="61"/>
        <v/>
      </c>
      <c r="L790" s="10" t="str">
        <f t="shared" si="62"/>
        <v/>
      </c>
      <c r="M790" s="10" t="str">
        <f t="shared" si="63"/>
        <v/>
      </c>
      <c r="N790" s="10" t="str">
        <f t="shared" si="64"/>
        <v/>
      </c>
      <c r="O790" s="6"/>
      <c r="P790" s="6"/>
    </row>
    <row r="791" spans="1:16" x14ac:dyDescent="0.3">
      <c r="A791" s="6"/>
      <c r="B791" s="7"/>
      <c r="C791" s="6"/>
      <c r="D791" s="6"/>
      <c r="E791" s="6"/>
      <c r="F791" s="25"/>
      <c r="G791" s="25" t="str">
        <f>IF(A791="","",SUMIFS(Paradas_Detalhadas!$I:$I,Paradas_Detalhadas!$A:$A,A791,Paradas_Detalhadas!$B:$B,B791,Paradas_Detalhadas!$C:$C,C791,Paradas_Detalhadas!$D:$D,E791))</f>
        <v/>
      </c>
      <c r="H791" s="26" t="str">
        <f t="shared" si="60"/>
        <v/>
      </c>
      <c r="I791" s="10"/>
      <c r="J791" s="10"/>
      <c r="K791" s="10" t="str">
        <f t="shared" si="61"/>
        <v/>
      </c>
      <c r="L791" s="10" t="str">
        <f t="shared" si="62"/>
        <v/>
      </c>
      <c r="M791" s="10" t="str">
        <f t="shared" si="63"/>
        <v/>
      </c>
      <c r="N791" s="10" t="str">
        <f t="shared" si="64"/>
        <v/>
      </c>
      <c r="O791" s="6"/>
      <c r="P791" s="6"/>
    </row>
    <row r="792" spans="1:16" x14ac:dyDescent="0.3">
      <c r="A792" s="6"/>
      <c r="B792" s="7"/>
      <c r="C792" s="6"/>
      <c r="D792" s="6"/>
      <c r="E792" s="6"/>
      <c r="F792" s="25"/>
      <c r="G792" s="25" t="str">
        <f>IF(A792="","",SUMIFS(Paradas_Detalhadas!$I:$I,Paradas_Detalhadas!$A:$A,A792,Paradas_Detalhadas!$B:$B,B792,Paradas_Detalhadas!$C:$C,C792,Paradas_Detalhadas!$D:$D,E792))</f>
        <v/>
      </c>
      <c r="H792" s="26" t="str">
        <f t="shared" si="60"/>
        <v/>
      </c>
      <c r="I792" s="10"/>
      <c r="J792" s="10"/>
      <c r="K792" s="10" t="str">
        <f t="shared" si="61"/>
        <v/>
      </c>
      <c r="L792" s="10" t="str">
        <f t="shared" si="62"/>
        <v/>
      </c>
      <c r="M792" s="10" t="str">
        <f t="shared" si="63"/>
        <v/>
      </c>
      <c r="N792" s="10" t="str">
        <f t="shared" si="64"/>
        <v/>
      </c>
      <c r="O792" s="6"/>
      <c r="P792" s="6"/>
    </row>
    <row r="793" spans="1:16" x14ac:dyDescent="0.3">
      <c r="A793" s="6"/>
      <c r="B793" s="7"/>
      <c r="C793" s="6"/>
      <c r="D793" s="6"/>
      <c r="E793" s="6"/>
      <c r="F793" s="25"/>
      <c r="G793" s="25" t="str">
        <f>IF(A793="","",SUMIFS(Paradas_Detalhadas!$I:$I,Paradas_Detalhadas!$A:$A,A793,Paradas_Detalhadas!$B:$B,B793,Paradas_Detalhadas!$C:$C,C793,Paradas_Detalhadas!$D:$D,E793))</f>
        <v/>
      </c>
      <c r="H793" s="26" t="str">
        <f t="shared" si="60"/>
        <v/>
      </c>
      <c r="I793" s="10"/>
      <c r="J793" s="10"/>
      <c r="K793" s="10" t="str">
        <f t="shared" si="61"/>
        <v/>
      </c>
      <c r="L793" s="10" t="str">
        <f t="shared" si="62"/>
        <v/>
      </c>
      <c r="M793" s="10" t="str">
        <f t="shared" si="63"/>
        <v/>
      </c>
      <c r="N793" s="10" t="str">
        <f t="shared" si="64"/>
        <v/>
      </c>
      <c r="O793" s="6"/>
      <c r="P793" s="6"/>
    </row>
    <row r="794" spans="1:16" x14ac:dyDescent="0.3">
      <c r="A794" s="6"/>
      <c r="B794" s="7"/>
      <c r="C794" s="6"/>
      <c r="D794" s="6"/>
      <c r="E794" s="6"/>
      <c r="F794" s="25"/>
      <c r="G794" s="25" t="str">
        <f>IF(A794="","",SUMIFS(Paradas_Detalhadas!$I:$I,Paradas_Detalhadas!$A:$A,A794,Paradas_Detalhadas!$B:$B,B794,Paradas_Detalhadas!$C:$C,C794,Paradas_Detalhadas!$D:$D,E794))</f>
        <v/>
      </c>
      <c r="H794" s="26" t="str">
        <f t="shared" si="60"/>
        <v/>
      </c>
      <c r="I794" s="10"/>
      <c r="J794" s="10"/>
      <c r="K794" s="10" t="str">
        <f t="shared" si="61"/>
        <v/>
      </c>
      <c r="L794" s="10" t="str">
        <f t="shared" si="62"/>
        <v/>
      </c>
      <c r="M794" s="10" t="str">
        <f t="shared" si="63"/>
        <v/>
      </c>
      <c r="N794" s="10" t="str">
        <f t="shared" si="64"/>
        <v/>
      </c>
      <c r="O794" s="6"/>
      <c r="P794" s="6"/>
    </row>
    <row r="795" spans="1:16" x14ac:dyDescent="0.3">
      <c r="A795" s="6"/>
      <c r="B795" s="7"/>
      <c r="C795" s="6"/>
      <c r="D795" s="6"/>
      <c r="E795" s="6"/>
      <c r="F795" s="25"/>
      <c r="G795" s="25" t="str">
        <f>IF(A795="","",SUMIFS(Paradas_Detalhadas!$I:$I,Paradas_Detalhadas!$A:$A,A795,Paradas_Detalhadas!$B:$B,B795,Paradas_Detalhadas!$C:$C,C795,Paradas_Detalhadas!$D:$D,E795))</f>
        <v/>
      </c>
      <c r="H795" s="26" t="str">
        <f t="shared" si="60"/>
        <v/>
      </c>
      <c r="I795" s="10"/>
      <c r="J795" s="10"/>
      <c r="K795" s="10" t="str">
        <f t="shared" si="61"/>
        <v/>
      </c>
      <c r="L795" s="10" t="str">
        <f t="shared" si="62"/>
        <v/>
      </c>
      <c r="M795" s="10" t="str">
        <f t="shared" si="63"/>
        <v/>
      </c>
      <c r="N795" s="10" t="str">
        <f t="shared" si="64"/>
        <v/>
      </c>
      <c r="O795" s="6"/>
      <c r="P795" s="6"/>
    </row>
    <row r="796" spans="1:16" x14ac:dyDescent="0.3">
      <c r="A796" s="6"/>
      <c r="B796" s="7"/>
      <c r="C796" s="6"/>
      <c r="D796" s="6"/>
      <c r="E796" s="6"/>
      <c r="F796" s="25"/>
      <c r="G796" s="25" t="str">
        <f>IF(A796="","",SUMIFS(Paradas_Detalhadas!$I:$I,Paradas_Detalhadas!$A:$A,A796,Paradas_Detalhadas!$B:$B,B796,Paradas_Detalhadas!$C:$C,C796,Paradas_Detalhadas!$D:$D,E796))</f>
        <v/>
      </c>
      <c r="H796" s="26" t="str">
        <f t="shared" si="60"/>
        <v/>
      </c>
      <c r="I796" s="10"/>
      <c r="J796" s="10"/>
      <c r="K796" s="10" t="str">
        <f t="shared" si="61"/>
        <v/>
      </c>
      <c r="L796" s="10" t="str">
        <f t="shared" si="62"/>
        <v/>
      </c>
      <c r="M796" s="10" t="str">
        <f t="shared" si="63"/>
        <v/>
      </c>
      <c r="N796" s="10" t="str">
        <f t="shared" si="64"/>
        <v/>
      </c>
      <c r="O796" s="6"/>
      <c r="P796" s="6"/>
    </row>
    <row r="797" spans="1:16" x14ac:dyDescent="0.3">
      <c r="A797" s="6"/>
      <c r="B797" s="7"/>
      <c r="C797" s="6"/>
      <c r="D797" s="6"/>
      <c r="E797" s="6"/>
      <c r="F797" s="25"/>
      <c r="G797" s="25" t="str">
        <f>IF(A797="","",SUMIFS(Paradas_Detalhadas!$I:$I,Paradas_Detalhadas!$A:$A,A797,Paradas_Detalhadas!$B:$B,B797,Paradas_Detalhadas!$C:$C,C797,Paradas_Detalhadas!$D:$D,E797))</f>
        <v/>
      </c>
      <c r="H797" s="26" t="str">
        <f t="shared" si="60"/>
        <v/>
      </c>
      <c r="I797" s="10"/>
      <c r="J797" s="10"/>
      <c r="K797" s="10" t="str">
        <f t="shared" si="61"/>
        <v/>
      </c>
      <c r="L797" s="10" t="str">
        <f t="shared" si="62"/>
        <v/>
      </c>
      <c r="M797" s="10" t="str">
        <f t="shared" si="63"/>
        <v/>
      </c>
      <c r="N797" s="10" t="str">
        <f t="shared" si="64"/>
        <v/>
      </c>
      <c r="O797" s="6"/>
      <c r="P797" s="6"/>
    </row>
    <row r="798" spans="1:16" x14ac:dyDescent="0.3">
      <c r="A798" s="6"/>
      <c r="B798" s="7"/>
      <c r="C798" s="6"/>
      <c r="D798" s="6"/>
      <c r="E798" s="6"/>
      <c r="F798" s="25"/>
      <c r="G798" s="25" t="str">
        <f>IF(A798="","",SUMIFS(Paradas_Detalhadas!$I:$I,Paradas_Detalhadas!$A:$A,A798,Paradas_Detalhadas!$B:$B,B798,Paradas_Detalhadas!$C:$C,C798,Paradas_Detalhadas!$D:$D,E798))</f>
        <v/>
      </c>
      <c r="H798" s="26" t="str">
        <f t="shared" si="60"/>
        <v/>
      </c>
      <c r="I798" s="10"/>
      <c r="J798" s="10"/>
      <c r="K798" s="10" t="str">
        <f t="shared" si="61"/>
        <v/>
      </c>
      <c r="L798" s="10" t="str">
        <f t="shared" si="62"/>
        <v/>
      </c>
      <c r="M798" s="10" t="str">
        <f t="shared" si="63"/>
        <v/>
      </c>
      <c r="N798" s="10" t="str">
        <f t="shared" si="64"/>
        <v/>
      </c>
      <c r="O798" s="6"/>
      <c r="P798" s="6"/>
    </row>
    <row r="799" spans="1:16" x14ac:dyDescent="0.3">
      <c r="A799" s="6"/>
      <c r="B799" s="7"/>
      <c r="C799" s="6"/>
      <c r="D799" s="6"/>
      <c r="E799" s="6"/>
      <c r="F799" s="25"/>
      <c r="G799" s="25" t="str">
        <f>IF(A799="","",SUMIFS(Paradas_Detalhadas!$I:$I,Paradas_Detalhadas!$A:$A,A799,Paradas_Detalhadas!$B:$B,B799,Paradas_Detalhadas!$C:$C,C799,Paradas_Detalhadas!$D:$D,E799))</f>
        <v/>
      </c>
      <c r="H799" s="26" t="str">
        <f t="shared" si="60"/>
        <v/>
      </c>
      <c r="I799" s="10"/>
      <c r="J799" s="10"/>
      <c r="K799" s="10" t="str">
        <f t="shared" si="61"/>
        <v/>
      </c>
      <c r="L799" s="10" t="str">
        <f t="shared" si="62"/>
        <v/>
      </c>
      <c r="M799" s="10" t="str">
        <f t="shared" si="63"/>
        <v/>
      </c>
      <c r="N799" s="10" t="str">
        <f t="shared" si="64"/>
        <v/>
      </c>
      <c r="O799" s="6"/>
      <c r="P799" s="6"/>
    </row>
    <row r="800" spans="1:16" x14ac:dyDescent="0.3">
      <c r="A800" s="6"/>
      <c r="B800" s="7"/>
      <c r="C800" s="6"/>
      <c r="D800" s="6"/>
      <c r="E800" s="6"/>
      <c r="F800" s="25"/>
      <c r="G800" s="25" t="str">
        <f>IF(A800="","",SUMIFS(Paradas_Detalhadas!$I:$I,Paradas_Detalhadas!$A:$A,A800,Paradas_Detalhadas!$B:$B,B800,Paradas_Detalhadas!$C:$C,C800,Paradas_Detalhadas!$D:$D,E800))</f>
        <v/>
      </c>
      <c r="H800" s="26" t="str">
        <f t="shared" si="60"/>
        <v/>
      </c>
      <c r="I800" s="10"/>
      <c r="J800" s="10"/>
      <c r="K800" s="10" t="str">
        <f t="shared" si="61"/>
        <v/>
      </c>
      <c r="L800" s="10" t="str">
        <f t="shared" si="62"/>
        <v/>
      </c>
      <c r="M800" s="10" t="str">
        <f t="shared" si="63"/>
        <v/>
      </c>
      <c r="N800" s="10" t="str">
        <f t="shared" si="64"/>
        <v/>
      </c>
      <c r="O800" s="6"/>
      <c r="P800" s="6"/>
    </row>
    <row r="801" spans="1:16" x14ac:dyDescent="0.3">
      <c r="A801" s="6"/>
      <c r="B801" s="7"/>
      <c r="C801" s="6"/>
      <c r="D801" s="6"/>
      <c r="E801" s="6"/>
      <c r="F801" s="25"/>
      <c r="G801" s="25" t="str">
        <f>IF(A801="","",SUMIFS(Paradas_Detalhadas!$I:$I,Paradas_Detalhadas!$A:$A,A801,Paradas_Detalhadas!$B:$B,B801,Paradas_Detalhadas!$C:$C,C801,Paradas_Detalhadas!$D:$D,E801))</f>
        <v/>
      </c>
      <c r="H801" s="26" t="str">
        <f t="shared" si="60"/>
        <v/>
      </c>
      <c r="I801" s="10"/>
      <c r="J801" s="10"/>
      <c r="K801" s="10" t="str">
        <f t="shared" si="61"/>
        <v/>
      </c>
      <c r="L801" s="10" t="str">
        <f t="shared" si="62"/>
        <v/>
      </c>
      <c r="M801" s="10" t="str">
        <f t="shared" si="63"/>
        <v/>
      </c>
      <c r="N801" s="10" t="str">
        <f t="shared" si="64"/>
        <v/>
      </c>
      <c r="O801" s="6"/>
      <c r="P801" s="6"/>
    </row>
    <row r="802" spans="1:16" x14ac:dyDescent="0.3">
      <c r="A802" s="6"/>
      <c r="B802" s="7"/>
      <c r="C802" s="6"/>
      <c r="D802" s="6"/>
      <c r="E802" s="6"/>
      <c r="F802" s="25"/>
      <c r="G802" s="25" t="str">
        <f>IF(A802="","",SUMIFS(Paradas_Detalhadas!$I:$I,Paradas_Detalhadas!$A:$A,A802,Paradas_Detalhadas!$B:$B,B802,Paradas_Detalhadas!$C:$C,C802,Paradas_Detalhadas!$D:$D,E802))</f>
        <v/>
      </c>
      <c r="H802" s="26" t="str">
        <f t="shared" si="60"/>
        <v/>
      </c>
      <c r="I802" s="10"/>
      <c r="J802" s="10"/>
      <c r="K802" s="10" t="str">
        <f t="shared" si="61"/>
        <v/>
      </c>
      <c r="L802" s="10" t="str">
        <f t="shared" si="62"/>
        <v/>
      </c>
      <c r="M802" s="10" t="str">
        <f t="shared" si="63"/>
        <v/>
      </c>
      <c r="N802" s="10" t="str">
        <f t="shared" si="64"/>
        <v/>
      </c>
      <c r="O802" s="6"/>
      <c r="P802" s="6"/>
    </row>
    <row r="803" spans="1:16" x14ac:dyDescent="0.3">
      <c r="A803" s="6"/>
      <c r="B803" s="7"/>
      <c r="C803" s="6"/>
      <c r="D803" s="6"/>
      <c r="E803" s="6"/>
      <c r="F803" s="25"/>
      <c r="G803" s="25" t="str">
        <f>IF(A803="","",SUMIFS(Paradas_Detalhadas!$I:$I,Paradas_Detalhadas!$A:$A,A803,Paradas_Detalhadas!$B:$B,B803,Paradas_Detalhadas!$C:$C,C803,Paradas_Detalhadas!$D:$D,E803))</f>
        <v/>
      </c>
      <c r="H803" s="26" t="str">
        <f t="shared" si="60"/>
        <v/>
      </c>
      <c r="I803" s="10"/>
      <c r="J803" s="10"/>
      <c r="K803" s="10" t="str">
        <f t="shared" si="61"/>
        <v/>
      </c>
      <c r="L803" s="10" t="str">
        <f t="shared" si="62"/>
        <v/>
      </c>
      <c r="M803" s="10" t="str">
        <f t="shared" si="63"/>
        <v/>
      </c>
      <c r="N803" s="10" t="str">
        <f t="shared" si="64"/>
        <v/>
      </c>
      <c r="O803" s="6"/>
      <c r="P803" s="6"/>
    </row>
    <row r="804" spans="1:16" x14ac:dyDescent="0.3">
      <c r="A804" s="6"/>
      <c r="B804" s="7"/>
      <c r="C804" s="6"/>
      <c r="D804" s="6"/>
      <c r="E804" s="6"/>
      <c r="F804" s="25"/>
      <c r="G804" s="25" t="str">
        <f>IF(A804="","",SUMIFS(Paradas_Detalhadas!$I:$I,Paradas_Detalhadas!$A:$A,A804,Paradas_Detalhadas!$B:$B,B804,Paradas_Detalhadas!$C:$C,C804,Paradas_Detalhadas!$D:$D,E804))</f>
        <v/>
      </c>
      <c r="H804" s="26" t="str">
        <f t="shared" si="60"/>
        <v/>
      </c>
      <c r="I804" s="10"/>
      <c r="J804" s="10"/>
      <c r="K804" s="10" t="str">
        <f t="shared" si="61"/>
        <v/>
      </c>
      <c r="L804" s="10" t="str">
        <f t="shared" si="62"/>
        <v/>
      </c>
      <c r="M804" s="10" t="str">
        <f t="shared" si="63"/>
        <v/>
      </c>
      <c r="N804" s="10" t="str">
        <f t="shared" si="64"/>
        <v/>
      </c>
      <c r="O804" s="6"/>
      <c r="P804" s="6"/>
    </row>
    <row r="805" spans="1:16" x14ac:dyDescent="0.3">
      <c r="A805" s="6"/>
      <c r="B805" s="7"/>
      <c r="C805" s="6"/>
      <c r="D805" s="6"/>
      <c r="E805" s="6"/>
      <c r="F805" s="25"/>
      <c r="G805" s="25" t="str">
        <f>IF(A805="","",SUMIFS(Paradas_Detalhadas!$I:$I,Paradas_Detalhadas!$A:$A,A805,Paradas_Detalhadas!$B:$B,B805,Paradas_Detalhadas!$C:$C,C805,Paradas_Detalhadas!$D:$D,E805))</f>
        <v/>
      </c>
      <c r="H805" s="26" t="str">
        <f t="shared" si="60"/>
        <v/>
      </c>
      <c r="I805" s="10"/>
      <c r="J805" s="10"/>
      <c r="K805" s="10" t="str">
        <f t="shared" si="61"/>
        <v/>
      </c>
      <c r="L805" s="10" t="str">
        <f t="shared" si="62"/>
        <v/>
      </c>
      <c r="M805" s="10" t="str">
        <f t="shared" si="63"/>
        <v/>
      </c>
      <c r="N805" s="10" t="str">
        <f t="shared" si="64"/>
        <v/>
      </c>
      <c r="O805" s="6"/>
      <c r="P805" s="6"/>
    </row>
    <row r="806" spans="1:16" x14ac:dyDescent="0.3">
      <c r="A806" s="6"/>
      <c r="B806" s="7"/>
      <c r="C806" s="6"/>
      <c r="D806" s="6"/>
      <c r="E806" s="6"/>
      <c r="F806" s="25"/>
      <c r="G806" s="25" t="str">
        <f>IF(A806="","",SUMIFS(Paradas_Detalhadas!$I:$I,Paradas_Detalhadas!$A:$A,A806,Paradas_Detalhadas!$B:$B,B806,Paradas_Detalhadas!$C:$C,C806,Paradas_Detalhadas!$D:$D,E806))</f>
        <v/>
      </c>
      <c r="H806" s="26" t="str">
        <f t="shared" si="60"/>
        <v/>
      </c>
      <c r="I806" s="10"/>
      <c r="J806" s="10"/>
      <c r="K806" s="10" t="str">
        <f t="shared" si="61"/>
        <v/>
      </c>
      <c r="L806" s="10" t="str">
        <f t="shared" si="62"/>
        <v/>
      </c>
      <c r="M806" s="10" t="str">
        <f t="shared" si="63"/>
        <v/>
      </c>
      <c r="N806" s="10" t="str">
        <f t="shared" si="64"/>
        <v/>
      </c>
      <c r="O806" s="6"/>
      <c r="P806" s="6"/>
    </row>
    <row r="807" spans="1:16" x14ac:dyDescent="0.3">
      <c r="A807" s="6"/>
      <c r="B807" s="7"/>
      <c r="C807" s="6"/>
      <c r="D807" s="6"/>
      <c r="E807" s="6"/>
      <c r="F807" s="25"/>
      <c r="G807" s="25" t="str">
        <f>IF(A807="","",SUMIFS(Paradas_Detalhadas!$I:$I,Paradas_Detalhadas!$A:$A,A807,Paradas_Detalhadas!$B:$B,B807,Paradas_Detalhadas!$C:$C,C807,Paradas_Detalhadas!$D:$D,E807))</f>
        <v/>
      </c>
      <c r="H807" s="26" t="str">
        <f t="shared" si="60"/>
        <v/>
      </c>
      <c r="I807" s="10"/>
      <c r="J807" s="10"/>
      <c r="K807" s="10" t="str">
        <f t="shared" si="61"/>
        <v/>
      </c>
      <c r="L807" s="10" t="str">
        <f t="shared" si="62"/>
        <v/>
      </c>
      <c r="M807" s="10" t="str">
        <f t="shared" si="63"/>
        <v/>
      </c>
      <c r="N807" s="10" t="str">
        <f t="shared" si="64"/>
        <v/>
      </c>
      <c r="O807" s="6"/>
      <c r="P807" s="6"/>
    </row>
    <row r="808" spans="1:16" x14ac:dyDescent="0.3">
      <c r="A808" s="6"/>
      <c r="B808" s="7"/>
      <c r="C808" s="6"/>
      <c r="D808" s="6"/>
      <c r="E808" s="6"/>
      <c r="F808" s="25"/>
      <c r="G808" s="25" t="str">
        <f>IF(A808="","",SUMIFS(Paradas_Detalhadas!$I:$I,Paradas_Detalhadas!$A:$A,A808,Paradas_Detalhadas!$B:$B,B808,Paradas_Detalhadas!$C:$C,C808,Paradas_Detalhadas!$D:$D,E808))</f>
        <v/>
      </c>
      <c r="H808" s="26" t="str">
        <f t="shared" si="60"/>
        <v/>
      </c>
      <c r="I808" s="10"/>
      <c r="J808" s="10"/>
      <c r="K808" s="10" t="str">
        <f t="shared" si="61"/>
        <v/>
      </c>
      <c r="L808" s="10" t="str">
        <f t="shared" si="62"/>
        <v/>
      </c>
      <c r="M808" s="10" t="str">
        <f t="shared" si="63"/>
        <v/>
      </c>
      <c r="N808" s="10" t="str">
        <f t="shared" si="64"/>
        <v/>
      </c>
      <c r="O808" s="6"/>
      <c r="P808" s="6"/>
    </row>
    <row r="809" spans="1:16" x14ac:dyDescent="0.3">
      <c r="A809" s="6"/>
      <c r="B809" s="7"/>
      <c r="C809" s="6"/>
      <c r="D809" s="6"/>
      <c r="E809" s="6"/>
      <c r="F809" s="25"/>
      <c r="G809" s="25" t="str">
        <f>IF(A809="","",SUMIFS(Paradas_Detalhadas!$I:$I,Paradas_Detalhadas!$A:$A,A809,Paradas_Detalhadas!$B:$B,B809,Paradas_Detalhadas!$C:$C,C809,Paradas_Detalhadas!$D:$D,E809))</f>
        <v/>
      </c>
      <c r="H809" s="26" t="str">
        <f t="shared" si="60"/>
        <v/>
      </c>
      <c r="I809" s="10"/>
      <c r="J809" s="10"/>
      <c r="K809" s="10" t="str">
        <f t="shared" si="61"/>
        <v/>
      </c>
      <c r="L809" s="10" t="str">
        <f t="shared" si="62"/>
        <v/>
      </c>
      <c r="M809" s="10" t="str">
        <f t="shared" si="63"/>
        <v/>
      </c>
      <c r="N809" s="10" t="str">
        <f t="shared" si="64"/>
        <v/>
      </c>
      <c r="O809" s="6"/>
      <c r="P809" s="6"/>
    </row>
    <row r="810" spans="1:16" x14ac:dyDescent="0.3">
      <c r="A810" s="6"/>
      <c r="B810" s="7"/>
      <c r="C810" s="6"/>
      <c r="D810" s="6"/>
      <c r="E810" s="6"/>
      <c r="F810" s="25"/>
      <c r="G810" s="25" t="str">
        <f>IF(A810="","",SUMIFS(Paradas_Detalhadas!$I:$I,Paradas_Detalhadas!$A:$A,A810,Paradas_Detalhadas!$B:$B,B810,Paradas_Detalhadas!$C:$C,C810,Paradas_Detalhadas!$D:$D,E810))</f>
        <v/>
      </c>
      <c r="H810" s="26" t="str">
        <f t="shared" si="60"/>
        <v/>
      </c>
      <c r="I810" s="10"/>
      <c r="J810" s="10"/>
      <c r="K810" s="10" t="str">
        <f t="shared" si="61"/>
        <v/>
      </c>
      <c r="L810" s="10" t="str">
        <f t="shared" si="62"/>
        <v/>
      </c>
      <c r="M810" s="10" t="str">
        <f t="shared" si="63"/>
        <v/>
      </c>
      <c r="N810" s="10" t="str">
        <f t="shared" si="64"/>
        <v/>
      </c>
      <c r="O810" s="6"/>
      <c r="P810" s="6"/>
    </row>
    <row r="811" spans="1:16" x14ac:dyDescent="0.3">
      <c r="A811" s="6"/>
      <c r="B811" s="7"/>
      <c r="C811" s="6"/>
      <c r="D811" s="6"/>
      <c r="E811" s="6"/>
      <c r="F811" s="25"/>
      <c r="G811" s="25" t="str">
        <f>IF(A811="","",SUMIFS(Paradas_Detalhadas!$I:$I,Paradas_Detalhadas!$A:$A,A811,Paradas_Detalhadas!$B:$B,B811,Paradas_Detalhadas!$C:$C,C811,Paradas_Detalhadas!$D:$D,E811))</f>
        <v/>
      </c>
      <c r="H811" s="26" t="str">
        <f t="shared" si="60"/>
        <v/>
      </c>
      <c r="I811" s="10"/>
      <c r="J811" s="10"/>
      <c r="K811" s="10" t="str">
        <f t="shared" si="61"/>
        <v/>
      </c>
      <c r="L811" s="10" t="str">
        <f t="shared" si="62"/>
        <v/>
      </c>
      <c r="M811" s="10" t="str">
        <f t="shared" si="63"/>
        <v/>
      </c>
      <c r="N811" s="10" t="str">
        <f t="shared" si="64"/>
        <v/>
      </c>
      <c r="O811" s="6"/>
      <c r="P811" s="6"/>
    </row>
    <row r="812" spans="1:16" x14ac:dyDescent="0.3">
      <c r="A812" s="6"/>
      <c r="B812" s="7"/>
      <c r="C812" s="6"/>
      <c r="D812" s="6"/>
      <c r="E812" s="6"/>
      <c r="F812" s="25"/>
      <c r="G812" s="25" t="str">
        <f>IF(A812="","",SUMIFS(Paradas_Detalhadas!$I:$I,Paradas_Detalhadas!$A:$A,A812,Paradas_Detalhadas!$B:$B,B812,Paradas_Detalhadas!$C:$C,C812,Paradas_Detalhadas!$D:$D,E812))</f>
        <v/>
      </c>
      <c r="H812" s="26" t="str">
        <f t="shared" si="60"/>
        <v/>
      </c>
      <c r="I812" s="10"/>
      <c r="J812" s="10"/>
      <c r="K812" s="10" t="str">
        <f t="shared" si="61"/>
        <v/>
      </c>
      <c r="L812" s="10" t="str">
        <f t="shared" si="62"/>
        <v/>
      </c>
      <c r="M812" s="10" t="str">
        <f t="shared" si="63"/>
        <v/>
      </c>
      <c r="N812" s="10" t="str">
        <f t="shared" si="64"/>
        <v/>
      </c>
      <c r="O812" s="6"/>
      <c r="P812" s="6"/>
    </row>
    <row r="813" spans="1:16" x14ac:dyDescent="0.3">
      <c r="A813" s="6"/>
      <c r="B813" s="7"/>
      <c r="C813" s="6"/>
      <c r="D813" s="6"/>
      <c r="E813" s="6"/>
      <c r="F813" s="25"/>
      <c r="G813" s="25" t="str">
        <f>IF(A813="","",SUMIFS(Paradas_Detalhadas!$I:$I,Paradas_Detalhadas!$A:$A,A813,Paradas_Detalhadas!$B:$B,B813,Paradas_Detalhadas!$C:$C,C813,Paradas_Detalhadas!$D:$D,E813))</f>
        <v/>
      </c>
      <c r="H813" s="26" t="str">
        <f t="shared" si="60"/>
        <v/>
      </c>
      <c r="I813" s="10"/>
      <c r="J813" s="10"/>
      <c r="K813" s="10" t="str">
        <f t="shared" si="61"/>
        <v/>
      </c>
      <c r="L813" s="10" t="str">
        <f t="shared" si="62"/>
        <v/>
      </c>
      <c r="M813" s="10" t="str">
        <f t="shared" si="63"/>
        <v/>
      </c>
      <c r="N813" s="10" t="str">
        <f t="shared" si="64"/>
        <v/>
      </c>
      <c r="O813" s="6"/>
      <c r="P813" s="6"/>
    </row>
    <row r="814" spans="1:16" x14ac:dyDescent="0.3">
      <c r="A814" s="6"/>
      <c r="B814" s="7"/>
      <c r="C814" s="6"/>
      <c r="D814" s="6"/>
      <c r="E814" s="6"/>
      <c r="F814" s="25"/>
      <c r="G814" s="25" t="str">
        <f>IF(A814="","",SUMIFS(Paradas_Detalhadas!$I:$I,Paradas_Detalhadas!$A:$A,A814,Paradas_Detalhadas!$B:$B,B814,Paradas_Detalhadas!$C:$C,C814,Paradas_Detalhadas!$D:$D,E814))</f>
        <v/>
      </c>
      <c r="H814" s="26" t="str">
        <f t="shared" ref="H814:H877" si="65">IF(OR(F814="",G814=""),"",MAX(F814-G814,0))</f>
        <v/>
      </c>
      <c r="I814" s="10"/>
      <c r="J814" s="10"/>
      <c r="K814" s="10" t="str">
        <f t="shared" ref="K814:K877" si="66">IF(AND(I814="",J814=""),"",SUM(I814:J814))</f>
        <v/>
      </c>
      <c r="L814" s="10" t="str">
        <f t="shared" ref="L814:L877" si="67">IFERROR(K814/H814,"")</f>
        <v/>
      </c>
      <c r="M814" s="10" t="str">
        <f t="shared" ref="M814:M877" si="68">IFERROR(I814/H814,"")</f>
        <v/>
      </c>
      <c r="N814" s="10" t="str">
        <f t="shared" ref="N814:N877" si="69">IFERROR(J814/H814,"")</f>
        <v/>
      </c>
      <c r="O814" s="6"/>
      <c r="P814" s="6"/>
    </row>
    <row r="815" spans="1:16" x14ac:dyDescent="0.3">
      <c r="A815" s="6"/>
      <c r="B815" s="7"/>
      <c r="C815" s="6"/>
      <c r="D815" s="6"/>
      <c r="E815" s="6"/>
      <c r="F815" s="25"/>
      <c r="G815" s="25" t="str">
        <f>IF(A815="","",SUMIFS(Paradas_Detalhadas!$I:$I,Paradas_Detalhadas!$A:$A,A815,Paradas_Detalhadas!$B:$B,B815,Paradas_Detalhadas!$C:$C,C815,Paradas_Detalhadas!$D:$D,E815))</f>
        <v/>
      </c>
      <c r="H815" s="26" t="str">
        <f t="shared" si="65"/>
        <v/>
      </c>
      <c r="I815" s="10"/>
      <c r="J815" s="10"/>
      <c r="K815" s="10" t="str">
        <f t="shared" si="66"/>
        <v/>
      </c>
      <c r="L815" s="10" t="str">
        <f t="shared" si="67"/>
        <v/>
      </c>
      <c r="M815" s="10" t="str">
        <f t="shared" si="68"/>
        <v/>
      </c>
      <c r="N815" s="10" t="str">
        <f t="shared" si="69"/>
        <v/>
      </c>
      <c r="O815" s="6"/>
      <c r="P815" s="6"/>
    </row>
    <row r="816" spans="1:16" x14ac:dyDescent="0.3">
      <c r="A816" s="6"/>
      <c r="B816" s="7"/>
      <c r="C816" s="6"/>
      <c r="D816" s="6"/>
      <c r="E816" s="6"/>
      <c r="F816" s="25"/>
      <c r="G816" s="25" t="str">
        <f>IF(A816="","",SUMIFS(Paradas_Detalhadas!$I:$I,Paradas_Detalhadas!$A:$A,A816,Paradas_Detalhadas!$B:$B,B816,Paradas_Detalhadas!$C:$C,C816,Paradas_Detalhadas!$D:$D,E816))</f>
        <v/>
      </c>
      <c r="H816" s="26" t="str">
        <f t="shared" si="65"/>
        <v/>
      </c>
      <c r="I816" s="10"/>
      <c r="J816" s="10"/>
      <c r="K816" s="10" t="str">
        <f t="shared" si="66"/>
        <v/>
      </c>
      <c r="L816" s="10" t="str">
        <f t="shared" si="67"/>
        <v/>
      </c>
      <c r="M816" s="10" t="str">
        <f t="shared" si="68"/>
        <v/>
      </c>
      <c r="N816" s="10" t="str">
        <f t="shared" si="69"/>
        <v/>
      </c>
      <c r="O816" s="6"/>
      <c r="P816" s="6"/>
    </row>
    <row r="817" spans="1:16" x14ac:dyDescent="0.3">
      <c r="A817" s="6"/>
      <c r="B817" s="7"/>
      <c r="C817" s="6"/>
      <c r="D817" s="6"/>
      <c r="E817" s="6"/>
      <c r="F817" s="25"/>
      <c r="G817" s="25" t="str">
        <f>IF(A817="","",SUMIFS(Paradas_Detalhadas!$I:$I,Paradas_Detalhadas!$A:$A,A817,Paradas_Detalhadas!$B:$B,B817,Paradas_Detalhadas!$C:$C,C817,Paradas_Detalhadas!$D:$D,E817))</f>
        <v/>
      </c>
      <c r="H817" s="26" t="str">
        <f t="shared" si="65"/>
        <v/>
      </c>
      <c r="I817" s="10"/>
      <c r="J817" s="10"/>
      <c r="K817" s="10" t="str">
        <f t="shared" si="66"/>
        <v/>
      </c>
      <c r="L817" s="10" t="str">
        <f t="shared" si="67"/>
        <v/>
      </c>
      <c r="M817" s="10" t="str">
        <f t="shared" si="68"/>
        <v/>
      </c>
      <c r="N817" s="10" t="str">
        <f t="shared" si="69"/>
        <v/>
      </c>
      <c r="O817" s="6"/>
      <c r="P817" s="6"/>
    </row>
    <row r="818" spans="1:16" x14ac:dyDescent="0.3">
      <c r="A818" s="6"/>
      <c r="B818" s="7"/>
      <c r="C818" s="6"/>
      <c r="D818" s="6"/>
      <c r="E818" s="6"/>
      <c r="F818" s="25"/>
      <c r="G818" s="25" t="str">
        <f>IF(A818="","",SUMIFS(Paradas_Detalhadas!$I:$I,Paradas_Detalhadas!$A:$A,A818,Paradas_Detalhadas!$B:$B,B818,Paradas_Detalhadas!$C:$C,C818,Paradas_Detalhadas!$D:$D,E818))</f>
        <v/>
      </c>
      <c r="H818" s="26" t="str">
        <f t="shared" si="65"/>
        <v/>
      </c>
      <c r="I818" s="10"/>
      <c r="J818" s="10"/>
      <c r="K818" s="10" t="str">
        <f t="shared" si="66"/>
        <v/>
      </c>
      <c r="L818" s="10" t="str">
        <f t="shared" si="67"/>
        <v/>
      </c>
      <c r="M818" s="10" t="str">
        <f t="shared" si="68"/>
        <v/>
      </c>
      <c r="N818" s="10" t="str">
        <f t="shared" si="69"/>
        <v/>
      </c>
      <c r="O818" s="6"/>
      <c r="P818" s="6"/>
    </row>
    <row r="819" spans="1:16" x14ac:dyDescent="0.3">
      <c r="A819" s="6"/>
      <c r="B819" s="7"/>
      <c r="C819" s="6"/>
      <c r="D819" s="6"/>
      <c r="E819" s="6"/>
      <c r="F819" s="25"/>
      <c r="G819" s="25" t="str">
        <f>IF(A819="","",SUMIFS(Paradas_Detalhadas!$I:$I,Paradas_Detalhadas!$A:$A,A819,Paradas_Detalhadas!$B:$B,B819,Paradas_Detalhadas!$C:$C,C819,Paradas_Detalhadas!$D:$D,E819))</f>
        <v/>
      </c>
      <c r="H819" s="26" t="str">
        <f t="shared" si="65"/>
        <v/>
      </c>
      <c r="I819" s="10"/>
      <c r="J819" s="10"/>
      <c r="K819" s="10" t="str">
        <f t="shared" si="66"/>
        <v/>
      </c>
      <c r="L819" s="10" t="str">
        <f t="shared" si="67"/>
        <v/>
      </c>
      <c r="M819" s="10" t="str">
        <f t="shared" si="68"/>
        <v/>
      </c>
      <c r="N819" s="10" t="str">
        <f t="shared" si="69"/>
        <v/>
      </c>
      <c r="O819" s="6"/>
      <c r="P819" s="6"/>
    </row>
    <row r="820" spans="1:16" x14ac:dyDescent="0.3">
      <c r="A820" s="6"/>
      <c r="B820" s="7"/>
      <c r="C820" s="6"/>
      <c r="D820" s="6"/>
      <c r="E820" s="6"/>
      <c r="F820" s="25"/>
      <c r="G820" s="25" t="str">
        <f>IF(A820="","",SUMIFS(Paradas_Detalhadas!$I:$I,Paradas_Detalhadas!$A:$A,A820,Paradas_Detalhadas!$B:$B,B820,Paradas_Detalhadas!$C:$C,C820,Paradas_Detalhadas!$D:$D,E820))</f>
        <v/>
      </c>
      <c r="H820" s="26" t="str">
        <f t="shared" si="65"/>
        <v/>
      </c>
      <c r="I820" s="10"/>
      <c r="J820" s="10"/>
      <c r="K820" s="10" t="str">
        <f t="shared" si="66"/>
        <v/>
      </c>
      <c r="L820" s="10" t="str">
        <f t="shared" si="67"/>
        <v/>
      </c>
      <c r="M820" s="10" t="str">
        <f t="shared" si="68"/>
        <v/>
      </c>
      <c r="N820" s="10" t="str">
        <f t="shared" si="69"/>
        <v/>
      </c>
      <c r="O820" s="6"/>
      <c r="P820" s="6"/>
    </row>
    <row r="821" spans="1:16" x14ac:dyDescent="0.3">
      <c r="A821" s="6"/>
      <c r="B821" s="7"/>
      <c r="C821" s="6"/>
      <c r="D821" s="6"/>
      <c r="E821" s="6"/>
      <c r="F821" s="25"/>
      <c r="G821" s="25" t="str">
        <f>IF(A821="","",SUMIFS(Paradas_Detalhadas!$I:$I,Paradas_Detalhadas!$A:$A,A821,Paradas_Detalhadas!$B:$B,B821,Paradas_Detalhadas!$C:$C,C821,Paradas_Detalhadas!$D:$D,E821))</f>
        <v/>
      </c>
      <c r="H821" s="26" t="str">
        <f t="shared" si="65"/>
        <v/>
      </c>
      <c r="I821" s="10"/>
      <c r="J821" s="10"/>
      <c r="K821" s="10" t="str">
        <f t="shared" si="66"/>
        <v/>
      </c>
      <c r="L821" s="10" t="str">
        <f t="shared" si="67"/>
        <v/>
      </c>
      <c r="M821" s="10" t="str">
        <f t="shared" si="68"/>
        <v/>
      </c>
      <c r="N821" s="10" t="str">
        <f t="shared" si="69"/>
        <v/>
      </c>
      <c r="O821" s="6"/>
      <c r="P821" s="6"/>
    </row>
    <row r="822" spans="1:16" x14ac:dyDescent="0.3">
      <c r="A822" s="6"/>
      <c r="B822" s="7"/>
      <c r="C822" s="6"/>
      <c r="D822" s="6"/>
      <c r="E822" s="6"/>
      <c r="F822" s="25"/>
      <c r="G822" s="25" t="str">
        <f>IF(A822="","",SUMIFS(Paradas_Detalhadas!$I:$I,Paradas_Detalhadas!$A:$A,A822,Paradas_Detalhadas!$B:$B,B822,Paradas_Detalhadas!$C:$C,C822,Paradas_Detalhadas!$D:$D,E822))</f>
        <v/>
      </c>
      <c r="H822" s="26" t="str">
        <f t="shared" si="65"/>
        <v/>
      </c>
      <c r="I822" s="10"/>
      <c r="J822" s="10"/>
      <c r="K822" s="10" t="str">
        <f t="shared" si="66"/>
        <v/>
      </c>
      <c r="L822" s="10" t="str">
        <f t="shared" si="67"/>
        <v/>
      </c>
      <c r="M822" s="10" t="str">
        <f t="shared" si="68"/>
        <v/>
      </c>
      <c r="N822" s="10" t="str">
        <f t="shared" si="69"/>
        <v/>
      </c>
      <c r="O822" s="6"/>
      <c r="P822" s="6"/>
    </row>
    <row r="823" spans="1:16" x14ac:dyDescent="0.3">
      <c r="A823" s="6"/>
      <c r="B823" s="7"/>
      <c r="C823" s="6"/>
      <c r="D823" s="6"/>
      <c r="E823" s="6"/>
      <c r="F823" s="25"/>
      <c r="G823" s="25" t="str">
        <f>IF(A823="","",SUMIFS(Paradas_Detalhadas!$I:$I,Paradas_Detalhadas!$A:$A,A823,Paradas_Detalhadas!$B:$B,B823,Paradas_Detalhadas!$C:$C,C823,Paradas_Detalhadas!$D:$D,E823))</f>
        <v/>
      </c>
      <c r="H823" s="26" t="str">
        <f t="shared" si="65"/>
        <v/>
      </c>
      <c r="I823" s="10"/>
      <c r="J823" s="10"/>
      <c r="K823" s="10" t="str">
        <f t="shared" si="66"/>
        <v/>
      </c>
      <c r="L823" s="10" t="str">
        <f t="shared" si="67"/>
        <v/>
      </c>
      <c r="M823" s="10" t="str">
        <f t="shared" si="68"/>
        <v/>
      </c>
      <c r="N823" s="10" t="str">
        <f t="shared" si="69"/>
        <v/>
      </c>
      <c r="O823" s="6"/>
      <c r="P823" s="6"/>
    </row>
    <row r="824" spans="1:16" x14ac:dyDescent="0.3">
      <c r="A824" s="6"/>
      <c r="B824" s="7"/>
      <c r="C824" s="6"/>
      <c r="D824" s="6"/>
      <c r="E824" s="6"/>
      <c r="F824" s="25"/>
      <c r="G824" s="25" t="str">
        <f>IF(A824="","",SUMIFS(Paradas_Detalhadas!$I:$I,Paradas_Detalhadas!$A:$A,A824,Paradas_Detalhadas!$B:$B,B824,Paradas_Detalhadas!$C:$C,C824,Paradas_Detalhadas!$D:$D,E824))</f>
        <v/>
      </c>
      <c r="H824" s="26" t="str">
        <f t="shared" si="65"/>
        <v/>
      </c>
      <c r="I824" s="10"/>
      <c r="J824" s="10"/>
      <c r="K824" s="10" t="str">
        <f t="shared" si="66"/>
        <v/>
      </c>
      <c r="L824" s="10" t="str">
        <f t="shared" si="67"/>
        <v/>
      </c>
      <c r="M824" s="10" t="str">
        <f t="shared" si="68"/>
        <v/>
      </c>
      <c r="N824" s="10" t="str">
        <f t="shared" si="69"/>
        <v/>
      </c>
      <c r="O824" s="6"/>
      <c r="P824" s="6"/>
    </row>
    <row r="825" spans="1:16" x14ac:dyDescent="0.3">
      <c r="A825" s="6"/>
      <c r="B825" s="7"/>
      <c r="C825" s="6"/>
      <c r="D825" s="6"/>
      <c r="E825" s="6"/>
      <c r="F825" s="25"/>
      <c r="G825" s="25" t="str">
        <f>IF(A825="","",SUMIFS(Paradas_Detalhadas!$I:$I,Paradas_Detalhadas!$A:$A,A825,Paradas_Detalhadas!$B:$B,B825,Paradas_Detalhadas!$C:$C,C825,Paradas_Detalhadas!$D:$D,E825))</f>
        <v/>
      </c>
      <c r="H825" s="26" t="str">
        <f t="shared" si="65"/>
        <v/>
      </c>
      <c r="I825" s="10"/>
      <c r="J825" s="10"/>
      <c r="K825" s="10" t="str">
        <f t="shared" si="66"/>
        <v/>
      </c>
      <c r="L825" s="10" t="str">
        <f t="shared" si="67"/>
        <v/>
      </c>
      <c r="M825" s="10" t="str">
        <f t="shared" si="68"/>
        <v/>
      </c>
      <c r="N825" s="10" t="str">
        <f t="shared" si="69"/>
        <v/>
      </c>
      <c r="O825" s="6"/>
      <c r="P825" s="6"/>
    </row>
    <row r="826" spans="1:16" x14ac:dyDescent="0.3">
      <c r="A826" s="6"/>
      <c r="B826" s="7"/>
      <c r="C826" s="6"/>
      <c r="D826" s="6"/>
      <c r="E826" s="6"/>
      <c r="F826" s="25"/>
      <c r="G826" s="25" t="str">
        <f>IF(A826="","",SUMIFS(Paradas_Detalhadas!$I:$I,Paradas_Detalhadas!$A:$A,A826,Paradas_Detalhadas!$B:$B,B826,Paradas_Detalhadas!$C:$C,C826,Paradas_Detalhadas!$D:$D,E826))</f>
        <v/>
      </c>
      <c r="H826" s="26" t="str">
        <f t="shared" si="65"/>
        <v/>
      </c>
      <c r="I826" s="10"/>
      <c r="J826" s="10"/>
      <c r="K826" s="10" t="str">
        <f t="shared" si="66"/>
        <v/>
      </c>
      <c r="L826" s="10" t="str">
        <f t="shared" si="67"/>
        <v/>
      </c>
      <c r="M826" s="10" t="str">
        <f t="shared" si="68"/>
        <v/>
      </c>
      <c r="N826" s="10" t="str">
        <f t="shared" si="69"/>
        <v/>
      </c>
      <c r="O826" s="6"/>
      <c r="P826" s="6"/>
    </row>
    <row r="827" spans="1:16" x14ac:dyDescent="0.3">
      <c r="A827" s="6"/>
      <c r="B827" s="7"/>
      <c r="C827" s="6"/>
      <c r="D827" s="6"/>
      <c r="E827" s="6"/>
      <c r="F827" s="25"/>
      <c r="G827" s="25" t="str">
        <f>IF(A827="","",SUMIFS(Paradas_Detalhadas!$I:$I,Paradas_Detalhadas!$A:$A,A827,Paradas_Detalhadas!$B:$B,B827,Paradas_Detalhadas!$C:$C,C827,Paradas_Detalhadas!$D:$D,E827))</f>
        <v/>
      </c>
      <c r="H827" s="26" t="str">
        <f t="shared" si="65"/>
        <v/>
      </c>
      <c r="I827" s="10"/>
      <c r="J827" s="10"/>
      <c r="K827" s="10" t="str">
        <f t="shared" si="66"/>
        <v/>
      </c>
      <c r="L827" s="10" t="str">
        <f t="shared" si="67"/>
        <v/>
      </c>
      <c r="M827" s="10" t="str">
        <f t="shared" si="68"/>
        <v/>
      </c>
      <c r="N827" s="10" t="str">
        <f t="shared" si="69"/>
        <v/>
      </c>
      <c r="O827" s="6"/>
      <c r="P827" s="6"/>
    </row>
    <row r="828" spans="1:16" x14ac:dyDescent="0.3">
      <c r="A828" s="6"/>
      <c r="B828" s="7"/>
      <c r="C828" s="6"/>
      <c r="D828" s="6"/>
      <c r="E828" s="6"/>
      <c r="F828" s="25"/>
      <c r="G828" s="25" t="str">
        <f>IF(A828="","",SUMIFS(Paradas_Detalhadas!$I:$I,Paradas_Detalhadas!$A:$A,A828,Paradas_Detalhadas!$B:$B,B828,Paradas_Detalhadas!$C:$C,C828,Paradas_Detalhadas!$D:$D,E828))</f>
        <v/>
      </c>
      <c r="H828" s="26" t="str">
        <f t="shared" si="65"/>
        <v/>
      </c>
      <c r="I828" s="10"/>
      <c r="J828" s="10"/>
      <c r="K828" s="10" t="str">
        <f t="shared" si="66"/>
        <v/>
      </c>
      <c r="L828" s="10" t="str">
        <f t="shared" si="67"/>
        <v/>
      </c>
      <c r="M828" s="10" t="str">
        <f t="shared" si="68"/>
        <v/>
      </c>
      <c r="N828" s="10" t="str">
        <f t="shared" si="69"/>
        <v/>
      </c>
      <c r="O828" s="6"/>
      <c r="P828" s="6"/>
    </row>
    <row r="829" spans="1:16" x14ac:dyDescent="0.3">
      <c r="A829" s="6"/>
      <c r="B829" s="7"/>
      <c r="C829" s="6"/>
      <c r="D829" s="6"/>
      <c r="E829" s="6"/>
      <c r="F829" s="25"/>
      <c r="G829" s="25" t="str">
        <f>IF(A829="","",SUMIFS(Paradas_Detalhadas!$I:$I,Paradas_Detalhadas!$A:$A,A829,Paradas_Detalhadas!$B:$B,B829,Paradas_Detalhadas!$C:$C,C829,Paradas_Detalhadas!$D:$D,E829))</f>
        <v/>
      </c>
      <c r="H829" s="26" t="str">
        <f t="shared" si="65"/>
        <v/>
      </c>
      <c r="I829" s="10"/>
      <c r="J829" s="10"/>
      <c r="K829" s="10" t="str">
        <f t="shared" si="66"/>
        <v/>
      </c>
      <c r="L829" s="10" t="str">
        <f t="shared" si="67"/>
        <v/>
      </c>
      <c r="M829" s="10" t="str">
        <f t="shared" si="68"/>
        <v/>
      </c>
      <c r="N829" s="10" t="str">
        <f t="shared" si="69"/>
        <v/>
      </c>
      <c r="O829" s="6"/>
      <c r="P829" s="6"/>
    </row>
    <row r="830" spans="1:16" x14ac:dyDescent="0.3">
      <c r="A830" s="6"/>
      <c r="B830" s="7"/>
      <c r="C830" s="6"/>
      <c r="D830" s="6"/>
      <c r="E830" s="6"/>
      <c r="F830" s="25"/>
      <c r="G830" s="25" t="str">
        <f>IF(A830="","",SUMIFS(Paradas_Detalhadas!$I:$I,Paradas_Detalhadas!$A:$A,A830,Paradas_Detalhadas!$B:$B,B830,Paradas_Detalhadas!$C:$C,C830,Paradas_Detalhadas!$D:$D,E830))</f>
        <v/>
      </c>
      <c r="H830" s="26" t="str">
        <f t="shared" si="65"/>
        <v/>
      </c>
      <c r="I830" s="10"/>
      <c r="J830" s="10"/>
      <c r="K830" s="10" t="str">
        <f t="shared" si="66"/>
        <v/>
      </c>
      <c r="L830" s="10" t="str">
        <f t="shared" si="67"/>
        <v/>
      </c>
      <c r="M830" s="10" t="str">
        <f t="shared" si="68"/>
        <v/>
      </c>
      <c r="N830" s="10" t="str">
        <f t="shared" si="69"/>
        <v/>
      </c>
      <c r="O830" s="6"/>
      <c r="P830" s="6"/>
    </row>
    <row r="831" spans="1:16" x14ac:dyDescent="0.3">
      <c r="A831" s="6"/>
      <c r="B831" s="7"/>
      <c r="C831" s="6"/>
      <c r="D831" s="6"/>
      <c r="E831" s="6"/>
      <c r="F831" s="25"/>
      <c r="G831" s="25" t="str">
        <f>IF(A831="","",SUMIFS(Paradas_Detalhadas!$I:$I,Paradas_Detalhadas!$A:$A,A831,Paradas_Detalhadas!$B:$B,B831,Paradas_Detalhadas!$C:$C,C831,Paradas_Detalhadas!$D:$D,E831))</f>
        <v/>
      </c>
      <c r="H831" s="26" t="str">
        <f t="shared" si="65"/>
        <v/>
      </c>
      <c r="I831" s="10"/>
      <c r="J831" s="10"/>
      <c r="K831" s="10" t="str">
        <f t="shared" si="66"/>
        <v/>
      </c>
      <c r="L831" s="10" t="str">
        <f t="shared" si="67"/>
        <v/>
      </c>
      <c r="M831" s="10" t="str">
        <f t="shared" si="68"/>
        <v/>
      </c>
      <c r="N831" s="10" t="str">
        <f t="shared" si="69"/>
        <v/>
      </c>
      <c r="O831" s="6"/>
      <c r="P831" s="6"/>
    </row>
    <row r="832" spans="1:16" x14ac:dyDescent="0.3">
      <c r="A832" s="6"/>
      <c r="B832" s="7"/>
      <c r="C832" s="6"/>
      <c r="D832" s="6"/>
      <c r="E832" s="6"/>
      <c r="F832" s="25"/>
      <c r="G832" s="25" t="str">
        <f>IF(A832="","",SUMIFS(Paradas_Detalhadas!$I:$I,Paradas_Detalhadas!$A:$A,A832,Paradas_Detalhadas!$B:$B,B832,Paradas_Detalhadas!$C:$C,C832,Paradas_Detalhadas!$D:$D,E832))</f>
        <v/>
      </c>
      <c r="H832" s="26" t="str">
        <f t="shared" si="65"/>
        <v/>
      </c>
      <c r="I832" s="10"/>
      <c r="J832" s="10"/>
      <c r="K832" s="10" t="str">
        <f t="shared" si="66"/>
        <v/>
      </c>
      <c r="L832" s="10" t="str">
        <f t="shared" si="67"/>
        <v/>
      </c>
      <c r="M832" s="10" t="str">
        <f t="shared" si="68"/>
        <v/>
      </c>
      <c r="N832" s="10" t="str">
        <f t="shared" si="69"/>
        <v/>
      </c>
      <c r="O832" s="6"/>
      <c r="P832" s="6"/>
    </row>
    <row r="833" spans="1:16" x14ac:dyDescent="0.3">
      <c r="A833" s="6"/>
      <c r="B833" s="7"/>
      <c r="C833" s="6"/>
      <c r="D833" s="6"/>
      <c r="E833" s="6"/>
      <c r="F833" s="25"/>
      <c r="G833" s="25" t="str">
        <f>IF(A833="","",SUMIFS(Paradas_Detalhadas!$I:$I,Paradas_Detalhadas!$A:$A,A833,Paradas_Detalhadas!$B:$B,B833,Paradas_Detalhadas!$C:$C,C833,Paradas_Detalhadas!$D:$D,E833))</f>
        <v/>
      </c>
      <c r="H833" s="26" t="str">
        <f t="shared" si="65"/>
        <v/>
      </c>
      <c r="I833" s="10"/>
      <c r="J833" s="10"/>
      <c r="K833" s="10" t="str">
        <f t="shared" si="66"/>
        <v/>
      </c>
      <c r="L833" s="10" t="str">
        <f t="shared" si="67"/>
        <v/>
      </c>
      <c r="M833" s="10" t="str">
        <f t="shared" si="68"/>
        <v/>
      </c>
      <c r="N833" s="10" t="str">
        <f t="shared" si="69"/>
        <v/>
      </c>
      <c r="O833" s="6"/>
      <c r="P833" s="6"/>
    </row>
    <row r="834" spans="1:16" x14ac:dyDescent="0.3">
      <c r="A834" s="6"/>
      <c r="B834" s="7"/>
      <c r="C834" s="6"/>
      <c r="D834" s="6"/>
      <c r="E834" s="6"/>
      <c r="F834" s="25"/>
      <c r="G834" s="25" t="str">
        <f>IF(A834="","",SUMIFS(Paradas_Detalhadas!$I:$I,Paradas_Detalhadas!$A:$A,A834,Paradas_Detalhadas!$B:$B,B834,Paradas_Detalhadas!$C:$C,C834,Paradas_Detalhadas!$D:$D,E834))</f>
        <v/>
      </c>
      <c r="H834" s="26" t="str">
        <f t="shared" si="65"/>
        <v/>
      </c>
      <c r="I834" s="10"/>
      <c r="J834" s="10"/>
      <c r="K834" s="10" t="str">
        <f t="shared" si="66"/>
        <v/>
      </c>
      <c r="L834" s="10" t="str">
        <f t="shared" si="67"/>
        <v/>
      </c>
      <c r="M834" s="10" t="str">
        <f t="shared" si="68"/>
        <v/>
      </c>
      <c r="N834" s="10" t="str">
        <f t="shared" si="69"/>
        <v/>
      </c>
      <c r="O834" s="6"/>
      <c r="P834" s="6"/>
    </row>
    <row r="835" spans="1:16" x14ac:dyDescent="0.3">
      <c r="A835" s="6"/>
      <c r="B835" s="7"/>
      <c r="C835" s="6"/>
      <c r="D835" s="6"/>
      <c r="E835" s="6"/>
      <c r="F835" s="25"/>
      <c r="G835" s="25" t="str">
        <f>IF(A835="","",SUMIFS(Paradas_Detalhadas!$I:$I,Paradas_Detalhadas!$A:$A,A835,Paradas_Detalhadas!$B:$B,B835,Paradas_Detalhadas!$C:$C,C835,Paradas_Detalhadas!$D:$D,E835))</f>
        <v/>
      </c>
      <c r="H835" s="26" t="str">
        <f t="shared" si="65"/>
        <v/>
      </c>
      <c r="I835" s="10"/>
      <c r="J835" s="10"/>
      <c r="K835" s="10" t="str">
        <f t="shared" si="66"/>
        <v/>
      </c>
      <c r="L835" s="10" t="str">
        <f t="shared" si="67"/>
        <v/>
      </c>
      <c r="M835" s="10" t="str">
        <f t="shared" si="68"/>
        <v/>
      </c>
      <c r="N835" s="10" t="str">
        <f t="shared" si="69"/>
        <v/>
      </c>
      <c r="O835" s="6"/>
      <c r="P835" s="6"/>
    </row>
    <row r="836" spans="1:16" x14ac:dyDescent="0.3">
      <c r="A836" s="6"/>
      <c r="B836" s="7"/>
      <c r="C836" s="6"/>
      <c r="D836" s="6"/>
      <c r="E836" s="6"/>
      <c r="F836" s="25"/>
      <c r="G836" s="25" t="str">
        <f>IF(A836="","",SUMIFS(Paradas_Detalhadas!$I:$I,Paradas_Detalhadas!$A:$A,A836,Paradas_Detalhadas!$B:$B,B836,Paradas_Detalhadas!$C:$C,C836,Paradas_Detalhadas!$D:$D,E836))</f>
        <v/>
      </c>
      <c r="H836" s="26" t="str">
        <f t="shared" si="65"/>
        <v/>
      </c>
      <c r="I836" s="10"/>
      <c r="J836" s="10"/>
      <c r="K836" s="10" t="str">
        <f t="shared" si="66"/>
        <v/>
      </c>
      <c r="L836" s="10" t="str">
        <f t="shared" si="67"/>
        <v/>
      </c>
      <c r="M836" s="10" t="str">
        <f t="shared" si="68"/>
        <v/>
      </c>
      <c r="N836" s="10" t="str">
        <f t="shared" si="69"/>
        <v/>
      </c>
      <c r="O836" s="6"/>
      <c r="P836" s="6"/>
    </row>
    <row r="837" spans="1:16" x14ac:dyDescent="0.3">
      <c r="A837" s="6"/>
      <c r="B837" s="7"/>
      <c r="C837" s="6"/>
      <c r="D837" s="6"/>
      <c r="E837" s="6"/>
      <c r="F837" s="25"/>
      <c r="G837" s="25" t="str">
        <f>IF(A837="","",SUMIFS(Paradas_Detalhadas!$I:$I,Paradas_Detalhadas!$A:$A,A837,Paradas_Detalhadas!$B:$B,B837,Paradas_Detalhadas!$C:$C,C837,Paradas_Detalhadas!$D:$D,E837))</f>
        <v/>
      </c>
      <c r="H837" s="26" t="str">
        <f t="shared" si="65"/>
        <v/>
      </c>
      <c r="I837" s="10"/>
      <c r="J837" s="10"/>
      <c r="K837" s="10" t="str">
        <f t="shared" si="66"/>
        <v/>
      </c>
      <c r="L837" s="10" t="str">
        <f t="shared" si="67"/>
        <v/>
      </c>
      <c r="M837" s="10" t="str">
        <f t="shared" si="68"/>
        <v/>
      </c>
      <c r="N837" s="10" t="str">
        <f t="shared" si="69"/>
        <v/>
      </c>
      <c r="O837" s="6"/>
      <c r="P837" s="6"/>
    </row>
    <row r="838" spans="1:16" x14ac:dyDescent="0.3">
      <c r="A838" s="6"/>
      <c r="B838" s="7"/>
      <c r="C838" s="6"/>
      <c r="D838" s="6"/>
      <c r="E838" s="6"/>
      <c r="F838" s="25"/>
      <c r="G838" s="25" t="str">
        <f>IF(A838="","",SUMIFS(Paradas_Detalhadas!$I:$I,Paradas_Detalhadas!$A:$A,A838,Paradas_Detalhadas!$B:$B,B838,Paradas_Detalhadas!$C:$C,C838,Paradas_Detalhadas!$D:$D,E838))</f>
        <v/>
      </c>
      <c r="H838" s="26" t="str">
        <f t="shared" si="65"/>
        <v/>
      </c>
      <c r="I838" s="10"/>
      <c r="J838" s="10"/>
      <c r="K838" s="10" t="str">
        <f t="shared" si="66"/>
        <v/>
      </c>
      <c r="L838" s="10" t="str">
        <f t="shared" si="67"/>
        <v/>
      </c>
      <c r="M838" s="10" t="str">
        <f t="shared" si="68"/>
        <v/>
      </c>
      <c r="N838" s="10" t="str">
        <f t="shared" si="69"/>
        <v/>
      </c>
      <c r="O838" s="6"/>
      <c r="P838" s="6"/>
    </row>
    <row r="839" spans="1:16" x14ac:dyDescent="0.3">
      <c r="A839" s="6"/>
      <c r="B839" s="7"/>
      <c r="C839" s="6"/>
      <c r="D839" s="6"/>
      <c r="E839" s="6"/>
      <c r="F839" s="25"/>
      <c r="G839" s="25" t="str">
        <f>IF(A839="","",SUMIFS(Paradas_Detalhadas!$I:$I,Paradas_Detalhadas!$A:$A,A839,Paradas_Detalhadas!$B:$B,B839,Paradas_Detalhadas!$C:$C,C839,Paradas_Detalhadas!$D:$D,E839))</f>
        <v/>
      </c>
      <c r="H839" s="26" t="str">
        <f t="shared" si="65"/>
        <v/>
      </c>
      <c r="I839" s="10"/>
      <c r="J839" s="10"/>
      <c r="K839" s="10" t="str">
        <f t="shared" si="66"/>
        <v/>
      </c>
      <c r="L839" s="10" t="str">
        <f t="shared" si="67"/>
        <v/>
      </c>
      <c r="M839" s="10" t="str">
        <f t="shared" si="68"/>
        <v/>
      </c>
      <c r="N839" s="10" t="str">
        <f t="shared" si="69"/>
        <v/>
      </c>
      <c r="O839" s="6"/>
      <c r="P839" s="6"/>
    </row>
    <row r="840" spans="1:16" x14ac:dyDescent="0.3">
      <c r="A840" s="6"/>
      <c r="B840" s="7"/>
      <c r="C840" s="6"/>
      <c r="D840" s="6"/>
      <c r="E840" s="6"/>
      <c r="F840" s="25"/>
      <c r="G840" s="25" t="str">
        <f>IF(A840="","",SUMIFS(Paradas_Detalhadas!$I:$I,Paradas_Detalhadas!$A:$A,A840,Paradas_Detalhadas!$B:$B,B840,Paradas_Detalhadas!$C:$C,C840,Paradas_Detalhadas!$D:$D,E840))</f>
        <v/>
      </c>
      <c r="H840" s="26" t="str">
        <f t="shared" si="65"/>
        <v/>
      </c>
      <c r="I840" s="10"/>
      <c r="J840" s="10"/>
      <c r="K840" s="10" t="str">
        <f t="shared" si="66"/>
        <v/>
      </c>
      <c r="L840" s="10" t="str">
        <f t="shared" si="67"/>
        <v/>
      </c>
      <c r="M840" s="10" t="str">
        <f t="shared" si="68"/>
        <v/>
      </c>
      <c r="N840" s="10" t="str">
        <f t="shared" si="69"/>
        <v/>
      </c>
      <c r="O840" s="6"/>
      <c r="P840" s="6"/>
    </row>
    <row r="841" spans="1:16" x14ac:dyDescent="0.3">
      <c r="A841" s="6"/>
      <c r="B841" s="7"/>
      <c r="C841" s="6"/>
      <c r="D841" s="6"/>
      <c r="E841" s="6"/>
      <c r="F841" s="25"/>
      <c r="G841" s="25" t="str">
        <f>IF(A841="","",SUMIFS(Paradas_Detalhadas!$I:$I,Paradas_Detalhadas!$A:$A,A841,Paradas_Detalhadas!$B:$B,B841,Paradas_Detalhadas!$C:$C,C841,Paradas_Detalhadas!$D:$D,E841))</f>
        <v/>
      </c>
      <c r="H841" s="26" t="str">
        <f t="shared" si="65"/>
        <v/>
      </c>
      <c r="I841" s="10"/>
      <c r="J841" s="10"/>
      <c r="K841" s="10" t="str">
        <f t="shared" si="66"/>
        <v/>
      </c>
      <c r="L841" s="10" t="str">
        <f t="shared" si="67"/>
        <v/>
      </c>
      <c r="M841" s="10" t="str">
        <f t="shared" si="68"/>
        <v/>
      </c>
      <c r="N841" s="10" t="str">
        <f t="shared" si="69"/>
        <v/>
      </c>
      <c r="O841" s="6"/>
      <c r="P841" s="6"/>
    </row>
    <row r="842" spans="1:16" x14ac:dyDescent="0.3">
      <c r="A842" s="6"/>
      <c r="B842" s="7"/>
      <c r="C842" s="6"/>
      <c r="D842" s="6"/>
      <c r="E842" s="6"/>
      <c r="F842" s="25"/>
      <c r="G842" s="25" t="str">
        <f>IF(A842="","",SUMIFS(Paradas_Detalhadas!$I:$I,Paradas_Detalhadas!$A:$A,A842,Paradas_Detalhadas!$B:$B,B842,Paradas_Detalhadas!$C:$C,C842,Paradas_Detalhadas!$D:$D,E842))</f>
        <v/>
      </c>
      <c r="H842" s="26" t="str">
        <f t="shared" si="65"/>
        <v/>
      </c>
      <c r="I842" s="10"/>
      <c r="J842" s="10"/>
      <c r="K842" s="10" t="str">
        <f t="shared" si="66"/>
        <v/>
      </c>
      <c r="L842" s="10" t="str">
        <f t="shared" si="67"/>
        <v/>
      </c>
      <c r="M842" s="10" t="str">
        <f t="shared" si="68"/>
        <v/>
      </c>
      <c r="N842" s="10" t="str">
        <f t="shared" si="69"/>
        <v/>
      </c>
      <c r="O842" s="6"/>
      <c r="P842" s="6"/>
    </row>
    <row r="843" spans="1:16" x14ac:dyDescent="0.3">
      <c r="A843" s="6"/>
      <c r="B843" s="7"/>
      <c r="C843" s="6"/>
      <c r="D843" s="6"/>
      <c r="E843" s="6"/>
      <c r="F843" s="25"/>
      <c r="G843" s="25" t="str">
        <f>IF(A843="","",SUMIFS(Paradas_Detalhadas!$I:$I,Paradas_Detalhadas!$A:$A,A843,Paradas_Detalhadas!$B:$B,B843,Paradas_Detalhadas!$C:$C,C843,Paradas_Detalhadas!$D:$D,E843))</f>
        <v/>
      </c>
      <c r="H843" s="26" t="str">
        <f t="shared" si="65"/>
        <v/>
      </c>
      <c r="I843" s="10"/>
      <c r="J843" s="10"/>
      <c r="K843" s="10" t="str">
        <f t="shared" si="66"/>
        <v/>
      </c>
      <c r="L843" s="10" t="str">
        <f t="shared" si="67"/>
        <v/>
      </c>
      <c r="M843" s="10" t="str">
        <f t="shared" si="68"/>
        <v/>
      </c>
      <c r="N843" s="10" t="str">
        <f t="shared" si="69"/>
        <v/>
      </c>
      <c r="O843" s="6"/>
      <c r="P843" s="6"/>
    </row>
    <row r="844" spans="1:16" x14ac:dyDescent="0.3">
      <c r="A844" s="6"/>
      <c r="B844" s="7"/>
      <c r="C844" s="6"/>
      <c r="D844" s="6"/>
      <c r="E844" s="6"/>
      <c r="F844" s="25"/>
      <c r="G844" s="25" t="str">
        <f>IF(A844="","",SUMIFS(Paradas_Detalhadas!$I:$I,Paradas_Detalhadas!$A:$A,A844,Paradas_Detalhadas!$B:$B,B844,Paradas_Detalhadas!$C:$C,C844,Paradas_Detalhadas!$D:$D,E844))</f>
        <v/>
      </c>
      <c r="H844" s="26" t="str">
        <f t="shared" si="65"/>
        <v/>
      </c>
      <c r="I844" s="10"/>
      <c r="J844" s="10"/>
      <c r="K844" s="10" t="str">
        <f t="shared" si="66"/>
        <v/>
      </c>
      <c r="L844" s="10" t="str">
        <f t="shared" si="67"/>
        <v/>
      </c>
      <c r="M844" s="10" t="str">
        <f t="shared" si="68"/>
        <v/>
      </c>
      <c r="N844" s="10" t="str">
        <f t="shared" si="69"/>
        <v/>
      </c>
      <c r="O844" s="6"/>
      <c r="P844" s="6"/>
    </row>
    <row r="845" spans="1:16" x14ac:dyDescent="0.3">
      <c r="A845" s="6"/>
      <c r="B845" s="7"/>
      <c r="C845" s="6"/>
      <c r="D845" s="6"/>
      <c r="E845" s="6"/>
      <c r="F845" s="25"/>
      <c r="G845" s="25" t="str">
        <f>IF(A845="","",SUMIFS(Paradas_Detalhadas!$I:$I,Paradas_Detalhadas!$A:$A,A845,Paradas_Detalhadas!$B:$B,B845,Paradas_Detalhadas!$C:$C,C845,Paradas_Detalhadas!$D:$D,E845))</f>
        <v/>
      </c>
      <c r="H845" s="26" t="str">
        <f t="shared" si="65"/>
        <v/>
      </c>
      <c r="I845" s="10"/>
      <c r="J845" s="10"/>
      <c r="K845" s="10" t="str">
        <f t="shared" si="66"/>
        <v/>
      </c>
      <c r="L845" s="10" t="str">
        <f t="shared" si="67"/>
        <v/>
      </c>
      <c r="M845" s="10" t="str">
        <f t="shared" si="68"/>
        <v/>
      </c>
      <c r="N845" s="10" t="str">
        <f t="shared" si="69"/>
        <v/>
      </c>
      <c r="O845" s="6"/>
      <c r="P845" s="6"/>
    </row>
    <row r="846" spans="1:16" x14ac:dyDescent="0.3">
      <c r="A846" s="6"/>
      <c r="B846" s="7"/>
      <c r="C846" s="6"/>
      <c r="D846" s="6"/>
      <c r="E846" s="6"/>
      <c r="F846" s="25"/>
      <c r="G846" s="25" t="str">
        <f>IF(A846="","",SUMIFS(Paradas_Detalhadas!$I:$I,Paradas_Detalhadas!$A:$A,A846,Paradas_Detalhadas!$B:$B,B846,Paradas_Detalhadas!$C:$C,C846,Paradas_Detalhadas!$D:$D,E846))</f>
        <v/>
      </c>
      <c r="H846" s="26" t="str">
        <f t="shared" si="65"/>
        <v/>
      </c>
      <c r="I846" s="10"/>
      <c r="J846" s="10"/>
      <c r="K846" s="10" t="str">
        <f t="shared" si="66"/>
        <v/>
      </c>
      <c r="L846" s="10" t="str">
        <f t="shared" si="67"/>
        <v/>
      </c>
      <c r="M846" s="10" t="str">
        <f t="shared" si="68"/>
        <v/>
      </c>
      <c r="N846" s="10" t="str">
        <f t="shared" si="69"/>
        <v/>
      </c>
      <c r="O846" s="6"/>
      <c r="P846" s="6"/>
    </row>
    <row r="847" spans="1:16" x14ac:dyDescent="0.3">
      <c r="A847" s="6"/>
      <c r="B847" s="7"/>
      <c r="C847" s="6"/>
      <c r="D847" s="6"/>
      <c r="E847" s="6"/>
      <c r="F847" s="25"/>
      <c r="G847" s="25" t="str">
        <f>IF(A847="","",SUMIFS(Paradas_Detalhadas!$I:$I,Paradas_Detalhadas!$A:$A,A847,Paradas_Detalhadas!$B:$B,B847,Paradas_Detalhadas!$C:$C,C847,Paradas_Detalhadas!$D:$D,E847))</f>
        <v/>
      </c>
      <c r="H847" s="26" t="str">
        <f t="shared" si="65"/>
        <v/>
      </c>
      <c r="I847" s="10"/>
      <c r="J847" s="10"/>
      <c r="K847" s="10" t="str">
        <f t="shared" si="66"/>
        <v/>
      </c>
      <c r="L847" s="10" t="str">
        <f t="shared" si="67"/>
        <v/>
      </c>
      <c r="M847" s="10" t="str">
        <f t="shared" si="68"/>
        <v/>
      </c>
      <c r="N847" s="10" t="str">
        <f t="shared" si="69"/>
        <v/>
      </c>
      <c r="O847" s="6"/>
      <c r="P847" s="6"/>
    </row>
    <row r="848" spans="1:16" x14ac:dyDescent="0.3">
      <c r="A848" s="6"/>
      <c r="B848" s="7"/>
      <c r="C848" s="6"/>
      <c r="D848" s="6"/>
      <c r="E848" s="6"/>
      <c r="F848" s="25"/>
      <c r="G848" s="25" t="str">
        <f>IF(A848="","",SUMIFS(Paradas_Detalhadas!$I:$I,Paradas_Detalhadas!$A:$A,A848,Paradas_Detalhadas!$B:$B,B848,Paradas_Detalhadas!$C:$C,C848,Paradas_Detalhadas!$D:$D,E848))</f>
        <v/>
      </c>
      <c r="H848" s="26" t="str">
        <f t="shared" si="65"/>
        <v/>
      </c>
      <c r="I848" s="10"/>
      <c r="J848" s="10"/>
      <c r="K848" s="10" t="str">
        <f t="shared" si="66"/>
        <v/>
      </c>
      <c r="L848" s="10" t="str">
        <f t="shared" si="67"/>
        <v/>
      </c>
      <c r="M848" s="10" t="str">
        <f t="shared" si="68"/>
        <v/>
      </c>
      <c r="N848" s="10" t="str">
        <f t="shared" si="69"/>
        <v/>
      </c>
      <c r="O848" s="6"/>
      <c r="P848" s="6"/>
    </row>
    <row r="849" spans="1:16" x14ac:dyDescent="0.3">
      <c r="A849" s="6"/>
      <c r="B849" s="7"/>
      <c r="C849" s="6"/>
      <c r="D849" s="6"/>
      <c r="E849" s="6"/>
      <c r="F849" s="25"/>
      <c r="G849" s="25" t="str">
        <f>IF(A849="","",SUMIFS(Paradas_Detalhadas!$I:$I,Paradas_Detalhadas!$A:$A,A849,Paradas_Detalhadas!$B:$B,B849,Paradas_Detalhadas!$C:$C,C849,Paradas_Detalhadas!$D:$D,E849))</f>
        <v/>
      </c>
      <c r="H849" s="26" t="str">
        <f t="shared" si="65"/>
        <v/>
      </c>
      <c r="I849" s="10"/>
      <c r="J849" s="10"/>
      <c r="K849" s="10" t="str">
        <f t="shared" si="66"/>
        <v/>
      </c>
      <c r="L849" s="10" t="str">
        <f t="shared" si="67"/>
        <v/>
      </c>
      <c r="M849" s="10" t="str">
        <f t="shared" si="68"/>
        <v/>
      </c>
      <c r="N849" s="10" t="str">
        <f t="shared" si="69"/>
        <v/>
      </c>
      <c r="O849" s="6"/>
      <c r="P849" s="6"/>
    </row>
    <row r="850" spans="1:16" x14ac:dyDescent="0.3">
      <c r="A850" s="6"/>
      <c r="B850" s="7"/>
      <c r="C850" s="6"/>
      <c r="D850" s="6"/>
      <c r="E850" s="6"/>
      <c r="F850" s="25"/>
      <c r="G850" s="25" t="str">
        <f>IF(A850="","",SUMIFS(Paradas_Detalhadas!$I:$I,Paradas_Detalhadas!$A:$A,A850,Paradas_Detalhadas!$B:$B,B850,Paradas_Detalhadas!$C:$C,C850,Paradas_Detalhadas!$D:$D,E850))</f>
        <v/>
      </c>
      <c r="H850" s="26" t="str">
        <f t="shared" si="65"/>
        <v/>
      </c>
      <c r="I850" s="10"/>
      <c r="J850" s="10"/>
      <c r="K850" s="10" t="str">
        <f t="shared" si="66"/>
        <v/>
      </c>
      <c r="L850" s="10" t="str">
        <f t="shared" si="67"/>
        <v/>
      </c>
      <c r="M850" s="10" t="str">
        <f t="shared" si="68"/>
        <v/>
      </c>
      <c r="N850" s="10" t="str">
        <f t="shared" si="69"/>
        <v/>
      </c>
      <c r="O850" s="6"/>
      <c r="P850" s="6"/>
    </row>
    <row r="851" spans="1:16" x14ac:dyDescent="0.3">
      <c r="A851" s="6"/>
      <c r="B851" s="7"/>
      <c r="C851" s="6"/>
      <c r="D851" s="6"/>
      <c r="E851" s="6"/>
      <c r="F851" s="25"/>
      <c r="G851" s="25" t="str">
        <f>IF(A851="","",SUMIFS(Paradas_Detalhadas!$I:$I,Paradas_Detalhadas!$A:$A,A851,Paradas_Detalhadas!$B:$B,B851,Paradas_Detalhadas!$C:$C,C851,Paradas_Detalhadas!$D:$D,E851))</f>
        <v/>
      </c>
      <c r="H851" s="26" t="str">
        <f t="shared" si="65"/>
        <v/>
      </c>
      <c r="I851" s="10"/>
      <c r="J851" s="10"/>
      <c r="K851" s="10" t="str">
        <f t="shared" si="66"/>
        <v/>
      </c>
      <c r="L851" s="10" t="str">
        <f t="shared" si="67"/>
        <v/>
      </c>
      <c r="M851" s="10" t="str">
        <f t="shared" si="68"/>
        <v/>
      </c>
      <c r="N851" s="10" t="str">
        <f t="shared" si="69"/>
        <v/>
      </c>
      <c r="O851" s="6"/>
      <c r="P851" s="6"/>
    </row>
    <row r="852" spans="1:16" x14ac:dyDescent="0.3">
      <c r="A852" s="6"/>
      <c r="B852" s="7"/>
      <c r="C852" s="6"/>
      <c r="D852" s="6"/>
      <c r="E852" s="6"/>
      <c r="F852" s="25"/>
      <c r="G852" s="25" t="str">
        <f>IF(A852="","",SUMIFS(Paradas_Detalhadas!$I:$I,Paradas_Detalhadas!$A:$A,A852,Paradas_Detalhadas!$B:$B,B852,Paradas_Detalhadas!$C:$C,C852,Paradas_Detalhadas!$D:$D,E852))</f>
        <v/>
      </c>
      <c r="H852" s="26" t="str">
        <f t="shared" si="65"/>
        <v/>
      </c>
      <c r="I852" s="10"/>
      <c r="J852" s="10"/>
      <c r="K852" s="10" t="str">
        <f t="shared" si="66"/>
        <v/>
      </c>
      <c r="L852" s="10" t="str">
        <f t="shared" si="67"/>
        <v/>
      </c>
      <c r="M852" s="10" t="str">
        <f t="shared" si="68"/>
        <v/>
      </c>
      <c r="N852" s="10" t="str">
        <f t="shared" si="69"/>
        <v/>
      </c>
      <c r="O852" s="6"/>
      <c r="P852" s="6"/>
    </row>
    <row r="853" spans="1:16" x14ac:dyDescent="0.3">
      <c r="A853" s="6"/>
      <c r="B853" s="7"/>
      <c r="C853" s="6"/>
      <c r="D853" s="6"/>
      <c r="E853" s="6"/>
      <c r="F853" s="25"/>
      <c r="G853" s="25" t="str">
        <f>IF(A853="","",SUMIFS(Paradas_Detalhadas!$I:$I,Paradas_Detalhadas!$A:$A,A853,Paradas_Detalhadas!$B:$B,B853,Paradas_Detalhadas!$C:$C,C853,Paradas_Detalhadas!$D:$D,E853))</f>
        <v/>
      </c>
      <c r="H853" s="26" t="str">
        <f t="shared" si="65"/>
        <v/>
      </c>
      <c r="I853" s="10"/>
      <c r="J853" s="10"/>
      <c r="K853" s="10" t="str">
        <f t="shared" si="66"/>
        <v/>
      </c>
      <c r="L853" s="10" t="str">
        <f t="shared" si="67"/>
        <v/>
      </c>
      <c r="M853" s="10" t="str">
        <f t="shared" si="68"/>
        <v/>
      </c>
      <c r="N853" s="10" t="str">
        <f t="shared" si="69"/>
        <v/>
      </c>
      <c r="O853" s="6"/>
      <c r="P853" s="6"/>
    </row>
    <row r="854" spans="1:16" x14ac:dyDescent="0.3">
      <c r="A854" s="6"/>
      <c r="B854" s="7"/>
      <c r="C854" s="6"/>
      <c r="D854" s="6"/>
      <c r="E854" s="6"/>
      <c r="F854" s="25"/>
      <c r="G854" s="25" t="str">
        <f>IF(A854="","",SUMIFS(Paradas_Detalhadas!$I:$I,Paradas_Detalhadas!$A:$A,A854,Paradas_Detalhadas!$B:$B,B854,Paradas_Detalhadas!$C:$C,C854,Paradas_Detalhadas!$D:$D,E854))</f>
        <v/>
      </c>
      <c r="H854" s="26" t="str">
        <f t="shared" si="65"/>
        <v/>
      </c>
      <c r="I854" s="10"/>
      <c r="J854" s="10"/>
      <c r="K854" s="10" t="str">
        <f t="shared" si="66"/>
        <v/>
      </c>
      <c r="L854" s="10" t="str">
        <f t="shared" si="67"/>
        <v/>
      </c>
      <c r="M854" s="10" t="str">
        <f t="shared" si="68"/>
        <v/>
      </c>
      <c r="N854" s="10" t="str">
        <f t="shared" si="69"/>
        <v/>
      </c>
      <c r="O854" s="6"/>
      <c r="P854" s="6"/>
    </row>
    <row r="855" spans="1:16" x14ac:dyDescent="0.3">
      <c r="A855" s="6"/>
      <c r="B855" s="7"/>
      <c r="C855" s="6"/>
      <c r="D855" s="6"/>
      <c r="E855" s="6"/>
      <c r="F855" s="25"/>
      <c r="G855" s="25" t="str">
        <f>IF(A855="","",SUMIFS(Paradas_Detalhadas!$I:$I,Paradas_Detalhadas!$A:$A,A855,Paradas_Detalhadas!$B:$B,B855,Paradas_Detalhadas!$C:$C,C855,Paradas_Detalhadas!$D:$D,E855))</f>
        <v/>
      </c>
      <c r="H855" s="26" t="str">
        <f t="shared" si="65"/>
        <v/>
      </c>
      <c r="I855" s="10"/>
      <c r="J855" s="10"/>
      <c r="K855" s="10" t="str">
        <f t="shared" si="66"/>
        <v/>
      </c>
      <c r="L855" s="10" t="str">
        <f t="shared" si="67"/>
        <v/>
      </c>
      <c r="M855" s="10" t="str">
        <f t="shared" si="68"/>
        <v/>
      </c>
      <c r="N855" s="10" t="str">
        <f t="shared" si="69"/>
        <v/>
      </c>
      <c r="O855" s="6"/>
      <c r="P855" s="6"/>
    </row>
    <row r="856" spans="1:16" x14ac:dyDescent="0.3">
      <c r="A856" s="6"/>
      <c r="B856" s="7"/>
      <c r="C856" s="6"/>
      <c r="D856" s="6"/>
      <c r="E856" s="6"/>
      <c r="F856" s="25"/>
      <c r="G856" s="25" t="str">
        <f>IF(A856="","",SUMIFS(Paradas_Detalhadas!$I:$I,Paradas_Detalhadas!$A:$A,A856,Paradas_Detalhadas!$B:$B,B856,Paradas_Detalhadas!$C:$C,C856,Paradas_Detalhadas!$D:$D,E856))</f>
        <v/>
      </c>
      <c r="H856" s="26" t="str">
        <f t="shared" si="65"/>
        <v/>
      </c>
      <c r="I856" s="10"/>
      <c r="J856" s="10"/>
      <c r="K856" s="10" t="str">
        <f t="shared" si="66"/>
        <v/>
      </c>
      <c r="L856" s="10" t="str">
        <f t="shared" si="67"/>
        <v/>
      </c>
      <c r="M856" s="10" t="str">
        <f t="shared" si="68"/>
        <v/>
      </c>
      <c r="N856" s="10" t="str">
        <f t="shared" si="69"/>
        <v/>
      </c>
      <c r="O856" s="6"/>
      <c r="P856" s="6"/>
    </row>
    <row r="857" spans="1:16" x14ac:dyDescent="0.3">
      <c r="A857" s="6"/>
      <c r="B857" s="7"/>
      <c r="C857" s="6"/>
      <c r="D857" s="6"/>
      <c r="E857" s="6"/>
      <c r="F857" s="25"/>
      <c r="G857" s="25" t="str">
        <f>IF(A857="","",SUMIFS(Paradas_Detalhadas!$I:$I,Paradas_Detalhadas!$A:$A,A857,Paradas_Detalhadas!$B:$B,B857,Paradas_Detalhadas!$C:$C,C857,Paradas_Detalhadas!$D:$D,E857))</f>
        <v/>
      </c>
      <c r="H857" s="26" t="str">
        <f t="shared" si="65"/>
        <v/>
      </c>
      <c r="I857" s="10"/>
      <c r="J857" s="10"/>
      <c r="K857" s="10" t="str">
        <f t="shared" si="66"/>
        <v/>
      </c>
      <c r="L857" s="10" t="str">
        <f t="shared" si="67"/>
        <v/>
      </c>
      <c r="M857" s="10" t="str">
        <f t="shared" si="68"/>
        <v/>
      </c>
      <c r="N857" s="10" t="str">
        <f t="shared" si="69"/>
        <v/>
      </c>
      <c r="O857" s="6"/>
      <c r="P857" s="6"/>
    </row>
    <row r="858" spans="1:16" x14ac:dyDescent="0.3">
      <c r="A858" s="6"/>
      <c r="B858" s="7"/>
      <c r="C858" s="6"/>
      <c r="D858" s="6"/>
      <c r="E858" s="6"/>
      <c r="F858" s="25"/>
      <c r="G858" s="25" t="str">
        <f>IF(A858="","",SUMIFS(Paradas_Detalhadas!$I:$I,Paradas_Detalhadas!$A:$A,A858,Paradas_Detalhadas!$B:$B,B858,Paradas_Detalhadas!$C:$C,C858,Paradas_Detalhadas!$D:$D,E858))</f>
        <v/>
      </c>
      <c r="H858" s="26" t="str">
        <f t="shared" si="65"/>
        <v/>
      </c>
      <c r="I858" s="10"/>
      <c r="J858" s="10"/>
      <c r="K858" s="10" t="str">
        <f t="shared" si="66"/>
        <v/>
      </c>
      <c r="L858" s="10" t="str">
        <f t="shared" si="67"/>
        <v/>
      </c>
      <c r="M858" s="10" t="str">
        <f t="shared" si="68"/>
        <v/>
      </c>
      <c r="N858" s="10" t="str">
        <f t="shared" si="69"/>
        <v/>
      </c>
      <c r="O858" s="6"/>
      <c r="P858" s="6"/>
    </row>
    <row r="859" spans="1:16" x14ac:dyDescent="0.3">
      <c r="A859" s="6"/>
      <c r="B859" s="7"/>
      <c r="C859" s="6"/>
      <c r="D859" s="6"/>
      <c r="E859" s="6"/>
      <c r="F859" s="25"/>
      <c r="G859" s="25" t="str">
        <f>IF(A859="","",SUMIFS(Paradas_Detalhadas!$I:$I,Paradas_Detalhadas!$A:$A,A859,Paradas_Detalhadas!$B:$B,B859,Paradas_Detalhadas!$C:$C,C859,Paradas_Detalhadas!$D:$D,E859))</f>
        <v/>
      </c>
      <c r="H859" s="26" t="str">
        <f t="shared" si="65"/>
        <v/>
      </c>
      <c r="I859" s="10"/>
      <c r="J859" s="10"/>
      <c r="K859" s="10" t="str">
        <f t="shared" si="66"/>
        <v/>
      </c>
      <c r="L859" s="10" t="str">
        <f t="shared" si="67"/>
        <v/>
      </c>
      <c r="M859" s="10" t="str">
        <f t="shared" si="68"/>
        <v/>
      </c>
      <c r="N859" s="10" t="str">
        <f t="shared" si="69"/>
        <v/>
      </c>
      <c r="O859" s="6"/>
      <c r="P859" s="6"/>
    </row>
    <row r="860" spans="1:16" x14ac:dyDescent="0.3">
      <c r="A860" s="6"/>
      <c r="B860" s="7"/>
      <c r="C860" s="6"/>
      <c r="D860" s="6"/>
      <c r="E860" s="6"/>
      <c r="F860" s="25"/>
      <c r="G860" s="25" t="str">
        <f>IF(A860="","",SUMIFS(Paradas_Detalhadas!$I:$I,Paradas_Detalhadas!$A:$A,A860,Paradas_Detalhadas!$B:$B,B860,Paradas_Detalhadas!$C:$C,C860,Paradas_Detalhadas!$D:$D,E860))</f>
        <v/>
      </c>
      <c r="H860" s="26" t="str">
        <f t="shared" si="65"/>
        <v/>
      </c>
      <c r="I860" s="10"/>
      <c r="J860" s="10"/>
      <c r="K860" s="10" t="str">
        <f t="shared" si="66"/>
        <v/>
      </c>
      <c r="L860" s="10" t="str">
        <f t="shared" si="67"/>
        <v/>
      </c>
      <c r="M860" s="10" t="str">
        <f t="shared" si="68"/>
        <v/>
      </c>
      <c r="N860" s="10" t="str">
        <f t="shared" si="69"/>
        <v/>
      </c>
      <c r="O860" s="6"/>
      <c r="P860" s="6"/>
    </row>
    <row r="861" spans="1:16" x14ac:dyDescent="0.3">
      <c r="A861" s="6"/>
      <c r="B861" s="7"/>
      <c r="C861" s="6"/>
      <c r="D861" s="6"/>
      <c r="E861" s="6"/>
      <c r="F861" s="25"/>
      <c r="G861" s="25" t="str">
        <f>IF(A861="","",SUMIFS(Paradas_Detalhadas!$I:$I,Paradas_Detalhadas!$A:$A,A861,Paradas_Detalhadas!$B:$B,B861,Paradas_Detalhadas!$C:$C,C861,Paradas_Detalhadas!$D:$D,E861))</f>
        <v/>
      </c>
      <c r="H861" s="26" t="str">
        <f t="shared" si="65"/>
        <v/>
      </c>
      <c r="I861" s="10"/>
      <c r="J861" s="10"/>
      <c r="K861" s="10" t="str">
        <f t="shared" si="66"/>
        <v/>
      </c>
      <c r="L861" s="10" t="str">
        <f t="shared" si="67"/>
        <v/>
      </c>
      <c r="M861" s="10" t="str">
        <f t="shared" si="68"/>
        <v/>
      </c>
      <c r="N861" s="10" t="str">
        <f t="shared" si="69"/>
        <v/>
      </c>
      <c r="O861" s="6"/>
      <c r="P861" s="6"/>
    </row>
    <row r="862" spans="1:16" x14ac:dyDescent="0.3">
      <c r="A862" s="6"/>
      <c r="B862" s="7"/>
      <c r="C862" s="6"/>
      <c r="D862" s="6"/>
      <c r="E862" s="6"/>
      <c r="F862" s="25"/>
      <c r="G862" s="25" t="str">
        <f>IF(A862="","",SUMIFS(Paradas_Detalhadas!$I:$I,Paradas_Detalhadas!$A:$A,A862,Paradas_Detalhadas!$B:$B,B862,Paradas_Detalhadas!$C:$C,C862,Paradas_Detalhadas!$D:$D,E862))</f>
        <v/>
      </c>
      <c r="H862" s="26" t="str">
        <f t="shared" si="65"/>
        <v/>
      </c>
      <c r="I862" s="10"/>
      <c r="J862" s="10"/>
      <c r="K862" s="10" t="str">
        <f t="shared" si="66"/>
        <v/>
      </c>
      <c r="L862" s="10" t="str">
        <f t="shared" si="67"/>
        <v/>
      </c>
      <c r="M862" s="10" t="str">
        <f t="shared" si="68"/>
        <v/>
      </c>
      <c r="N862" s="10" t="str">
        <f t="shared" si="69"/>
        <v/>
      </c>
      <c r="O862" s="6"/>
      <c r="P862" s="6"/>
    </row>
    <row r="863" spans="1:16" x14ac:dyDescent="0.3">
      <c r="A863" s="6"/>
      <c r="B863" s="7"/>
      <c r="C863" s="6"/>
      <c r="D863" s="6"/>
      <c r="E863" s="6"/>
      <c r="F863" s="25"/>
      <c r="G863" s="25" t="str">
        <f>IF(A863="","",SUMIFS(Paradas_Detalhadas!$I:$I,Paradas_Detalhadas!$A:$A,A863,Paradas_Detalhadas!$B:$B,B863,Paradas_Detalhadas!$C:$C,C863,Paradas_Detalhadas!$D:$D,E863))</f>
        <v/>
      </c>
      <c r="H863" s="26" t="str">
        <f t="shared" si="65"/>
        <v/>
      </c>
      <c r="I863" s="10"/>
      <c r="J863" s="10"/>
      <c r="K863" s="10" t="str">
        <f t="shared" si="66"/>
        <v/>
      </c>
      <c r="L863" s="10" t="str">
        <f t="shared" si="67"/>
        <v/>
      </c>
      <c r="M863" s="10" t="str">
        <f t="shared" si="68"/>
        <v/>
      </c>
      <c r="N863" s="10" t="str">
        <f t="shared" si="69"/>
        <v/>
      </c>
      <c r="O863" s="6"/>
      <c r="P863" s="6"/>
    </row>
    <row r="864" spans="1:16" x14ac:dyDescent="0.3">
      <c r="A864" s="6"/>
      <c r="B864" s="7"/>
      <c r="C864" s="6"/>
      <c r="D864" s="6"/>
      <c r="E864" s="6"/>
      <c r="F864" s="25"/>
      <c r="G864" s="25" t="str">
        <f>IF(A864="","",SUMIFS(Paradas_Detalhadas!$I:$I,Paradas_Detalhadas!$A:$A,A864,Paradas_Detalhadas!$B:$B,B864,Paradas_Detalhadas!$C:$C,C864,Paradas_Detalhadas!$D:$D,E864))</f>
        <v/>
      </c>
      <c r="H864" s="26" t="str">
        <f t="shared" si="65"/>
        <v/>
      </c>
      <c r="I864" s="10"/>
      <c r="J864" s="10"/>
      <c r="K864" s="10" t="str">
        <f t="shared" si="66"/>
        <v/>
      </c>
      <c r="L864" s="10" t="str">
        <f t="shared" si="67"/>
        <v/>
      </c>
      <c r="M864" s="10" t="str">
        <f t="shared" si="68"/>
        <v/>
      </c>
      <c r="N864" s="10" t="str">
        <f t="shared" si="69"/>
        <v/>
      </c>
      <c r="O864" s="6"/>
      <c r="P864" s="6"/>
    </row>
    <row r="865" spans="1:16" x14ac:dyDescent="0.3">
      <c r="A865" s="6"/>
      <c r="B865" s="7"/>
      <c r="C865" s="6"/>
      <c r="D865" s="6"/>
      <c r="E865" s="6"/>
      <c r="F865" s="25"/>
      <c r="G865" s="25" t="str">
        <f>IF(A865="","",SUMIFS(Paradas_Detalhadas!$I:$I,Paradas_Detalhadas!$A:$A,A865,Paradas_Detalhadas!$B:$B,B865,Paradas_Detalhadas!$C:$C,C865,Paradas_Detalhadas!$D:$D,E865))</f>
        <v/>
      </c>
      <c r="H865" s="26" t="str">
        <f t="shared" si="65"/>
        <v/>
      </c>
      <c r="I865" s="10"/>
      <c r="J865" s="10"/>
      <c r="K865" s="10" t="str">
        <f t="shared" si="66"/>
        <v/>
      </c>
      <c r="L865" s="10" t="str">
        <f t="shared" si="67"/>
        <v/>
      </c>
      <c r="M865" s="10" t="str">
        <f t="shared" si="68"/>
        <v/>
      </c>
      <c r="N865" s="10" t="str">
        <f t="shared" si="69"/>
        <v/>
      </c>
      <c r="O865" s="6"/>
      <c r="P865" s="6"/>
    </row>
    <row r="866" spans="1:16" x14ac:dyDescent="0.3">
      <c r="A866" s="6"/>
      <c r="B866" s="7"/>
      <c r="C866" s="6"/>
      <c r="D866" s="6"/>
      <c r="E866" s="6"/>
      <c r="F866" s="25"/>
      <c r="G866" s="25" t="str">
        <f>IF(A866="","",SUMIFS(Paradas_Detalhadas!$I:$I,Paradas_Detalhadas!$A:$A,A866,Paradas_Detalhadas!$B:$B,B866,Paradas_Detalhadas!$C:$C,C866,Paradas_Detalhadas!$D:$D,E866))</f>
        <v/>
      </c>
      <c r="H866" s="26" t="str">
        <f t="shared" si="65"/>
        <v/>
      </c>
      <c r="I866" s="10"/>
      <c r="J866" s="10"/>
      <c r="K866" s="10" t="str">
        <f t="shared" si="66"/>
        <v/>
      </c>
      <c r="L866" s="10" t="str">
        <f t="shared" si="67"/>
        <v/>
      </c>
      <c r="M866" s="10" t="str">
        <f t="shared" si="68"/>
        <v/>
      </c>
      <c r="N866" s="10" t="str">
        <f t="shared" si="69"/>
        <v/>
      </c>
      <c r="O866" s="6"/>
      <c r="P866" s="6"/>
    </row>
    <row r="867" spans="1:16" x14ac:dyDescent="0.3">
      <c r="A867" s="6"/>
      <c r="B867" s="7"/>
      <c r="C867" s="6"/>
      <c r="D867" s="6"/>
      <c r="E867" s="6"/>
      <c r="F867" s="25"/>
      <c r="G867" s="25" t="str">
        <f>IF(A867="","",SUMIFS(Paradas_Detalhadas!$I:$I,Paradas_Detalhadas!$A:$A,A867,Paradas_Detalhadas!$B:$B,B867,Paradas_Detalhadas!$C:$C,C867,Paradas_Detalhadas!$D:$D,E867))</f>
        <v/>
      </c>
      <c r="H867" s="26" t="str">
        <f t="shared" si="65"/>
        <v/>
      </c>
      <c r="I867" s="10"/>
      <c r="J867" s="10"/>
      <c r="K867" s="10" t="str">
        <f t="shared" si="66"/>
        <v/>
      </c>
      <c r="L867" s="10" t="str">
        <f t="shared" si="67"/>
        <v/>
      </c>
      <c r="M867" s="10" t="str">
        <f t="shared" si="68"/>
        <v/>
      </c>
      <c r="N867" s="10" t="str">
        <f t="shared" si="69"/>
        <v/>
      </c>
      <c r="O867" s="6"/>
      <c r="P867" s="6"/>
    </row>
    <row r="868" spans="1:16" x14ac:dyDescent="0.3">
      <c r="A868" s="6"/>
      <c r="B868" s="7"/>
      <c r="C868" s="6"/>
      <c r="D868" s="6"/>
      <c r="E868" s="6"/>
      <c r="F868" s="25"/>
      <c r="G868" s="25" t="str">
        <f>IF(A868="","",SUMIFS(Paradas_Detalhadas!$I:$I,Paradas_Detalhadas!$A:$A,A868,Paradas_Detalhadas!$B:$B,B868,Paradas_Detalhadas!$C:$C,C868,Paradas_Detalhadas!$D:$D,E868))</f>
        <v/>
      </c>
      <c r="H868" s="26" t="str">
        <f t="shared" si="65"/>
        <v/>
      </c>
      <c r="I868" s="10"/>
      <c r="J868" s="10"/>
      <c r="K868" s="10" t="str">
        <f t="shared" si="66"/>
        <v/>
      </c>
      <c r="L868" s="10" t="str">
        <f t="shared" si="67"/>
        <v/>
      </c>
      <c r="M868" s="10" t="str">
        <f t="shared" si="68"/>
        <v/>
      </c>
      <c r="N868" s="10" t="str">
        <f t="shared" si="69"/>
        <v/>
      </c>
      <c r="O868" s="6"/>
      <c r="P868" s="6"/>
    </row>
    <row r="869" spans="1:16" x14ac:dyDescent="0.3">
      <c r="A869" s="6"/>
      <c r="B869" s="7"/>
      <c r="C869" s="6"/>
      <c r="D869" s="6"/>
      <c r="E869" s="6"/>
      <c r="F869" s="25"/>
      <c r="G869" s="25" t="str">
        <f>IF(A869="","",SUMIFS(Paradas_Detalhadas!$I:$I,Paradas_Detalhadas!$A:$A,A869,Paradas_Detalhadas!$B:$B,B869,Paradas_Detalhadas!$C:$C,C869,Paradas_Detalhadas!$D:$D,E869))</f>
        <v/>
      </c>
      <c r="H869" s="26" t="str">
        <f t="shared" si="65"/>
        <v/>
      </c>
      <c r="I869" s="10"/>
      <c r="J869" s="10"/>
      <c r="K869" s="10" t="str">
        <f t="shared" si="66"/>
        <v/>
      </c>
      <c r="L869" s="10" t="str">
        <f t="shared" si="67"/>
        <v/>
      </c>
      <c r="M869" s="10" t="str">
        <f t="shared" si="68"/>
        <v/>
      </c>
      <c r="N869" s="10" t="str">
        <f t="shared" si="69"/>
        <v/>
      </c>
      <c r="O869" s="6"/>
      <c r="P869" s="6"/>
    </row>
    <row r="870" spans="1:16" x14ac:dyDescent="0.3">
      <c r="A870" s="6"/>
      <c r="B870" s="7"/>
      <c r="C870" s="6"/>
      <c r="D870" s="6"/>
      <c r="E870" s="6"/>
      <c r="F870" s="25"/>
      <c r="G870" s="25" t="str">
        <f>IF(A870="","",SUMIFS(Paradas_Detalhadas!$I:$I,Paradas_Detalhadas!$A:$A,A870,Paradas_Detalhadas!$B:$B,B870,Paradas_Detalhadas!$C:$C,C870,Paradas_Detalhadas!$D:$D,E870))</f>
        <v/>
      </c>
      <c r="H870" s="26" t="str">
        <f t="shared" si="65"/>
        <v/>
      </c>
      <c r="I870" s="10"/>
      <c r="J870" s="10"/>
      <c r="K870" s="10" t="str">
        <f t="shared" si="66"/>
        <v/>
      </c>
      <c r="L870" s="10" t="str">
        <f t="shared" si="67"/>
        <v/>
      </c>
      <c r="M870" s="10" t="str">
        <f t="shared" si="68"/>
        <v/>
      </c>
      <c r="N870" s="10" t="str">
        <f t="shared" si="69"/>
        <v/>
      </c>
      <c r="O870" s="6"/>
      <c r="P870" s="6"/>
    </row>
    <row r="871" spans="1:16" x14ac:dyDescent="0.3">
      <c r="A871" s="6"/>
      <c r="B871" s="7"/>
      <c r="C871" s="6"/>
      <c r="D871" s="6"/>
      <c r="E871" s="6"/>
      <c r="F871" s="25"/>
      <c r="G871" s="25" t="str">
        <f>IF(A871="","",SUMIFS(Paradas_Detalhadas!$I:$I,Paradas_Detalhadas!$A:$A,A871,Paradas_Detalhadas!$B:$B,B871,Paradas_Detalhadas!$C:$C,C871,Paradas_Detalhadas!$D:$D,E871))</f>
        <v/>
      </c>
      <c r="H871" s="26" t="str">
        <f t="shared" si="65"/>
        <v/>
      </c>
      <c r="I871" s="10"/>
      <c r="J871" s="10"/>
      <c r="K871" s="10" t="str">
        <f t="shared" si="66"/>
        <v/>
      </c>
      <c r="L871" s="10" t="str">
        <f t="shared" si="67"/>
        <v/>
      </c>
      <c r="M871" s="10" t="str">
        <f t="shared" si="68"/>
        <v/>
      </c>
      <c r="N871" s="10" t="str">
        <f t="shared" si="69"/>
        <v/>
      </c>
      <c r="O871" s="6"/>
      <c r="P871" s="6"/>
    </row>
    <row r="872" spans="1:16" x14ac:dyDescent="0.3">
      <c r="A872" s="6"/>
      <c r="B872" s="7"/>
      <c r="C872" s="6"/>
      <c r="D872" s="6"/>
      <c r="E872" s="6"/>
      <c r="F872" s="25"/>
      <c r="G872" s="25" t="str">
        <f>IF(A872="","",SUMIFS(Paradas_Detalhadas!$I:$I,Paradas_Detalhadas!$A:$A,A872,Paradas_Detalhadas!$B:$B,B872,Paradas_Detalhadas!$C:$C,C872,Paradas_Detalhadas!$D:$D,E872))</f>
        <v/>
      </c>
      <c r="H872" s="26" t="str">
        <f t="shared" si="65"/>
        <v/>
      </c>
      <c r="I872" s="10"/>
      <c r="J872" s="10"/>
      <c r="K872" s="10" t="str">
        <f t="shared" si="66"/>
        <v/>
      </c>
      <c r="L872" s="10" t="str">
        <f t="shared" si="67"/>
        <v/>
      </c>
      <c r="M872" s="10" t="str">
        <f t="shared" si="68"/>
        <v/>
      </c>
      <c r="N872" s="10" t="str">
        <f t="shared" si="69"/>
        <v/>
      </c>
      <c r="O872" s="6"/>
      <c r="P872" s="6"/>
    </row>
    <row r="873" spans="1:16" x14ac:dyDescent="0.3">
      <c r="A873" s="6"/>
      <c r="B873" s="7"/>
      <c r="C873" s="6"/>
      <c r="D873" s="6"/>
      <c r="E873" s="6"/>
      <c r="F873" s="25"/>
      <c r="G873" s="25" t="str">
        <f>IF(A873="","",SUMIFS(Paradas_Detalhadas!$I:$I,Paradas_Detalhadas!$A:$A,A873,Paradas_Detalhadas!$B:$B,B873,Paradas_Detalhadas!$C:$C,C873,Paradas_Detalhadas!$D:$D,E873))</f>
        <v/>
      </c>
      <c r="H873" s="26" t="str">
        <f t="shared" si="65"/>
        <v/>
      </c>
      <c r="I873" s="10"/>
      <c r="J873" s="10"/>
      <c r="K873" s="10" t="str">
        <f t="shared" si="66"/>
        <v/>
      </c>
      <c r="L873" s="10" t="str">
        <f t="shared" si="67"/>
        <v/>
      </c>
      <c r="M873" s="10" t="str">
        <f t="shared" si="68"/>
        <v/>
      </c>
      <c r="N873" s="10" t="str">
        <f t="shared" si="69"/>
        <v/>
      </c>
      <c r="O873" s="6"/>
      <c r="P873" s="6"/>
    </row>
    <row r="874" spans="1:16" x14ac:dyDescent="0.3">
      <c r="A874" s="6"/>
      <c r="B874" s="7"/>
      <c r="C874" s="6"/>
      <c r="D874" s="6"/>
      <c r="E874" s="6"/>
      <c r="F874" s="25"/>
      <c r="G874" s="25" t="str">
        <f>IF(A874="","",SUMIFS(Paradas_Detalhadas!$I:$I,Paradas_Detalhadas!$A:$A,A874,Paradas_Detalhadas!$B:$B,B874,Paradas_Detalhadas!$C:$C,C874,Paradas_Detalhadas!$D:$D,E874))</f>
        <v/>
      </c>
      <c r="H874" s="26" t="str">
        <f t="shared" si="65"/>
        <v/>
      </c>
      <c r="I874" s="10"/>
      <c r="J874" s="10"/>
      <c r="K874" s="10" t="str">
        <f t="shared" si="66"/>
        <v/>
      </c>
      <c r="L874" s="10" t="str">
        <f t="shared" si="67"/>
        <v/>
      </c>
      <c r="M874" s="10" t="str">
        <f t="shared" si="68"/>
        <v/>
      </c>
      <c r="N874" s="10" t="str">
        <f t="shared" si="69"/>
        <v/>
      </c>
      <c r="O874" s="6"/>
      <c r="P874" s="6"/>
    </row>
    <row r="875" spans="1:16" x14ac:dyDescent="0.3">
      <c r="A875" s="6"/>
      <c r="B875" s="7"/>
      <c r="C875" s="6"/>
      <c r="D875" s="6"/>
      <c r="E875" s="6"/>
      <c r="F875" s="25"/>
      <c r="G875" s="25" t="str">
        <f>IF(A875="","",SUMIFS(Paradas_Detalhadas!$I:$I,Paradas_Detalhadas!$A:$A,A875,Paradas_Detalhadas!$B:$B,B875,Paradas_Detalhadas!$C:$C,C875,Paradas_Detalhadas!$D:$D,E875))</f>
        <v/>
      </c>
      <c r="H875" s="26" t="str">
        <f t="shared" si="65"/>
        <v/>
      </c>
      <c r="I875" s="10"/>
      <c r="J875" s="10"/>
      <c r="K875" s="10" t="str">
        <f t="shared" si="66"/>
        <v/>
      </c>
      <c r="L875" s="10" t="str">
        <f t="shared" si="67"/>
        <v/>
      </c>
      <c r="M875" s="10" t="str">
        <f t="shared" si="68"/>
        <v/>
      </c>
      <c r="N875" s="10" t="str">
        <f t="shared" si="69"/>
        <v/>
      </c>
      <c r="O875" s="6"/>
      <c r="P875" s="6"/>
    </row>
    <row r="876" spans="1:16" x14ac:dyDescent="0.3">
      <c r="A876" s="6"/>
      <c r="B876" s="7"/>
      <c r="C876" s="6"/>
      <c r="D876" s="6"/>
      <c r="E876" s="6"/>
      <c r="F876" s="25"/>
      <c r="G876" s="25" t="str">
        <f>IF(A876="","",SUMIFS(Paradas_Detalhadas!$I:$I,Paradas_Detalhadas!$A:$A,A876,Paradas_Detalhadas!$B:$B,B876,Paradas_Detalhadas!$C:$C,C876,Paradas_Detalhadas!$D:$D,E876))</f>
        <v/>
      </c>
      <c r="H876" s="26" t="str">
        <f t="shared" si="65"/>
        <v/>
      </c>
      <c r="I876" s="10"/>
      <c r="J876" s="10"/>
      <c r="K876" s="10" t="str">
        <f t="shared" si="66"/>
        <v/>
      </c>
      <c r="L876" s="10" t="str">
        <f t="shared" si="67"/>
        <v/>
      </c>
      <c r="M876" s="10" t="str">
        <f t="shared" si="68"/>
        <v/>
      </c>
      <c r="N876" s="10" t="str">
        <f t="shared" si="69"/>
        <v/>
      </c>
      <c r="O876" s="6"/>
      <c r="P876" s="6"/>
    </row>
    <row r="877" spans="1:16" x14ac:dyDescent="0.3">
      <c r="A877" s="6"/>
      <c r="B877" s="7"/>
      <c r="C877" s="6"/>
      <c r="D877" s="6"/>
      <c r="E877" s="6"/>
      <c r="F877" s="25"/>
      <c r="G877" s="25" t="str">
        <f>IF(A877="","",SUMIFS(Paradas_Detalhadas!$I:$I,Paradas_Detalhadas!$A:$A,A877,Paradas_Detalhadas!$B:$B,B877,Paradas_Detalhadas!$C:$C,C877,Paradas_Detalhadas!$D:$D,E877))</f>
        <v/>
      </c>
      <c r="H877" s="26" t="str">
        <f t="shared" si="65"/>
        <v/>
      </c>
      <c r="I877" s="10"/>
      <c r="J877" s="10"/>
      <c r="K877" s="10" t="str">
        <f t="shared" si="66"/>
        <v/>
      </c>
      <c r="L877" s="10" t="str">
        <f t="shared" si="67"/>
        <v/>
      </c>
      <c r="M877" s="10" t="str">
        <f t="shared" si="68"/>
        <v/>
      </c>
      <c r="N877" s="10" t="str">
        <f t="shared" si="69"/>
        <v/>
      </c>
      <c r="O877" s="6"/>
      <c r="P877" s="6"/>
    </row>
    <row r="878" spans="1:16" x14ac:dyDescent="0.3">
      <c r="A878" s="6"/>
      <c r="B878" s="7"/>
      <c r="C878" s="6"/>
      <c r="D878" s="6"/>
      <c r="E878" s="6"/>
      <c r="F878" s="25"/>
      <c r="G878" s="25" t="str">
        <f>IF(A878="","",SUMIFS(Paradas_Detalhadas!$I:$I,Paradas_Detalhadas!$A:$A,A878,Paradas_Detalhadas!$B:$B,B878,Paradas_Detalhadas!$C:$C,C878,Paradas_Detalhadas!$D:$D,E878))</f>
        <v/>
      </c>
      <c r="H878" s="26" t="str">
        <f t="shared" ref="H878:H941" si="70">IF(OR(F878="",G878=""),"",MAX(F878-G878,0))</f>
        <v/>
      </c>
      <c r="I878" s="10"/>
      <c r="J878" s="10"/>
      <c r="K878" s="10" t="str">
        <f t="shared" ref="K878:K941" si="71">IF(AND(I878="",J878=""),"",SUM(I878:J878))</f>
        <v/>
      </c>
      <c r="L878" s="10" t="str">
        <f t="shared" ref="L878:L941" si="72">IFERROR(K878/H878,"")</f>
        <v/>
      </c>
      <c r="M878" s="10" t="str">
        <f t="shared" ref="M878:M941" si="73">IFERROR(I878/H878,"")</f>
        <v/>
      </c>
      <c r="N878" s="10" t="str">
        <f t="shared" ref="N878:N941" si="74">IFERROR(J878/H878,"")</f>
        <v/>
      </c>
      <c r="O878" s="6"/>
      <c r="P878" s="6"/>
    </row>
    <row r="879" spans="1:16" x14ac:dyDescent="0.3">
      <c r="A879" s="6"/>
      <c r="B879" s="7"/>
      <c r="C879" s="6"/>
      <c r="D879" s="6"/>
      <c r="E879" s="6"/>
      <c r="F879" s="25"/>
      <c r="G879" s="25" t="str">
        <f>IF(A879="","",SUMIFS(Paradas_Detalhadas!$I:$I,Paradas_Detalhadas!$A:$A,A879,Paradas_Detalhadas!$B:$B,B879,Paradas_Detalhadas!$C:$C,C879,Paradas_Detalhadas!$D:$D,E879))</f>
        <v/>
      </c>
      <c r="H879" s="26" t="str">
        <f t="shared" si="70"/>
        <v/>
      </c>
      <c r="I879" s="10"/>
      <c r="J879" s="10"/>
      <c r="K879" s="10" t="str">
        <f t="shared" si="71"/>
        <v/>
      </c>
      <c r="L879" s="10" t="str">
        <f t="shared" si="72"/>
        <v/>
      </c>
      <c r="M879" s="10" t="str">
        <f t="shared" si="73"/>
        <v/>
      </c>
      <c r="N879" s="10" t="str">
        <f t="shared" si="74"/>
        <v/>
      </c>
      <c r="O879" s="6"/>
      <c r="P879" s="6"/>
    </row>
    <row r="880" spans="1:16" x14ac:dyDescent="0.3">
      <c r="A880" s="6"/>
      <c r="B880" s="7"/>
      <c r="C880" s="6"/>
      <c r="D880" s="6"/>
      <c r="E880" s="6"/>
      <c r="F880" s="25"/>
      <c r="G880" s="25" t="str">
        <f>IF(A880="","",SUMIFS(Paradas_Detalhadas!$I:$I,Paradas_Detalhadas!$A:$A,A880,Paradas_Detalhadas!$B:$B,B880,Paradas_Detalhadas!$C:$C,C880,Paradas_Detalhadas!$D:$D,E880))</f>
        <v/>
      </c>
      <c r="H880" s="26" t="str">
        <f t="shared" si="70"/>
        <v/>
      </c>
      <c r="I880" s="10"/>
      <c r="J880" s="10"/>
      <c r="K880" s="10" t="str">
        <f t="shared" si="71"/>
        <v/>
      </c>
      <c r="L880" s="10" t="str">
        <f t="shared" si="72"/>
        <v/>
      </c>
      <c r="M880" s="10" t="str">
        <f t="shared" si="73"/>
        <v/>
      </c>
      <c r="N880" s="10" t="str">
        <f t="shared" si="74"/>
        <v/>
      </c>
      <c r="O880" s="6"/>
      <c r="P880" s="6"/>
    </row>
    <row r="881" spans="1:16" x14ac:dyDescent="0.3">
      <c r="A881" s="6"/>
      <c r="B881" s="7"/>
      <c r="C881" s="6"/>
      <c r="D881" s="6"/>
      <c r="E881" s="6"/>
      <c r="F881" s="25"/>
      <c r="G881" s="25" t="str">
        <f>IF(A881="","",SUMIFS(Paradas_Detalhadas!$I:$I,Paradas_Detalhadas!$A:$A,A881,Paradas_Detalhadas!$B:$B,B881,Paradas_Detalhadas!$C:$C,C881,Paradas_Detalhadas!$D:$D,E881))</f>
        <v/>
      </c>
      <c r="H881" s="26" t="str">
        <f t="shared" si="70"/>
        <v/>
      </c>
      <c r="I881" s="10"/>
      <c r="J881" s="10"/>
      <c r="K881" s="10" t="str">
        <f t="shared" si="71"/>
        <v/>
      </c>
      <c r="L881" s="10" t="str">
        <f t="shared" si="72"/>
        <v/>
      </c>
      <c r="M881" s="10" t="str">
        <f t="shared" si="73"/>
        <v/>
      </c>
      <c r="N881" s="10" t="str">
        <f t="shared" si="74"/>
        <v/>
      </c>
      <c r="O881" s="6"/>
      <c r="P881" s="6"/>
    </row>
    <row r="882" spans="1:16" x14ac:dyDescent="0.3">
      <c r="A882" s="6"/>
      <c r="B882" s="7"/>
      <c r="C882" s="6"/>
      <c r="D882" s="6"/>
      <c r="E882" s="6"/>
      <c r="F882" s="25"/>
      <c r="G882" s="25" t="str">
        <f>IF(A882="","",SUMIFS(Paradas_Detalhadas!$I:$I,Paradas_Detalhadas!$A:$A,A882,Paradas_Detalhadas!$B:$B,B882,Paradas_Detalhadas!$C:$C,C882,Paradas_Detalhadas!$D:$D,E882))</f>
        <v/>
      </c>
      <c r="H882" s="26" t="str">
        <f t="shared" si="70"/>
        <v/>
      </c>
      <c r="I882" s="10"/>
      <c r="J882" s="10"/>
      <c r="K882" s="10" t="str">
        <f t="shared" si="71"/>
        <v/>
      </c>
      <c r="L882" s="10" t="str">
        <f t="shared" si="72"/>
        <v/>
      </c>
      <c r="M882" s="10" t="str">
        <f t="shared" si="73"/>
        <v/>
      </c>
      <c r="N882" s="10" t="str">
        <f t="shared" si="74"/>
        <v/>
      </c>
      <c r="O882" s="6"/>
      <c r="P882" s="6"/>
    </row>
    <row r="883" spans="1:16" x14ac:dyDescent="0.3">
      <c r="A883" s="6"/>
      <c r="B883" s="7"/>
      <c r="C883" s="6"/>
      <c r="D883" s="6"/>
      <c r="E883" s="6"/>
      <c r="F883" s="25"/>
      <c r="G883" s="25" t="str">
        <f>IF(A883="","",SUMIFS(Paradas_Detalhadas!$I:$I,Paradas_Detalhadas!$A:$A,A883,Paradas_Detalhadas!$B:$B,B883,Paradas_Detalhadas!$C:$C,C883,Paradas_Detalhadas!$D:$D,E883))</f>
        <v/>
      </c>
      <c r="H883" s="26" t="str">
        <f t="shared" si="70"/>
        <v/>
      </c>
      <c r="I883" s="10"/>
      <c r="J883" s="10"/>
      <c r="K883" s="10" t="str">
        <f t="shared" si="71"/>
        <v/>
      </c>
      <c r="L883" s="10" t="str">
        <f t="shared" si="72"/>
        <v/>
      </c>
      <c r="M883" s="10" t="str">
        <f t="shared" si="73"/>
        <v/>
      </c>
      <c r="N883" s="10" t="str">
        <f t="shared" si="74"/>
        <v/>
      </c>
      <c r="O883" s="6"/>
      <c r="P883" s="6"/>
    </row>
    <row r="884" spans="1:16" x14ac:dyDescent="0.3">
      <c r="A884" s="6"/>
      <c r="B884" s="7"/>
      <c r="C884" s="6"/>
      <c r="D884" s="6"/>
      <c r="E884" s="6"/>
      <c r="F884" s="25"/>
      <c r="G884" s="25" t="str">
        <f>IF(A884="","",SUMIFS(Paradas_Detalhadas!$I:$I,Paradas_Detalhadas!$A:$A,A884,Paradas_Detalhadas!$B:$B,B884,Paradas_Detalhadas!$C:$C,C884,Paradas_Detalhadas!$D:$D,E884))</f>
        <v/>
      </c>
      <c r="H884" s="26" t="str">
        <f t="shared" si="70"/>
        <v/>
      </c>
      <c r="I884" s="10"/>
      <c r="J884" s="10"/>
      <c r="K884" s="10" t="str">
        <f t="shared" si="71"/>
        <v/>
      </c>
      <c r="L884" s="10" t="str">
        <f t="shared" si="72"/>
        <v/>
      </c>
      <c r="M884" s="10" t="str">
        <f t="shared" si="73"/>
        <v/>
      </c>
      <c r="N884" s="10" t="str">
        <f t="shared" si="74"/>
        <v/>
      </c>
      <c r="O884" s="6"/>
      <c r="P884" s="6"/>
    </row>
    <row r="885" spans="1:16" x14ac:dyDescent="0.3">
      <c r="A885" s="6"/>
      <c r="B885" s="7"/>
      <c r="C885" s="6"/>
      <c r="D885" s="6"/>
      <c r="E885" s="6"/>
      <c r="F885" s="25"/>
      <c r="G885" s="25" t="str">
        <f>IF(A885="","",SUMIFS(Paradas_Detalhadas!$I:$I,Paradas_Detalhadas!$A:$A,A885,Paradas_Detalhadas!$B:$B,B885,Paradas_Detalhadas!$C:$C,C885,Paradas_Detalhadas!$D:$D,E885))</f>
        <v/>
      </c>
      <c r="H885" s="26" t="str">
        <f t="shared" si="70"/>
        <v/>
      </c>
      <c r="I885" s="10"/>
      <c r="J885" s="10"/>
      <c r="K885" s="10" t="str">
        <f t="shared" si="71"/>
        <v/>
      </c>
      <c r="L885" s="10" t="str">
        <f t="shared" si="72"/>
        <v/>
      </c>
      <c r="M885" s="10" t="str">
        <f t="shared" si="73"/>
        <v/>
      </c>
      <c r="N885" s="10" t="str">
        <f t="shared" si="74"/>
        <v/>
      </c>
      <c r="O885" s="6"/>
      <c r="P885" s="6"/>
    </row>
    <row r="886" spans="1:16" x14ac:dyDescent="0.3">
      <c r="A886" s="6"/>
      <c r="B886" s="7"/>
      <c r="C886" s="6"/>
      <c r="D886" s="6"/>
      <c r="E886" s="6"/>
      <c r="F886" s="25"/>
      <c r="G886" s="25" t="str">
        <f>IF(A886="","",SUMIFS(Paradas_Detalhadas!$I:$I,Paradas_Detalhadas!$A:$A,A886,Paradas_Detalhadas!$B:$B,B886,Paradas_Detalhadas!$C:$C,C886,Paradas_Detalhadas!$D:$D,E886))</f>
        <v/>
      </c>
      <c r="H886" s="26" t="str">
        <f t="shared" si="70"/>
        <v/>
      </c>
      <c r="I886" s="10"/>
      <c r="J886" s="10"/>
      <c r="K886" s="10" t="str">
        <f t="shared" si="71"/>
        <v/>
      </c>
      <c r="L886" s="10" t="str">
        <f t="shared" si="72"/>
        <v/>
      </c>
      <c r="M886" s="10" t="str">
        <f t="shared" si="73"/>
        <v/>
      </c>
      <c r="N886" s="10" t="str">
        <f t="shared" si="74"/>
        <v/>
      </c>
      <c r="O886" s="6"/>
      <c r="P886" s="6"/>
    </row>
    <row r="887" spans="1:16" x14ac:dyDescent="0.3">
      <c r="A887" s="6"/>
      <c r="B887" s="7"/>
      <c r="C887" s="6"/>
      <c r="D887" s="6"/>
      <c r="E887" s="6"/>
      <c r="F887" s="25"/>
      <c r="G887" s="25" t="str">
        <f>IF(A887="","",SUMIFS(Paradas_Detalhadas!$I:$I,Paradas_Detalhadas!$A:$A,A887,Paradas_Detalhadas!$B:$B,B887,Paradas_Detalhadas!$C:$C,C887,Paradas_Detalhadas!$D:$D,E887))</f>
        <v/>
      </c>
      <c r="H887" s="26" t="str">
        <f t="shared" si="70"/>
        <v/>
      </c>
      <c r="I887" s="10"/>
      <c r="J887" s="10"/>
      <c r="K887" s="10" t="str">
        <f t="shared" si="71"/>
        <v/>
      </c>
      <c r="L887" s="10" t="str">
        <f t="shared" si="72"/>
        <v/>
      </c>
      <c r="M887" s="10" t="str">
        <f t="shared" si="73"/>
        <v/>
      </c>
      <c r="N887" s="10" t="str">
        <f t="shared" si="74"/>
        <v/>
      </c>
      <c r="O887" s="6"/>
      <c r="P887" s="6"/>
    </row>
    <row r="888" spans="1:16" x14ac:dyDescent="0.3">
      <c r="A888" s="6"/>
      <c r="B888" s="7"/>
      <c r="C888" s="6"/>
      <c r="D888" s="6"/>
      <c r="E888" s="6"/>
      <c r="F888" s="25"/>
      <c r="G888" s="25" t="str">
        <f>IF(A888="","",SUMIFS(Paradas_Detalhadas!$I:$I,Paradas_Detalhadas!$A:$A,A888,Paradas_Detalhadas!$B:$B,B888,Paradas_Detalhadas!$C:$C,C888,Paradas_Detalhadas!$D:$D,E888))</f>
        <v/>
      </c>
      <c r="H888" s="26" t="str">
        <f t="shared" si="70"/>
        <v/>
      </c>
      <c r="I888" s="10"/>
      <c r="J888" s="10"/>
      <c r="K888" s="10" t="str">
        <f t="shared" si="71"/>
        <v/>
      </c>
      <c r="L888" s="10" t="str">
        <f t="shared" si="72"/>
        <v/>
      </c>
      <c r="M888" s="10" t="str">
        <f t="shared" si="73"/>
        <v/>
      </c>
      <c r="N888" s="10" t="str">
        <f t="shared" si="74"/>
        <v/>
      </c>
      <c r="O888" s="6"/>
      <c r="P888" s="6"/>
    </row>
    <row r="889" spans="1:16" x14ac:dyDescent="0.3">
      <c r="A889" s="6"/>
      <c r="B889" s="7"/>
      <c r="C889" s="6"/>
      <c r="D889" s="6"/>
      <c r="E889" s="6"/>
      <c r="F889" s="25"/>
      <c r="G889" s="25" t="str">
        <f>IF(A889="","",SUMIFS(Paradas_Detalhadas!$I:$I,Paradas_Detalhadas!$A:$A,A889,Paradas_Detalhadas!$B:$B,B889,Paradas_Detalhadas!$C:$C,C889,Paradas_Detalhadas!$D:$D,E889))</f>
        <v/>
      </c>
      <c r="H889" s="26" t="str">
        <f t="shared" si="70"/>
        <v/>
      </c>
      <c r="I889" s="10"/>
      <c r="J889" s="10"/>
      <c r="K889" s="10" t="str">
        <f t="shared" si="71"/>
        <v/>
      </c>
      <c r="L889" s="10" t="str">
        <f t="shared" si="72"/>
        <v/>
      </c>
      <c r="M889" s="10" t="str">
        <f t="shared" si="73"/>
        <v/>
      </c>
      <c r="N889" s="10" t="str">
        <f t="shared" si="74"/>
        <v/>
      </c>
      <c r="O889" s="6"/>
      <c r="P889" s="6"/>
    </row>
    <row r="890" spans="1:16" x14ac:dyDescent="0.3">
      <c r="A890" s="6"/>
      <c r="B890" s="7"/>
      <c r="C890" s="6"/>
      <c r="D890" s="6"/>
      <c r="E890" s="6"/>
      <c r="F890" s="25"/>
      <c r="G890" s="25" t="str">
        <f>IF(A890="","",SUMIFS(Paradas_Detalhadas!$I:$I,Paradas_Detalhadas!$A:$A,A890,Paradas_Detalhadas!$B:$B,B890,Paradas_Detalhadas!$C:$C,C890,Paradas_Detalhadas!$D:$D,E890))</f>
        <v/>
      </c>
      <c r="H890" s="26" t="str">
        <f t="shared" si="70"/>
        <v/>
      </c>
      <c r="I890" s="10"/>
      <c r="J890" s="10"/>
      <c r="K890" s="10" t="str">
        <f t="shared" si="71"/>
        <v/>
      </c>
      <c r="L890" s="10" t="str">
        <f t="shared" si="72"/>
        <v/>
      </c>
      <c r="M890" s="10" t="str">
        <f t="shared" si="73"/>
        <v/>
      </c>
      <c r="N890" s="10" t="str">
        <f t="shared" si="74"/>
        <v/>
      </c>
      <c r="O890" s="6"/>
      <c r="P890" s="6"/>
    </row>
    <row r="891" spans="1:16" x14ac:dyDescent="0.3">
      <c r="A891" s="6"/>
      <c r="B891" s="7"/>
      <c r="C891" s="6"/>
      <c r="D891" s="6"/>
      <c r="E891" s="6"/>
      <c r="F891" s="25"/>
      <c r="G891" s="25" t="str">
        <f>IF(A891="","",SUMIFS(Paradas_Detalhadas!$I:$I,Paradas_Detalhadas!$A:$A,A891,Paradas_Detalhadas!$B:$B,B891,Paradas_Detalhadas!$C:$C,C891,Paradas_Detalhadas!$D:$D,E891))</f>
        <v/>
      </c>
      <c r="H891" s="26" t="str">
        <f t="shared" si="70"/>
        <v/>
      </c>
      <c r="I891" s="10"/>
      <c r="J891" s="10"/>
      <c r="K891" s="10" t="str">
        <f t="shared" si="71"/>
        <v/>
      </c>
      <c r="L891" s="10" t="str">
        <f t="shared" si="72"/>
        <v/>
      </c>
      <c r="M891" s="10" t="str">
        <f t="shared" si="73"/>
        <v/>
      </c>
      <c r="N891" s="10" t="str">
        <f t="shared" si="74"/>
        <v/>
      </c>
      <c r="O891" s="6"/>
      <c r="P891" s="6"/>
    </row>
    <row r="892" spans="1:16" x14ac:dyDescent="0.3">
      <c r="A892" s="6"/>
      <c r="B892" s="7"/>
      <c r="C892" s="6"/>
      <c r="D892" s="6"/>
      <c r="E892" s="6"/>
      <c r="F892" s="25"/>
      <c r="G892" s="25" t="str">
        <f>IF(A892="","",SUMIFS(Paradas_Detalhadas!$I:$I,Paradas_Detalhadas!$A:$A,A892,Paradas_Detalhadas!$B:$B,B892,Paradas_Detalhadas!$C:$C,C892,Paradas_Detalhadas!$D:$D,E892))</f>
        <v/>
      </c>
      <c r="H892" s="26" t="str">
        <f t="shared" si="70"/>
        <v/>
      </c>
      <c r="I892" s="10"/>
      <c r="J892" s="10"/>
      <c r="K892" s="10" t="str">
        <f t="shared" si="71"/>
        <v/>
      </c>
      <c r="L892" s="10" t="str">
        <f t="shared" si="72"/>
        <v/>
      </c>
      <c r="M892" s="10" t="str">
        <f t="shared" si="73"/>
        <v/>
      </c>
      <c r="N892" s="10" t="str">
        <f t="shared" si="74"/>
        <v/>
      </c>
      <c r="O892" s="6"/>
      <c r="P892" s="6"/>
    </row>
    <row r="893" spans="1:16" x14ac:dyDescent="0.3">
      <c r="A893" s="6"/>
      <c r="B893" s="7"/>
      <c r="C893" s="6"/>
      <c r="D893" s="6"/>
      <c r="E893" s="6"/>
      <c r="F893" s="25"/>
      <c r="G893" s="25" t="str">
        <f>IF(A893="","",SUMIFS(Paradas_Detalhadas!$I:$I,Paradas_Detalhadas!$A:$A,A893,Paradas_Detalhadas!$B:$B,B893,Paradas_Detalhadas!$C:$C,C893,Paradas_Detalhadas!$D:$D,E893))</f>
        <v/>
      </c>
      <c r="H893" s="26" t="str">
        <f t="shared" si="70"/>
        <v/>
      </c>
      <c r="I893" s="10"/>
      <c r="J893" s="10"/>
      <c r="K893" s="10" t="str">
        <f t="shared" si="71"/>
        <v/>
      </c>
      <c r="L893" s="10" t="str">
        <f t="shared" si="72"/>
        <v/>
      </c>
      <c r="M893" s="10" t="str">
        <f t="shared" si="73"/>
        <v/>
      </c>
      <c r="N893" s="10" t="str">
        <f t="shared" si="74"/>
        <v/>
      </c>
      <c r="O893" s="6"/>
      <c r="P893" s="6"/>
    </row>
    <row r="894" spans="1:16" x14ac:dyDescent="0.3">
      <c r="A894" s="6"/>
      <c r="B894" s="7"/>
      <c r="C894" s="6"/>
      <c r="D894" s="6"/>
      <c r="E894" s="6"/>
      <c r="F894" s="25"/>
      <c r="G894" s="25" t="str">
        <f>IF(A894="","",SUMIFS(Paradas_Detalhadas!$I:$I,Paradas_Detalhadas!$A:$A,A894,Paradas_Detalhadas!$B:$B,B894,Paradas_Detalhadas!$C:$C,C894,Paradas_Detalhadas!$D:$D,E894))</f>
        <v/>
      </c>
      <c r="H894" s="26" t="str">
        <f t="shared" si="70"/>
        <v/>
      </c>
      <c r="I894" s="10"/>
      <c r="J894" s="10"/>
      <c r="K894" s="10" t="str">
        <f t="shared" si="71"/>
        <v/>
      </c>
      <c r="L894" s="10" t="str">
        <f t="shared" si="72"/>
        <v/>
      </c>
      <c r="M894" s="10" t="str">
        <f t="shared" si="73"/>
        <v/>
      </c>
      <c r="N894" s="10" t="str">
        <f t="shared" si="74"/>
        <v/>
      </c>
      <c r="O894" s="6"/>
      <c r="P894" s="6"/>
    </row>
    <row r="895" spans="1:16" x14ac:dyDescent="0.3">
      <c r="A895" s="6"/>
      <c r="B895" s="7"/>
      <c r="C895" s="6"/>
      <c r="D895" s="6"/>
      <c r="E895" s="6"/>
      <c r="F895" s="25"/>
      <c r="G895" s="25" t="str">
        <f>IF(A895="","",SUMIFS(Paradas_Detalhadas!$I:$I,Paradas_Detalhadas!$A:$A,A895,Paradas_Detalhadas!$B:$B,B895,Paradas_Detalhadas!$C:$C,C895,Paradas_Detalhadas!$D:$D,E895))</f>
        <v/>
      </c>
      <c r="H895" s="26" t="str">
        <f t="shared" si="70"/>
        <v/>
      </c>
      <c r="I895" s="10"/>
      <c r="J895" s="10"/>
      <c r="K895" s="10" t="str">
        <f t="shared" si="71"/>
        <v/>
      </c>
      <c r="L895" s="10" t="str">
        <f t="shared" si="72"/>
        <v/>
      </c>
      <c r="M895" s="10" t="str">
        <f t="shared" si="73"/>
        <v/>
      </c>
      <c r="N895" s="10" t="str">
        <f t="shared" si="74"/>
        <v/>
      </c>
      <c r="O895" s="6"/>
      <c r="P895" s="6"/>
    </row>
    <row r="896" spans="1:16" x14ac:dyDescent="0.3">
      <c r="A896" s="6"/>
      <c r="B896" s="7"/>
      <c r="C896" s="6"/>
      <c r="D896" s="6"/>
      <c r="E896" s="6"/>
      <c r="F896" s="25"/>
      <c r="G896" s="25" t="str">
        <f>IF(A896="","",SUMIFS(Paradas_Detalhadas!$I:$I,Paradas_Detalhadas!$A:$A,A896,Paradas_Detalhadas!$B:$B,B896,Paradas_Detalhadas!$C:$C,C896,Paradas_Detalhadas!$D:$D,E896))</f>
        <v/>
      </c>
      <c r="H896" s="26" t="str">
        <f t="shared" si="70"/>
        <v/>
      </c>
      <c r="I896" s="10"/>
      <c r="J896" s="10"/>
      <c r="K896" s="10" t="str">
        <f t="shared" si="71"/>
        <v/>
      </c>
      <c r="L896" s="10" t="str">
        <f t="shared" si="72"/>
        <v/>
      </c>
      <c r="M896" s="10" t="str">
        <f t="shared" si="73"/>
        <v/>
      </c>
      <c r="N896" s="10" t="str">
        <f t="shared" si="74"/>
        <v/>
      </c>
      <c r="O896" s="6"/>
      <c r="P896" s="6"/>
    </row>
    <row r="897" spans="1:16" x14ac:dyDescent="0.3">
      <c r="A897" s="6"/>
      <c r="B897" s="7"/>
      <c r="C897" s="6"/>
      <c r="D897" s="6"/>
      <c r="E897" s="6"/>
      <c r="F897" s="25"/>
      <c r="G897" s="25" t="str">
        <f>IF(A897="","",SUMIFS(Paradas_Detalhadas!$I:$I,Paradas_Detalhadas!$A:$A,A897,Paradas_Detalhadas!$B:$B,B897,Paradas_Detalhadas!$C:$C,C897,Paradas_Detalhadas!$D:$D,E897))</f>
        <v/>
      </c>
      <c r="H897" s="26" t="str">
        <f t="shared" si="70"/>
        <v/>
      </c>
      <c r="I897" s="10"/>
      <c r="J897" s="10"/>
      <c r="K897" s="10" t="str">
        <f t="shared" si="71"/>
        <v/>
      </c>
      <c r="L897" s="10" t="str">
        <f t="shared" si="72"/>
        <v/>
      </c>
      <c r="M897" s="10" t="str">
        <f t="shared" si="73"/>
        <v/>
      </c>
      <c r="N897" s="10" t="str">
        <f t="shared" si="74"/>
        <v/>
      </c>
      <c r="O897" s="6"/>
      <c r="P897" s="6"/>
    </row>
    <row r="898" spans="1:16" x14ac:dyDescent="0.3">
      <c r="A898" s="6"/>
      <c r="B898" s="7"/>
      <c r="C898" s="6"/>
      <c r="D898" s="6"/>
      <c r="E898" s="6"/>
      <c r="F898" s="25"/>
      <c r="G898" s="25" t="str">
        <f>IF(A898="","",SUMIFS(Paradas_Detalhadas!$I:$I,Paradas_Detalhadas!$A:$A,A898,Paradas_Detalhadas!$B:$B,B898,Paradas_Detalhadas!$C:$C,C898,Paradas_Detalhadas!$D:$D,E898))</f>
        <v/>
      </c>
      <c r="H898" s="26" t="str">
        <f t="shared" si="70"/>
        <v/>
      </c>
      <c r="I898" s="10"/>
      <c r="J898" s="10"/>
      <c r="K898" s="10" t="str">
        <f t="shared" si="71"/>
        <v/>
      </c>
      <c r="L898" s="10" t="str">
        <f t="shared" si="72"/>
        <v/>
      </c>
      <c r="M898" s="10" t="str">
        <f t="shared" si="73"/>
        <v/>
      </c>
      <c r="N898" s="10" t="str">
        <f t="shared" si="74"/>
        <v/>
      </c>
      <c r="O898" s="6"/>
      <c r="P898" s="6"/>
    </row>
    <row r="899" spans="1:16" x14ac:dyDescent="0.3">
      <c r="A899" s="6"/>
      <c r="B899" s="7"/>
      <c r="C899" s="6"/>
      <c r="D899" s="6"/>
      <c r="E899" s="6"/>
      <c r="F899" s="25"/>
      <c r="G899" s="25" t="str">
        <f>IF(A899="","",SUMIFS(Paradas_Detalhadas!$I:$I,Paradas_Detalhadas!$A:$A,A899,Paradas_Detalhadas!$B:$B,B899,Paradas_Detalhadas!$C:$C,C899,Paradas_Detalhadas!$D:$D,E899))</f>
        <v/>
      </c>
      <c r="H899" s="26" t="str">
        <f t="shared" si="70"/>
        <v/>
      </c>
      <c r="I899" s="10"/>
      <c r="J899" s="10"/>
      <c r="K899" s="10" t="str">
        <f t="shared" si="71"/>
        <v/>
      </c>
      <c r="L899" s="10" t="str">
        <f t="shared" si="72"/>
        <v/>
      </c>
      <c r="M899" s="10" t="str">
        <f t="shared" si="73"/>
        <v/>
      </c>
      <c r="N899" s="10" t="str">
        <f t="shared" si="74"/>
        <v/>
      </c>
      <c r="O899" s="6"/>
      <c r="P899" s="6"/>
    </row>
    <row r="900" spans="1:16" x14ac:dyDescent="0.3">
      <c r="A900" s="6"/>
      <c r="B900" s="7"/>
      <c r="C900" s="6"/>
      <c r="D900" s="6"/>
      <c r="E900" s="6"/>
      <c r="F900" s="25"/>
      <c r="G900" s="25" t="str">
        <f>IF(A900="","",SUMIFS(Paradas_Detalhadas!$I:$I,Paradas_Detalhadas!$A:$A,A900,Paradas_Detalhadas!$B:$B,B900,Paradas_Detalhadas!$C:$C,C900,Paradas_Detalhadas!$D:$D,E900))</f>
        <v/>
      </c>
      <c r="H900" s="26" t="str">
        <f t="shared" si="70"/>
        <v/>
      </c>
      <c r="I900" s="10"/>
      <c r="J900" s="10"/>
      <c r="K900" s="10" t="str">
        <f t="shared" si="71"/>
        <v/>
      </c>
      <c r="L900" s="10" t="str">
        <f t="shared" si="72"/>
        <v/>
      </c>
      <c r="M900" s="10" t="str">
        <f t="shared" si="73"/>
        <v/>
      </c>
      <c r="N900" s="10" t="str">
        <f t="shared" si="74"/>
        <v/>
      </c>
      <c r="O900" s="6"/>
      <c r="P900" s="6"/>
    </row>
    <row r="901" spans="1:16" x14ac:dyDescent="0.3">
      <c r="A901" s="6"/>
      <c r="B901" s="7"/>
      <c r="C901" s="6"/>
      <c r="D901" s="6"/>
      <c r="E901" s="6"/>
      <c r="F901" s="25"/>
      <c r="G901" s="25" t="str">
        <f>IF(A901="","",SUMIFS(Paradas_Detalhadas!$I:$I,Paradas_Detalhadas!$A:$A,A901,Paradas_Detalhadas!$B:$B,B901,Paradas_Detalhadas!$C:$C,C901,Paradas_Detalhadas!$D:$D,E901))</f>
        <v/>
      </c>
      <c r="H901" s="26" t="str">
        <f t="shared" si="70"/>
        <v/>
      </c>
      <c r="I901" s="10"/>
      <c r="J901" s="10"/>
      <c r="K901" s="10" t="str">
        <f t="shared" si="71"/>
        <v/>
      </c>
      <c r="L901" s="10" t="str">
        <f t="shared" si="72"/>
        <v/>
      </c>
      <c r="M901" s="10" t="str">
        <f t="shared" si="73"/>
        <v/>
      </c>
      <c r="N901" s="10" t="str">
        <f t="shared" si="74"/>
        <v/>
      </c>
      <c r="O901" s="6"/>
      <c r="P901" s="6"/>
    </row>
    <row r="902" spans="1:16" x14ac:dyDescent="0.3">
      <c r="A902" s="6"/>
      <c r="B902" s="7"/>
      <c r="C902" s="6"/>
      <c r="D902" s="6"/>
      <c r="E902" s="6"/>
      <c r="F902" s="25"/>
      <c r="G902" s="25" t="str">
        <f>IF(A902="","",SUMIFS(Paradas_Detalhadas!$I:$I,Paradas_Detalhadas!$A:$A,A902,Paradas_Detalhadas!$B:$B,B902,Paradas_Detalhadas!$C:$C,C902,Paradas_Detalhadas!$D:$D,E902))</f>
        <v/>
      </c>
      <c r="H902" s="26" t="str">
        <f t="shared" si="70"/>
        <v/>
      </c>
      <c r="I902" s="10"/>
      <c r="J902" s="10"/>
      <c r="K902" s="10" t="str">
        <f t="shared" si="71"/>
        <v/>
      </c>
      <c r="L902" s="10" t="str">
        <f t="shared" si="72"/>
        <v/>
      </c>
      <c r="M902" s="10" t="str">
        <f t="shared" si="73"/>
        <v/>
      </c>
      <c r="N902" s="10" t="str">
        <f t="shared" si="74"/>
        <v/>
      </c>
      <c r="O902" s="6"/>
      <c r="P902" s="6"/>
    </row>
    <row r="903" spans="1:16" x14ac:dyDescent="0.3">
      <c r="A903" s="6"/>
      <c r="B903" s="7"/>
      <c r="C903" s="6"/>
      <c r="D903" s="6"/>
      <c r="E903" s="6"/>
      <c r="F903" s="25"/>
      <c r="G903" s="25" t="str">
        <f>IF(A903="","",SUMIFS(Paradas_Detalhadas!$I:$I,Paradas_Detalhadas!$A:$A,A903,Paradas_Detalhadas!$B:$B,B903,Paradas_Detalhadas!$C:$C,C903,Paradas_Detalhadas!$D:$D,E903))</f>
        <v/>
      </c>
      <c r="H903" s="26" t="str">
        <f t="shared" si="70"/>
        <v/>
      </c>
      <c r="I903" s="10"/>
      <c r="J903" s="10"/>
      <c r="K903" s="10" t="str">
        <f t="shared" si="71"/>
        <v/>
      </c>
      <c r="L903" s="10" t="str">
        <f t="shared" si="72"/>
        <v/>
      </c>
      <c r="M903" s="10" t="str">
        <f t="shared" si="73"/>
        <v/>
      </c>
      <c r="N903" s="10" t="str">
        <f t="shared" si="74"/>
        <v/>
      </c>
      <c r="O903" s="6"/>
      <c r="P903" s="6"/>
    </row>
    <row r="904" spans="1:16" x14ac:dyDescent="0.3">
      <c r="A904" s="6"/>
      <c r="B904" s="7"/>
      <c r="C904" s="6"/>
      <c r="D904" s="6"/>
      <c r="E904" s="6"/>
      <c r="F904" s="25"/>
      <c r="G904" s="25" t="str">
        <f>IF(A904="","",SUMIFS(Paradas_Detalhadas!$I:$I,Paradas_Detalhadas!$A:$A,A904,Paradas_Detalhadas!$B:$B,B904,Paradas_Detalhadas!$C:$C,C904,Paradas_Detalhadas!$D:$D,E904))</f>
        <v/>
      </c>
      <c r="H904" s="26" t="str">
        <f t="shared" si="70"/>
        <v/>
      </c>
      <c r="I904" s="10"/>
      <c r="J904" s="10"/>
      <c r="K904" s="10" t="str">
        <f t="shared" si="71"/>
        <v/>
      </c>
      <c r="L904" s="10" t="str">
        <f t="shared" si="72"/>
        <v/>
      </c>
      <c r="M904" s="10" t="str">
        <f t="shared" si="73"/>
        <v/>
      </c>
      <c r="N904" s="10" t="str">
        <f t="shared" si="74"/>
        <v/>
      </c>
      <c r="O904" s="6"/>
      <c r="P904" s="6"/>
    </row>
    <row r="905" spans="1:16" x14ac:dyDescent="0.3">
      <c r="A905" s="6"/>
      <c r="B905" s="7"/>
      <c r="C905" s="6"/>
      <c r="D905" s="6"/>
      <c r="E905" s="6"/>
      <c r="F905" s="25"/>
      <c r="G905" s="25" t="str">
        <f>IF(A905="","",SUMIFS(Paradas_Detalhadas!$I:$I,Paradas_Detalhadas!$A:$A,A905,Paradas_Detalhadas!$B:$B,B905,Paradas_Detalhadas!$C:$C,C905,Paradas_Detalhadas!$D:$D,E905))</f>
        <v/>
      </c>
      <c r="H905" s="26" t="str">
        <f t="shared" si="70"/>
        <v/>
      </c>
      <c r="I905" s="10"/>
      <c r="J905" s="10"/>
      <c r="K905" s="10" t="str">
        <f t="shared" si="71"/>
        <v/>
      </c>
      <c r="L905" s="10" t="str">
        <f t="shared" si="72"/>
        <v/>
      </c>
      <c r="M905" s="10" t="str">
        <f t="shared" si="73"/>
        <v/>
      </c>
      <c r="N905" s="10" t="str">
        <f t="shared" si="74"/>
        <v/>
      </c>
      <c r="O905" s="6"/>
      <c r="P905" s="6"/>
    </row>
    <row r="906" spans="1:16" x14ac:dyDescent="0.3">
      <c r="A906" s="6"/>
      <c r="B906" s="7"/>
      <c r="C906" s="6"/>
      <c r="D906" s="6"/>
      <c r="E906" s="6"/>
      <c r="F906" s="25"/>
      <c r="G906" s="25" t="str">
        <f>IF(A906="","",SUMIFS(Paradas_Detalhadas!$I:$I,Paradas_Detalhadas!$A:$A,A906,Paradas_Detalhadas!$B:$B,B906,Paradas_Detalhadas!$C:$C,C906,Paradas_Detalhadas!$D:$D,E906))</f>
        <v/>
      </c>
      <c r="H906" s="26" t="str">
        <f t="shared" si="70"/>
        <v/>
      </c>
      <c r="I906" s="10"/>
      <c r="J906" s="10"/>
      <c r="K906" s="10" t="str">
        <f t="shared" si="71"/>
        <v/>
      </c>
      <c r="L906" s="10" t="str">
        <f t="shared" si="72"/>
        <v/>
      </c>
      <c r="M906" s="10" t="str">
        <f t="shared" si="73"/>
        <v/>
      </c>
      <c r="N906" s="10" t="str">
        <f t="shared" si="74"/>
        <v/>
      </c>
      <c r="O906" s="6"/>
      <c r="P906" s="6"/>
    </row>
    <row r="907" spans="1:16" x14ac:dyDescent="0.3">
      <c r="A907" s="6"/>
      <c r="B907" s="7"/>
      <c r="C907" s="6"/>
      <c r="D907" s="6"/>
      <c r="E907" s="6"/>
      <c r="F907" s="25"/>
      <c r="G907" s="25" t="str">
        <f>IF(A907="","",SUMIFS(Paradas_Detalhadas!$I:$I,Paradas_Detalhadas!$A:$A,A907,Paradas_Detalhadas!$B:$B,B907,Paradas_Detalhadas!$C:$C,C907,Paradas_Detalhadas!$D:$D,E907))</f>
        <v/>
      </c>
      <c r="H907" s="26" t="str">
        <f t="shared" si="70"/>
        <v/>
      </c>
      <c r="I907" s="10"/>
      <c r="J907" s="10"/>
      <c r="K907" s="10" t="str">
        <f t="shared" si="71"/>
        <v/>
      </c>
      <c r="L907" s="10" t="str">
        <f t="shared" si="72"/>
        <v/>
      </c>
      <c r="M907" s="10" t="str">
        <f t="shared" si="73"/>
        <v/>
      </c>
      <c r="N907" s="10" t="str">
        <f t="shared" si="74"/>
        <v/>
      </c>
      <c r="O907" s="6"/>
      <c r="P907" s="6"/>
    </row>
    <row r="908" spans="1:16" x14ac:dyDescent="0.3">
      <c r="A908" s="6"/>
      <c r="B908" s="7"/>
      <c r="C908" s="6"/>
      <c r="D908" s="6"/>
      <c r="E908" s="6"/>
      <c r="F908" s="25"/>
      <c r="G908" s="25" t="str">
        <f>IF(A908="","",SUMIFS(Paradas_Detalhadas!$I:$I,Paradas_Detalhadas!$A:$A,A908,Paradas_Detalhadas!$B:$B,B908,Paradas_Detalhadas!$C:$C,C908,Paradas_Detalhadas!$D:$D,E908))</f>
        <v/>
      </c>
      <c r="H908" s="26" t="str">
        <f t="shared" si="70"/>
        <v/>
      </c>
      <c r="I908" s="10"/>
      <c r="J908" s="10"/>
      <c r="K908" s="10" t="str">
        <f t="shared" si="71"/>
        <v/>
      </c>
      <c r="L908" s="10" t="str">
        <f t="shared" si="72"/>
        <v/>
      </c>
      <c r="M908" s="10" t="str">
        <f t="shared" si="73"/>
        <v/>
      </c>
      <c r="N908" s="10" t="str">
        <f t="shared" si="74"/>
        <v/>
      </c>
      <c r="O908" s="6"/>
      <c r="P908" s="6"/>
    </row>
    <row r="909" spans="1:16" x14ac:dyDescent="0.3">
      <c r="A909" s="6"/>
      <c r="B909" s="7"/>
      <c r="C909" s="6"/>
      <c r="D909" s="6"/>
      <c r="E909" s="6"/>
      <c r="F909" s="25"/>
      <c r="G909" s="25" t="str">
        <f>IF(A909="","",SUMIFS(Paradas_Detalhadas!$I:$I,Paradas_Detalhadas!$A:$A,A909,Paradas_Detalhadas!$B:$B,B909,Paradas_Detalhadas!$C:$C,C909,Paradas_Detalhadas!$D:$D,E909))</f>
        <v/>
      </c>
      <c r="H909" s="26" t="str">
        <f t="shared" si="70"/>
        <v/>
      </c>
      <c r="I909" s="10"/>
      <c r="J909" s="10"/>
      <c r="K909" s="10" t="str">
        <f t="shared" si="71"/>
        <v/>
      </c>
      <c r="L909" s="10" t="str">
        <f t="shared" si="72"/>
        <v/>
      </c>
      <c r="M909" s="10" t="str">
        <f t="shared" si="73"/>
        <v/>
      </c>
      <c r="N909" s="10" t="str">
        <f t="shared" si="74"/>
        <v/>
      </c>
      <c r="O909" s="6"/>
      <c r="P909" s="6"/>
    </row>
    <row r="910" spans="1:16" x14ac:dyDescent="0.3">
      <c r="A910" s="6"/>
      <c r="B910" s="7"/>
      <c r="C910" s="6"/>
      <c r="D910" s="6"/>
      <c r="E910" s="6"/>
      <c r="F910" s="25"/>
      <c r="G910" s="25" t="str">
        <f>IF(A910="","",SUMIFS(Paradas_Detalhadas!$I:$I,Paradas_Detalhadas!$A:$A,A910,Paradas_Detalhadas!$B:$B,B910,Paradas_Detalhadas!$C:$C,C910,Paradas_Detalhadas!$D:$D,E910))</f>
        <v/>
      </c>
      <c r="H910" s="26" t="str">
        <f t="shared" si="70"/>
        <v/>
      </c>
      <c r="I910" s="10"/>
      <c r="J910" s="10"/>
      <c r="K910" s="10" t="str">
        <f t="shared" si="71"/>
        <v/>
      </c>
      <c r="L910" s="10" t="str">
        <f t="shared" si="72"/>
        <v/>
      </c>
      <c r="M910" s="10" t="str">
        <f t="shared" si="73"/>
        <v/>
      </c>
      <c r="N910" s="10" t="str">
        <f t="shared" si="74"/>
        <v/>
      </c>
      <c r="O910" s="6"/>
      <c r="P910" s="6"/>
    </row>
    <row r="911" spans="1:16" x14ac:dyDescent="0.3">
      <c r="A911" s="6"/>
      <c r="B911" s="7"/>
      <c r="C911" s="6"/>
      <c r="D911" s="6"/>
      <c r="E911" s="6"/>
      <c r="F911" s="25"/>
      <c r="G911" s="25" t="str">
        <f>IF(A911="","",SUMIFS(Paradas_Detalhadas!$I:$I,Paradas_Detalhadas!$A:$A,A911,Paradas_Detalhadas!$B:$B,B911,Paradas_Detalhadas!$C:$C,C911,Paradas_Detalhadas!$D:$D,E911))</f>
        <v/>
      </c>
      <c r="H911" s="26" t="str">
        <f t="shared" si="70"/>
        <v/>
      </c>
      <c r="I911" s="10"/>
      <c r="J911" s="10"/>
      <c r="K911" s="10" t="str">
        <f t="shared" si="71"/>
        <v/>
      </c>
      <c r="L911" s="10" t="str">
        <f t="shared" si="72"/>
        <v/>
      </c>
      <c r="M911" s="10" t="str">
        <f t="shared" si="73"/>
        <v/>
      </c>
      <c r="N911" s="10" t="str">
        <f t="shared" si="74"/>
        <v/>
      </c>
      <c r="O911" s="6"/>
      <c r="P911" s="6"/>
    </row>
    <row r="912" spans="1:16" x14ac:dyDescent="0.3">
      <c r="A912" s="6"/>
      <c r="B912" s="7"/>
      <c r="C912" s="6"/>
      <c r="D912" s="6"/>
      <c r="E912" s="6"/>
      <c r="F912" s="25"/>
      <c r="G912" s="25" t="str">
        <f>IF(A912="","",SUMIFS(Paradas_Detalhadas!$I:$I,Paradas_Detalhadas!$A:$A,A912,Paradas_Detalhadas!$B:$B,B912,Paradas_Detalhadas!$C:$C,C912,Paradas_Detalhadas!$D:$D,E912))</f>
        <v/>
      </c>
      <c r="H912" s="26" t="str">
        <f t="shared" si="70"/>
        <v/>
      </c>
      <c r="I912" s="10"/>
      <c r="J912" s="10"/>
      <c r="K912" s="10" t="str">
        <f t="shared" si="71"/>
        <v/>
      </c>
      <c r="L912" s="10" t="str">
        <f t="shared" si="72"/>
        <v/>
      </c>
      <c r="M912" s="10" t="str">
        <f t="shared" si="73"/>
        <v/>
      </c>
      <c r="N912" s="10" t="str">
        <f t="shared" si="74"/>
        <v/>
      </c>
      <c r="O912" s="6"/>
      <c r="P912" s="6"/>
    </row>
    <row r="913" spans="1:16" x14ac:dyDescent="0.3">
      <c r="A913" s="6"/>
      <c r="B913" s="7"/>
      <c r="C913" s="6"/>
      <c r="D913" s="6"/>
      <c r="E913" s="6"/>
      <c r="F913" s="25"/>
      <c r="G913" s="25" t="str">
        <f>IF(A913="","",SUMIFS(Paradas_Detalhadas!$I:$I,Paradas_Detalhadas!$A:$A,A913,Paradas_Detalhadas!$B:$B,B913,Paradas_Detalhadas!$C:$C,C913,Paradas_Detalhadas!$D:$D,E913))</f>
        <v/>
      </c>
      <c r="H913" s="26" t="str">
        <f t="shared" si="70"/>
        <v/>
      </c>
      <c r="I913" s="10"/>
      <c r="J913" s="10"/>
      <c r="K913" s="10" t="str">
        <f t="shared" si="71"/>
        <v/>
      </c>
      <c r="L913" s="10" t="str">
        <f t="shared" si="72"/>
        <v/>
      </c>
      <c r="M913" s="10" t="str">
        <f t="shared" si="73"/>
        <v/>
      </c>
      <c r="N913" s="10" t="str">
        <f t="shared" si="74"/>
        <v/>
      </c>
      <c r="O913" s="6"/>
      <c r="P913" s="6"/>
    </row>
    <row r="914" spans="1:16" x14ac:dyDescent="0.3">
      <c r="A914" s="6"/>
      <c r="B914" s="7"/>
      <c r="C914" s="6"/>
      <c r="D914" s="6"/>
      <c r="E914" s="6"/>
      <c r="F914" s="25"/>
      <c r="G914" s="25" t="str">
        <f>IF(A914="","",SUMIFS(Paradas_Detalhadas!$I:$I,Paradas_Detalhadas!$A:$A,A914,Paradas_Detalhadas!$B:$B,B914,Paradas_Detalhadas!$C:$C,C914,Paradas_Detalhadas!$D:$D,E914))</f>
        <v/>
      </c>
      <c r="H914" s="26" t="str">
        <f t="shared" si="70"/>
        <v/>
      </c>
      <c r="I914" s="10"/>
      <c r="J914" s="10"/>
      <c r="K914" s="10" t="str">
        <f t="shared" si="71"/>
        <v/>
      </c>
      <c r="L914" s="10" t="str">
        <f t="shared" si="72"/>
        <v/>
      </c>
      <c r="M914" s="10" t="str">
        <f t="shared" si="73"/>
        <v/>
      </c>
      <c r="N914" s="10" t="str">
        <f t="shared" si="74"/>
        <v/>
      </c>
      <c r="O914" s="6"/>
      <c r="P914" s="6"/>
    </row>
    <row r="915" spans="1:16" x14ac:dyDescent="0.3">
      <c r="A915" s="6"/>
      <c r="B915" s="7"/>
      <c r="C915" s="6"/>
      <c r="D915" s="6"/>
      <c r="E915" s="6"/>
      <c r="F915" s="25"/>
      <c r="G915" s="25" t="str">
        <f>IF(A915="","",SUMIFS(Paradas_Detalhadas!$I:$I,Paradas_Detalhadas!$A:$A,A915,Paradas_Detalhadas!$B:$B,B915,Paradas_Detalhadas!$C:$C,C915,Paradas_Detalhadas!$D:$D,E915))</f>
        <v/>
      </c>
      <c r="H915" s="26" t="str">
        <f t="shared" si="70"/>
        <v/>
      </c>
      <c r="I915" s="10"/>
      <c r="J915" s="10"/>
      <c r="K915" s="10" t="str">
        <f t="shared" si="71"/>
        <v/>
      </c>
      <c r="L915" s="10" t="str">
        <f t="shared" si="72"/>
        <v/>
      </c>
      <c r="M915" s="10" t="str">
        <f t="shared" si="73"/>
        <v/>
      </c>
      <c r="N915" s="10" t="str">
        <f t="shared" si="74"/>
        <v/>
      </c>
      <c r="O915" s="6"/>
      <c r="P915" s="6"/>
    </row>
    <row r="916" spans="1:16" x14ac:dyDescent="0.3">
      <c r="A916" s="6"/>
      <c r="B916" s="7"/>
      <c r="C916" s="6"/>
      <c r="D916" s="6"/>
      <c r="E916" s="6"/>
      <c r="F916" s="25"/>
      <c r="G916" s="25" t="str">
        <f>IF(A916="","",SUMIFS(Paradas_Detalhadas!$I:$I,Paradas_Detalhadas!$A:$A,A916,Paradas_Detalhadas!$B:$B,B916,Paradas_Detalhadas!$C:$C,C916,Paradas_Detalhadas!$D:$D,E916))</f>
        <v/>
      </c>
      <c r="H916" s="26" t="str">
        <f t="shared" si="70"/>
        <v/>
      </c>
      <c r="I916" s="10"/>
      <c r="J916" s="10"/>
      <c r="K916" s="10" t="str">
        <f t="shared" si="71"/>
        <v/>
      </c>
      <c r="L916" s="10" t="str">
        <f t="shared" si="72"/>
        <v/>
      </c>
      <c r="M916" s="10" t="str">
        <f t="shared" si="73"/>
        <v/>
      </c>
      <c r="N916" s="10" t="str">
        <f t="shared" si="74"/>
        <v/>
      </c>
      <c r="O916" s="6"/>
      <c r="P916" s="6"/>
    </row>
    <row r="917" spans="1:16" x14ac:dyDescent="0.3">
      <c r="A917" s="6"/>
      <c r="B917" s="7"/>
      <c r="C917" s="6"/>
      <c r="D917" s="6"/>
      <c r="E917" s="6"/>
      <c r="F917" s="25"/>
      <c r="G917" s="25" t="str">
        <f>IF(A917="","",SUMIFS(Paradas_Detalhadas!$I:$I,Paradas_Detalhadas!$A:$A,A917,Paradas_Detalhadas!$B:$B,B917,Paradas_Detalhadas!$C:$C,C917,Paradas_Detalhadas!$D:$D,E917))</f>
        <v/>
      </c>
      <c r="H917" s="26" t="str">
        <f t="shared" si="70"/>
        <v/>
      </c>
      <c r="I917" s="10"/>
      <c r="J917" s="10"/>
      <c r="K917" s="10" t="str">
        <f t="shared" si="71"/>
        <v/>
      </c>
      <c r="L917" s="10" t="str">
        <f t="shared" si="72"/>
        <v/>
      </c>
      <c r="M917" s="10" t="str">
        <f t="shared" si="73"/>
        <v/>
      </c>
      <c r="N917" s="10" t="str">
        <f t="shared" si="74"/>
        <v/>
      </c>
      <c r="O917" s="6"/>
      <c r="P917" s="6"/>
    </row>
    <row r="918" spans="1:16" x14ac:dyDescent="0.3">
      <c r="A918" s="6"/>
      <c r="B918" s="7"/>
      <c r="C918" s="6"/>
      <c r="D918" s="6"/>
      <c r="E918" s="6"/>
      <c r="F918" s="25"/>
      <c r="G918" s="25" t="str">
        <f>IF(A918="","",SUMIFS(Paradas_Detalhadas!$I:$I,Paradas_Detalhadas!$A:$A,A918,Paradas_Detalhadas!$B:$B,B918,Paradas_Detalhadas!$C:$C,C918,Paradas_Detalhadas!$D:$D,E918))</f>
        <v/>
      </c>
      <c r="H918" s="26" t="str">
        <f t="shared" si="70"/>
        <v/>
      </c>
      <c r="I918" s="10"/>
      <c r="J918" s="10"/>
      <c r="K918" s="10" t="str">
        <f t="shared" si="71"/>
        <v/>
      </c>
      <c r="L918" s="10" t="str">
        <f t="shared" si="72"/>
        <v/>
      </c>
      <c r="M918" s="10" t="str">
        <f t="shared" si="73"/>
        <v/>
      </c>
      <c r="N918" s="10" t="str">
        <f t="shared" si="74"/>
        <v/>
      </c>
      <c r="O918" s="6"/>
      <c r="P918" s="6"/>
    </row>
    <row r="919" spans="1:16" x14ac:dyDescent="0.3">
      <c r="A919" s="6"/>
      <c r="B919" s="7"/>
      <c r="C919" s="6"/>
      <c r="D919" s="6"/>
      <c r="E919" s="6"/>
      <c r="F919" s="25"/>
      <c r="G919" s="25" t="str">
        <f>IF(A919="","",SUMIFS(Paradas_Detalhadas!$I:$I,Paradas_Detalhadas!$A:$A,A919,Paradas_Detalhadas!$B:$B,B919,Paradas_Detalhadas!$C:$C,C919,Paradas_Detalhadas!$D:$D,E919))</f>
        <v/>
      </c>
      <c r="H919" s="26" t="str">
        <f t="shared" si="70"/>
        <v/>
      </c>
      <c r="I919" s="10"/>
      <c r="J919" s="10"/>
      <c r="K919" s="10" t="str">
        <f t="shared" si="71"/>
        <v/>
      </c>
      <c r="L919" s="10" t="str">
        <f t="shared" si="72"/>
        <v/>
      </c>
      <c r="M919" s="10" t="str">
        <f t="shared" si="73"/>
        <v/>
      </c>
      <c r="N919" s="10" t="str">
        <f t="shared" si="74"/>
        <v/>
      </c>
      <c r="O919" s="6"/>
      <c r="P919" s="6"/>
    </row>
    <row r="920" spans="1:16" x14ac:dyDescent="0.3">
      <c r="A920" s="6"/>
      <c r="B920" s="7"/>
      <c r="C920" s="6"/>
      <c r="D920" s="6"/>
      <c r="E920" s="6"/>
      <c r="F920" s="25"/>
      <c r="G920" s="25" t="str">
        <f>IF(A920="","",SUMIFS(Paradas_Detalhadas!$I:$I,Paradas_Detalhadas!$A:$A,A920,Paradas_Detalhadas!$B:$B,B920,Paradas_Detalhadas!$C:$C,C920,Paradas_Detalhadas!$D:$D,E920))</f>
        <v/>
      </c>
      <c r="H920" s="26" t="str">
        <f t="shared" si="70"/>
        <v/>
      </c>
      <c r="I920" s="10"/>
      <c r="J920" s="10"/>
      <c r="K920" s="10" t="str">
        <f t="shared" si="71"/>
        <v/>
      </c>
      <c r="L920" s="10" t="str">
        <f t="shared" si="72"/>
        <v/>
      </c>
      <c r="M920" s="10" t="str">
        <f t="shared" si="73"/>
        <v/>
      </c>
      <c r="N920" s="10" t="str">
        <f t="shared" si="74"/>
        <v/>
      </c>
      <c r="O920" s="6"/>
      <c r="P920" s="6"/>
    </row>
    <row r="921" spans="1:16" x14ac:dyDescent="0.3">
      <c r="A921" s="6"/>
      <c r="B921" s="7"/>
      <c r="C921" s="6"/>
      <c r="D921" s="6"/>
      <c r="E921" s="6"/>
      <c r="F921" s="25"/>
      <c r="G921" s="25" t="str">
        <f>IF(A921="","",SUMIFS(Paradas_Detalhadas!$I:$I,Paradas_Detalhadas!$A:$A,A921,Paradas_Detalhadas!$B:$B,B921,Paradas_Detalhadas!$C:$C,C921,Paradas_Detalhadas!$D:$D,E921))</f>
        <v/>
      </c>
      <c r="H921" s="26" t="str">
        <f t="shared" si="70"/>
        <v/>
      </c>
      <c r="I921" s="10"/>
      <c r="J921" s="10"/>
      <c r="K921" s="10" t="str">
        <f t="shared" si="71"/>
        <v/>
      </c>
      <c r="L921" s="10" t="str">
        <f t="shared" si="72"/>
        <v/>
      </c>
      <c r="M921" s="10" t="str">
        <f t="shared" si="73"/>
        <v/>
      </c>
      <c r="N921" s="10" t="str">
        <f t="shared" si="74"/>
        <v/>
      </c>
      <c r="O921" s="6"/>
      <c r="P921" s="6"/>
    </row>
    <row r="922" spans="1:16" x14ac:dyDescent="0.3">
      <c r="A922" s="6"/>
      <c r="B922" s="7"/>
      <c r="C922" s="6"/>
      <c r="D922" s="6"/>
      <c r="E922" s="6"/>
      <c r="F922" s="25"/>
      <c r="G922" s="25" t="str">
        <f>IF(A922="","",SUMIFS(Paradas_Detalhadas!$I:$I,Paradas_Detalhadas!$A:$A,A922,Paradas_Detalhadas!$B:$B,B922,Paradas_Detalhadas!$C:$C,C922,Paradas_Detalhadas!$D:$D,E922))</f>
        <v/>
      </c>
      <c r="H922" s="26" t="str">
        <f t="shared" si="70"/>
        <v/>
      </c>
      <c r="I922" s="10"/>
      <c r="J922" s="10"/>
      <c r="K922" s="10" t="str">
        <f t="shared" si="71"/>
        <v/>
      </c>
      <c r="L922" s="10" t="str">
        <f t="shared" si="72"/>
        <v/>
      </c>
      <c r="M922" s="10" t="str">
        <f t="shared" si="73"/>
        <v/>
      </c>
      <c r="N922" s="10" t="str">
        <f t="shared" si="74"/>
        <v/>
      </c>
      <c r="O922" s="6"/>
      <c r="P922" s="6"/>
    </row>
    <row r="923" spans="1:16" x14ac:dyDescent="0.3">
      <c r="A923" s="6"/>
      <c r="B923" s="7"/>
      <c r="C923" s="6"/>
      <c r="D923" s="6"/>
      <c r="E923" s="6"/>
      <c r="F923" s="25"/>
      <c r="G923" s="25" t="str">
        <f>IF(A923="","",SUMIFS(Paradas_Detalhadas!$I:$I,Paradas_Detalhadas!$A:$A,A923,Paradas_Detalhadas!$B:$B,B923,Paradas_Detalhadas!$C:$C,C923,Paradas_Detalhadas!$D:$D,E923))</f>
        <v/>
      </c>
      <c r="H923" s="26" t="str">
        <f t="shared" si="70"/>
        <v/>
      </c>
      <c r="I923" s="10"/>
      <c r="J923" s="10"/>
      <c r="K923" s="10" t="str">
        <f t="shared" si="71"/>
        <v/>
      </c>
      <c r="L923" s="10" t="str">
        <f t="shared" si="72"/>
        <v/>
      </c>
      <c r="M923" s="10" t="str">
        <f t="shared" si="73"/>
        <v/>
      </c>
      <c r="N923" s="10" t="str">
        <f t="shared" si="74"/>
        <v/>
      </c>
      <c r="O923" s="6"/>
      <c r="P923" s="6"/>
    </row>
    <row r="924" spans="1:16" x14ac:dyDescent="0.3">
      <c r="A924" s="6"/>
      <c r="B924" s="7"/>
      <c r="C924" s="6"/>
      <c r="D924" s="6"/>
      <c r="E924" s="6"/>
      <c r="F924" s="25"/>
      <c r="G924" s="25" t="str">
        <f>IF(A924="","",SUMIFS(Paradas_Detalhadas!$I:$I,Paradas_Detalhadas!$A:$A,A924,Paradas_Detalhadas!$B:$B,B924,Paradas_Detalhadas!$C:$C,C924,Paradas_Detalhadas!$D:$D,E924))</f>
        <v/>
      </c>
      <c r="H924" s="26" t="str">
        <f t="shared" si="70"/>
        <v/>
      </c>
      <c r="I924" s="10"/>
      <c r="J924" s="10"/>
      <c r="K924" s="10" t="str">
        <f t="shared" si="71"/>
        <v/>
      </c>
      <c r="L924" s="10" t="str">
        <f t="shared" si="72"/>
        <v/>
      </c>
      <c r="M924" s="10" t="str">
        <f t="shared" si="73"/>
        <v/>
      </c>
      <c r="N924" s="10" t="str">
        <f t="shared" si="74"/>
        <v/>
      </c>
      <c r="O924" s="6"/>
      <c r="P924" s="6"/>
    </row>
    <row r="925" spans="1:16" x14ac:dyDescent="0.3">
      <c r="A925" s="6"/>
      <c r="B925" s="7"/>
      <c r="C925" s="6"/>
      <c r="D925" s="6"/>
      <c r="E925" s="6"/>
      <c r="F925" s="25"/>
      <c r="G925" s="25" t="str">
        <f>IF(A925="","",SUMIFS(Paradas_Detalhadas!$I:$I,Paradas_Detalhadas!$A:$A,A925,Paradas_Detalhadas!$B:$B,B925,Paradas_Detalhadas!$C:$C,C925,Paradas_Detalhadas!$D:$D,E925))</f>
        <v/>
      </c>
      <c r="H925" s="26" t="str">
        <f t="shared" si="70"/>
        <v/>
      </c>
      <c r="I925" s="10"/>
      <c r="J925" s="10"/>
      <c r="K925" s="10" t="str">
        <f t="shared" si="71"/>
        <v/>
      </c>
      <c r="L925" s="10" t="str">
        <f t="shared" si="72"/>
        <v/>
      </c>
      <c r="M925" s="10" t="str">
        <f t="shared" si="73"/>
        <v/>
      </c>
      <c r="N925" s="10" t="str">
        <f t="shared" si="74"/>
        <v/>
      </c>
      <c r="O925" s="6"/>
      <c r="P925" s="6"/>
    </row>
    <row r="926" spans="1:16" x14ac:dyDescent="0.3">
      <c r="A926" s="6"/>
      <c r="B926" s="7"/>
      <c r="C926" s="6"/>
      <c r="D926" s="6"/>
      <c r="E926" s="6"/>
      <c r="F926" s="25"/>
      <c r="G926" s="25" t="str">
        <f>IF(A926="","",SUMIFS(Paradas_Detalhadas!$I:$I,Paradas_Detalhadas!$A:$A,A926,Paradas_Detalhadas!$B:$B,B926,Paradas_Detalhadas!$C:$C,C926,Paradas_Detalhadas!$D:$D,E926))</f>
        <v/>
      </c>
      <c r="H926" s="26" t="str">
        <f t="shared" si="70"/>
        <v/>
      </c>
      <c r="I926" s="10"/>
      <c r="J926" s="10"/>
      <c r="K926" s="10" t="str">
        <f t="shared" si="71"/>
        <v/>
      </c>
      <c r="L926" s="10" t="str">
        <f t="shared" si="72"/>
        <v/>
      </c>
      <c r="M926" s="10" t="str">
        <f t="shared" si="73"/>
        <v/>
      </c>
      <c r="N926" s="10" t="str">
        <f t="shared" si="74"/>
        <v/>
      </c>
      <c r="O926" s="6"/>
      <c r="P926" s="6"/>
    </row>
    <row r="927" spans="1:16" x14ac:dyDescent="0.3">
      <c r="A927" s="6"/>
      <c r="B927" s="7"/>
      <c r="C927" s="6"/>
      <c r="D927" s="6"/>
      <c r="E927" s="6"/>
      <c r="F927" s="25"/>
      <c r="G927" s="25" t="str">
        <f>IF(A927="","",SUMIFS(Paradas_Detalhadas!$I:$I,Paradas_Detalhadas!$A:$A,A927,Paradas_Detalhadas!$B:$B,B927,Paradas_Detalhadas!$C:$C,C927,Paradas_Detalhadas!$D:$D,E927))</f>
        <v/>
      </c>
      <c r="H927" s="26" t="str">
        <f t="shared" si="70"/>
        <v/>
      </c>
      <c r="I927" s="10"/>
      <c r="J927" s="10"/>
      <c r="K927" s="10" t="str">
        <f t="shared" si="71"/>
        <v/>
      </c>
      <c r="L927" s="10" t="str">
        <f t="shared" si="72"/>
        <v/>
      </c>
      <c r="M927" s="10" t="str">
        <f t="shared" si="73"/>
        <v/>
      </c>
      <c r="N927" s="10" t="str">
        <f t="shared" si="74"/>
        <v/>
      </c>
      <c r="O927" s="6"/>
      <c r="P927" s="6"/>
    </row>
    <row r="928" spans="1:16" x14ac:dyDescent="0.3">
      <c r="A928" s="6"/>
      <c r="B928" s="7"/>
      <c r="C928" s="6"/>
      <c r="D928" s="6"/>
      <c r="E928" s="6"/>
      <c r="F928" s="25"/>
      <c r="G928" s="25" t="str">
        <f>IF(A928="","",SUMIFS(Paradas_Detalhadas!$I:$I,Paradas_Detalhadas!$A:$A,A928,Paradas_Detalhadas!$B:$B,B928,Paradas_Detalhadas!$C:$C,C928,Paradas_Detalhadas!$D:$D,E928))</f>
        <v/>
      </c>
      <c r="H928" s="26" t="str">
        <f t="shared" si="70"/>
        <v/>
      </c>
      <c r="I928" s="10"/>
      <c r="J928" s="10"/>
      <c r="K928" s="10" t="str">
        <f t="shared" si="71"/>
        <v/>
      </c>
      <c r="L928" s="10" t="str">
        <f t="shared" si="72"/>
        <v/>
      </c>
      <c r="M928" s="10" t="str">
        <f t="shared" si="73"/>
        <v/>
      </c>
      <c r="N928" s="10" t="str">
        <f t="shared" si="74"/>
        <v/>
      </c>
      <c r="O928" s="6"/>
      <c r="P928" s="6"/>
    </row>
    <row r="929" spans="1:16" x14ac:dyDescent="0.3">
      <c r="A929" s="6"/>
      <c r="B929" s="7"/>
      <c r="C929" s="6"/>
      <c r="D929" s="6"/>
      <c r="E929" s="6"/>
      <c r="F929" s="25"/>
      <c r="G929" s="25" t="str">
        <f>IF(A929="","",SUMIFS(Paradas_Detalhadas!$I:$I,Paradas_Detalhadas!$A:$A,A929,Paradas_Detalhadas!$B:$B,B929,Paradas_Detalhadas!$C:$C,C929,Paradas_Detalhadas!$D:$D,E929))</f>
        <v/>
      </c>
      <c r="H929" s="26" t="str">
        <f t="shared" si="70"/>
        <v/>
      </c>
      <c r="I929" s="10"/>
      <c r="J929" s="10"/>
      <c r="K929" s="10" t="str">
        <f t="shared" si="71"/>
        <v/>
      </c>
      <c r="L929" s="10" t="str">
        <f t="shared" si="72"/>
        <v/>
      </c>
      <c r="M929" s="10" t="str">
        <f t="shared" si="73"/>
        <v/>
      </c>
      <c r="N929" s="10" t="str">
        <f t="shared" si="74"/>
        <v/>
      </c>
      <c r="O929" s="6"/>
      <c r="P929" s="6"/>
    </row>
    <row r="930" spans="1:16" x14ac:dyDescent="0.3">
      <c r="A930" s="6"/>
      <c r="B930" s="7"/>
      <c r="C930" s="6"/>
      <c r="D930" s="6"/>
      <c r="E930" s="6"/>
      <c r="F930" s="25"/>
      <c r="G930" s="25" t="str">
        <f>IF(A930="","",SUMIFS(Paradas_Detalhadas!$I:$I,Paradas_Detalhadas!$A:$A,A930,Paradas_Detalhadas!$B:$B,B930,Paradas_Detalhadas!$C:$C,C930,Paradas_Detalhadas!$D:$D,E930))</f>
        <v/>
      </c>
      <c r="H930" s="26" t="str">
        <f t="shared" si="70"/>
        <v/>
      </c>
      <c r="I930" s="10"/>
      <c r="J930" s="10"/>
      <c r="K930" s="10" t="str">
        <f t="shared" si="71"/>
        <v/>
      </c>
      <c r="L930" s="10" t="str">
        <f t="shared" si="72"/>
        <v/>
      </c>
      <c r="M930" s="10" t="str">
        <f t="shared" si="73"/>
        <v/>
      </c>
      <c r="N930" s="10" t="str">
        <f t="shared" si="74"/>
        <v/>
      </c>
      <c r="O930" s="6"/>
      <c r="P930" s="6"/>
    </row>
    <row r="931" spans="1:16" x14ac:dyDescent="0.3">
      <c r="A931" s="6"/>
      <c r="B931" s="7"/>
      <c r="C931" s="6"/>
      <c r="D931" s="6"/>
      <c r="E931" s="6"/>
      <c r="F931" s="25"/>
      <c r="G931" s="25" t="str">
        <f>IF(A931="","",SUMIFS(Paradas_Detalhadas!$I:$I,Paradas_Detalhadas!$A:$A,A931,Paradas_Detalhadas!$B:$B,B931,Paradas_Detalhadas!$C:$C,C931,Paradas_Detalhadas!$D:$D,E931))</f>
        <v/>
      </c>
      <c r="H931" s="26" t="str">
        <f t="shared" si="70"/>
        <v/>
      </c>
      <c r="I931" s="10"/>
      <c r="J931" s="10"/>
      <c r="K931" s="10" t="str">
        <f t="shared" si="71"/>
        <v/>
      </c>
      <c r="L931" s="10" t="str">
        <f t="shared" si="72"/>
        <v/>
      </c>
      <c r="M931" s="10" t="str">
        <f t="shared" si="73"/>
        <v/>
      </c>
      <c r="N931" s="10" t="str">
        <f t="shared" si="74"/>
        <v/>
      </c>
      <c r="O931" s="6"/>
      <c r="P931" s="6"/>
    </row>
    <row r="932" spans="1:16" x14ac:dyDescent="0.3">
      <c r="A932" s="6"/>
      <c r="B932" s="7"/>
      <c r="C932" s="6"/>
      <c r="D932" s="6"/>
      <c r="E932" s="6"/>
      <c r="F932" s="25"/>
      <c r="G932" s="25" t="str">
        <f>IF(A932="","",SUMIFS(Paradas_Detalhadas!$I:$I,Paradas_Detalhadas!$A:$A,A932,Paradas_Detalhadas!$B:$B,B932,Paradas_Detalhadas!$C:$C,C932,Paradas_Detalhadas!$D:$D,E932))</f>
        <v/>
      </c>
      <c r="H932" s="26" t="str">
        <f t="shared" si="70"/>
        <v/>
      </c>
      <c r="I932" s="10"/>
      <c r="J932" s="10"/>
      <c r="K932" s="10" t="str">
        <f t="shared" si="71"/>
        <v/>
      </c>
      <c r="L932" s="10" t="str">
        <f t="shared" si="72"/>
        <v/>
      </c>
      <c r="M932" s="10" t="str">
        <f t="shared" si="73"/>
        <v/>
      </c>
      <c r="N932" s="10" t="str">
        <f t="shared" si="74"/>
        <v/>
      </c>
      <c r="O932" s="6"/>
      <c r="P932" s="6"/>
    </row>
    <row r="933" spans="1:16" x14ac:dyDescent="0.3">
      <c r="A933" s="6"/>
      <c r="B933" s="7"/>
      <c r="C933" s="6"/>
      <c r="D933" s="6"/>
      <c r="E933" s="6"/>
      <c r="F933" s="25"/>
      <c r="G933" s="25" t="str">
        <f>IF(A933="","",SUMIFS(Paradas_Detalhadas!$I:$I,Paradas_Detalhadas!$A:$A,A933,Paradas_Detalhadas!$B:$B,B933,Paradas_Detalhadas!$C:$C,C933,Paradas_Detalhadas!$D:$D,E933))</f>
        <v/>
      </c>
      <c r="H933" s="26" t="str">
        <f t="shared" si="70"/>
        <v/>
      </c>
      <c r="I933" s="10"/>
      <c r="J933" s="10"/>
      <c r="K933" s="10" t="str">
        <f t="shared" si="71"/>
        <v/>
      </c>
      <c r="L933" s="10" t="str">
        <f t="shared" si="72"/>
        <v/>
      </c>
      <c r="M933" s="10" t="str">
        <f t="shared" si="73"/>
        <v/>
      </c>
      <c r="N933" s="10" t="str">
        <f t="shared" si="74"/>
        <v/>
      </c>
      <c r="O933" s="6"/>
      <c r="P933" s="6"/>
    </row>
    <row r="934" spans="1:16" x14ac:dyDescent="0.3">
      <c r="A934" s="6"/>
      <c r="B934" s="7"/>
      <c r="C934" s="6"/>
      <c r="D934" s="6"/>
      <c r="E934" s="6"/>
      <c r="F934" s="25"/>
      <c r="G934" s="25" t="str">
        <f>IF(A934="","",SUMIFS(Paradas_Detalhadas!$I:$I,Paradas_Detalhadas!$A:$A,A934,Paradas_Detalhadas!$B:$B,B934,Paradas_Detalhadas!$C:$C,C934,Paradas_Detalhadas!$D:$D,E934))</f>
        <v/>
      </c>
      <c r="H934" s="26" t="str">
        <f t="shared" si="70"/>
        <v/>
      </c>
      <c r="I934" s="10"/>
      <c r="J934" s="10"/>
      <c r="K934" s="10" t="str">
        <f t="shared" si="71"/>
        <v/>
      </c>
      <c r="L934" s="10" t="str">
        <f t="shared" si="72"/>
        <v/>
      </c>
      <c r="M934" s="10" t="str">
        <f t="shared" si="73"/>
        <v/>
      </c>
      <c r="N934" s="10" t="str">
        <f t="shared" si="74"/>
        <v/>
      </c>
      <c r="O934" s="6"/>
      <c r="P934" s="6"/>
    </row>
    <row r="935" spans="1:16" x14ac:dyDescent="0.3">
      <c r="A935" s="6"/>
      <c r="B935" s="7"/>
      <c r="C935" s="6"/>
      <c r="D935" s="6"/>
      <c r="E935" s="6"/>
      <c r="F935" s="25"/>
      <c r="G935" s="25" t="str">
        <f>IF(A935="","",SUMIFS(Paradas_Detalhadas!$I:$I,Paradas_Detalhadas!$A:$A,A935,Paradas_Detalhadas!$B:$B,B935,Paradas_Detalhadas!$C:$C,C935,Paradas_Detalhadas!$D:$D,E935))</f>
        <v/>
      </c>
      <c r="H935" s="26" t="str">
        <f t="shared" si="70"/>
        <v/>
      </c>
      <c r="I935" s="10"/>
      <c r="J935" s="10"/>
      <c r="K935" s="10" t="str">
        <f t="shared" si="71"/>
        <v/>
      </c>
      <c r="L935" s="10" t="str">
        <f t="shared" si="72"/>
        <v/>
      </c>
      <c r="M935" s="10" t="str">
        <f t="shared" si="73"/>
        <v/>
      </c>
      <c r="N935" s="10" t="str">
        <f t="shared" si="74"/>
        <v/>
      </c>
      <c r="O935" s="6"/>
      <c r="P935" s="6"/>
    </row>
    <row r="936" spans="1:16" x14ac:dyDescent="0.3">
      <c r="A936" s="6"/>
      <c r="B936" s="7"/>
      <c r="C936" s="6"/>
      <c r="D936" s="6"/>
      <c r="E936" s="6"/>
      <c r="F936" s="25"/>
      <c r="G936" s="25" t="str">
        <f>IF(A936="","",SUMIFS(Paradas_Detalhadas!$I:$I,Paradas_Detalhadas!$A:$A,A936,Paradas_Detalhadas!$B:$B,B936,Paradas_Detalhadas!$C:$C,C936,Paradas_Detalhadas!$D:$D,E936))</f>
        <v/>
      </c>
      <c r="H936" s="26" t="str">
        <f t="shared" si="70"/>
        <v/>
      </c>
      <c r="I936" s="10"/>
      <c r="J936" s="10"/>
      <c r="K936" s="10" t="str">
        <f t="shared" si="71"/>
        <v/>
      </c>
      <c r="L936" s="10" t="str">
        <f t="shared" si="72"/>
        <v/>
      </c>
      <c r="M936" s="10" t="str">
        <f t="shared" si="73"/>
        <v/>
      </c>
      <c r="N936" s="10" t="str">
        <f t="shared" si="74"/>
        <v/>
      </c>
      <c r="O936" s="6"/>
      <c r="P936" s="6"/>
    </row>
    <row r="937" spans="1:16" x14ac:dyDescent="0.3">
      <c r="A937" s="6"/>
      <c r="B937" s="7"/>
      <c r="C937" s="6"/>
      <c r="D937" s="6"/>
      <c r="E937" s="6"/>
      <c r="F937" s="25"/>
      <c r="G937" s="25" t="str">
        <f>IF(A937="","",SUMIFS(Paradas_Detalhadas!$I:$I,Paradas_Detalhadas!$A:$A,A937,Paradas_Detalhadas!$B:$B,B937,Paradas_Detalhadas!$C:$C,C937,Paradas_Detalhadas!$D:$D,E937))</f>
        <v/>
      </c>
      <c r="H937" s="26" t="str">
        <f t="shared" si="70"/>
        <v/>
      </c>
      <c r="I937" s="10"/>
      <c r="J937" s="10"/>
      <c r="K937" s="10" t="str">
        <f t="shared" si="71"/>
        <v/>
      </c>
      <c r="L937" s="10" t="str">
        <f t="shared" si="72"/>
        <v/>
      </c>
      <c r="M937" s="10" t="str">
        <f t="shared" si="73"/>
        <v/>
      </c>
      <c r="N937" s="10" t="str">
        <f t="shared" si="74"/>
        <v/>
      </c>
      <c r="O937" s="6"/>
      <c r="P937" s="6"/>
    </row>
    <row r="938" spans="1:16" x14ac:dyDescent="0.3">
      <c r="A938" s="6"/>
      <c r="B938" s="7"/>
      <c r="C938" s="6"/>
      <c r="D938" s="6"/>
      <c r="E938" s="6"/>
      <c r="F938" s="25"/>
      <c r="G938" s="25" t="str">
        <f>IF(A938="","",SUMIFS(Paradas_Detalhadas!$I:$I,Paradas_Detalhadas!$A:$A,A938,Paradas_Detalhadas!$B:$B,B938,Paradas_Detalhadas!$C:$C,C938,Paradas_Detalhadas!$D:$D,E938))</f>
        <v/>
      </c>
      <c r="H938" s="26" t="str">
        <f t="shared" si="70"/>
        <v/>
      </c>
      <c r="I938" s="10"/>
      <c r="J938" s="10"/>
      <c r="K938" s="10" t="str">
        <f t="shared" si="71"/>
        <v/>
      </c>
      <c r="L938" s="10" t="str">
        <f t="shared" si="72"/>
        <v/>
      </c>
      <c r="M938" s="10" t="str">
        <f t="shared" si="73"/>
        <v/>
      </c>
      <c r="N938" s="10" t="str">
        <f t="shared" si="74"/>
        <v/>
      </c>
      <c r="O938" s="6"/>
      <c r="P938" s="6"/>
    </row>
    <row r="939" spans="1:16" x14ac:dyDescent="0.3">
      <c r="A939" s="6"/>
      <c r="B939" s="7"/>
      <c r="C939" s="6"/>
      <c r="D939" s="6"/>
      <c r="E939" s="6"/>
      <c r="F939" s="25"/>
      <c r="G939" s="25" t="str">
        <f>IF(A939="","",SUMIFS(Paradas_Detalhadas!$I:$I,Paradas_Detalhadas!$A:$A,A939,Paradas_Detalhadas!$B:$B,B939,Paradas_Detalhadas!$C:$C,C939,Paradas_Detalhadas!$D:$D,E939))</f>
        <v/>
      </c>
      <c r="H939" s="26" t="str">
        <f t="shared" si="70"/>
        <v/>
      </c>
      <c r="I939" s="10"/>
      <c r="J939" s="10"/>
      <c r="K939" s="10" t="str">
        <f t="shared" si="71"/>
        <v/>
      </c>
      <c r="L939" s="10" t="str">
        <f t="shared" si="72"/>
        <v/>
      </c>
      <c r="M939" s="10" t="str">
        <f t="shared" si="73"/>
        <v/>
      </c>
      <c r="N939" s="10" t="str">
        <f t="shared" si="74"/>
        <v/>
      </c>
      <c r="O939" s="6"/>
      <c r="P939" s="6"/>
    </row>
    <row r="940" spans="1:16" x14ac:dyDescent="0.3">
      <c r="A940" s="6"/>
      <c r="B940" s="7"/>
      <c r="C940" s="6"/>
      <c r="D940" s="6"/>
      <c r="E940" s="6"/>
      <c r="F940" s="25"/>
      <c r="G940" s="25" t="str">
        <f>IF(A940="","",SUMIFS(Paradas_Detalhadas!$I:$I,Paradas_Detalhadas!$A:$A,A940,Paradas_Detalhadas!$B:$B,B940,Paradas_Detalhadas!$C:$C,C940,Paradas_Detalhadas!$D:$D,E940))</f>
        <v/>
      </c>
      <c r="H940" s="26" t="str">
        <f t="shared" si="70"/>
        <v/>
      </c>
      <c r="I940" s="10"/>
      <c r="J940" s="10"/>
      <c r="K940" s="10" t="str">
        <f t="shared" si="71"/>
        <v/>
      </c>
      <c r="L940" s="10" t="str">
        <f t="shared" si="72"/>
        <v/>
      </c>
      <c r="M940" s="10" t="str">
        <f t="shared" si="73"/>
        <v/>
      </c>
      <c r="N940" s="10" t="str">
        <f t="shared" si="74"/>
        <v/>
      </c>
      <c r="O940" s="6"/>
      <c r="P940" s="6"/>
    </row>
    <row r="941" spans="1:16" x14ac:dyDescent="0.3">
      <c r="A941" s="6"/>
      <c r="B941" s="7"/>
      <c r="C941" s="6"/>
      <c r="D941" s="6"/>
      <c r="E941" s="6"/>
      <c r="F941" s="25"/>
      <c r="G941" s="25" t="str">
        <f>IF(A941="","",SUMIFS(Paradas_Detalhadas!$I:$I,Paradas_Detalhadas!$A:$A,A941,Paradas_Detalhadas!$B:$B,B941,Paradas_Detalhadas!$C:$C,C941,Paradas_Detalhadas!$D:$D,E941))</f>
        <v/>
      </c>
      <c r="H941" s="26" t="str">
        <f t="shared" si="70"/>
        <v/>
      </c>
      <c r="I941" s="10"/>
      <c r="J941" s="10"/>
      <c r="K941" s="10" t="str">
        <f t="shared" si="71"/>
        <v/>
      </c>
      <c r="L941" s="10" t="str">
        <f t="shared" si="72"/>
        <v/>
      </c>
      <c r="M941" s="10" t="str">
        <f t="shared" si="73"/>
        <v/>
      </c>
      <c r="N941" s="10" t="str">
        <f t="shared" si="74"/>
        <v/>
      </c>
      <c r="O941" s="6"/>
      <c r="P941" s="6"/>
    </row>
    <row r="942" spans="1:16" x14ac:dyDescent="0.3">
      <c r="A942" s="6"/>
      <c r="B942" s="7"/>
      <c r="C942" s="6"/>
      <c r="D942" s="6"/>
      <c r="E942" s="6"/>
      <c r="F942" s="25"/>
      <c r="G942" s="25" t="str">
        <f>IF(A942="","",SUMIFS(Paradas_Detalhadas!$I:$I,Paradas_Detalhadas!$A:$A,A942,Paradas_Detalhadas!$B:$B,B942,Paradas_Detalhadas!$C:$C,C942,Paradas_Detalhadas!$D:$D,E942))</f>
        <v/>
      </c>
      <c r="H942" s="26" t="str">
        <f t="shared" ref="H942:H1005" si="75">IF(OR(F942="",G942=""),"",MAX(F942-G942,0))</f>
        <v/>
      </c>
      <c r="I942" s="10"/>
      <c r="J942" s="10"/>
      <c r="K942" s="10" t="str">
        <f t="shared" ref="K942:K1005" si="76">IF(AND(I942="",J942=""),"",SUM(I942:J942))</f>
        <v/>
      </c>
      <c r="L942" s="10" t="str">
        <f t="shared" ref="L942:L1005" si="77">IFERROR(K942/H942,"")</f>
        <v/>
      </c>
      <c r="M942" s="10" t="str">
        <f t="shared" ref="M942:M1005" si="78">IFERROR(I942/H942,"")</f>
        <v/>
      </c>
      <c r="N942" s="10" t="str">
        <f t="shared" ref="N942:N1005" si="79">IFERROR(J942/H942,"")</f>
        <v/>
      </c>
      <c r="O942" s="6"/>
      <c r="P942" s="6"/>
    </row>
    <row r="943" spans="1:16" x14ac:dyDescent="0.3">
      <c r="A943" s="6"/>
      <c r="B943" s="7"/>
      <c r="C943" s="6"/>
      <c r="D943" s="6"/>
      <c r="E943" s="6"/>
      <c r="F943" s="25"/>
      <c r="G943" s="25" t="str">
        <f>IF(A943="","",SUMIFS(Paradas_Detalhadas!$I:$I,Paradas_Detalhadas!$A:$A,A943,Paradas_Detalhadas!$B:$B,B943,Paradas_Detalhadas!$C:$C,C943,Paradas_Detalhadas!$D:$D,E943))</f>
        <v/>
      </c>
      <c r="H943" s="26" t="str">
        <f t="shared" si="75"/>
        <v/>
      </c>
      <c r="I943" s="10"/>
      <c r="J943" s="10"/>
      <c r="K943" s="10" t="str">
        <f t="shared" si="76"/>
        <v/>
      </c>
      <c r="L943" s="10" t="str">
        <f t="shared" si="77"/>
        <v/>
      </c>
      <c r="M943" s="10" t="str">
        <f t="shared" si="78"/>
        <v/>
      </c>
      <c r="N943" s="10" t="str">
        <f t="shared" si="79"/>
        <v/>
      </c>
      <c r="O943" s="6"/>
      <c r="P943" s="6"/>
    </row>
    <row r="944" spans="1:16" x14ac:dyDescent="0.3">
      <c r="A944" s="6"/>
      <c r="B944" s="7"/>
      <c r="C944" s="6"/>
      <c r="D944" s="6"/>
      <c r="E944" s="6"/>
      <c r="F944" s="25"/>
      <c r="G944" s="25" t="str">
        <f>IF(A944="","",SUMIFS(Paradas_Detalhadas!$I:$I,Paradas_Detalhadas!$A:$A,A944,Paradas_Detalhadas!$B:$B,B944,Paradas_Detalhadas!$C:$C,C944,Paradas_Detalhadas!$D:$D,E944))</f>
        <v/>
      </c>
      <c r="H944" s="26" t="str">
        <f t="shared" si="75"/>
        <v/>
      </c>
      <c r="I944" s="10"/>
      <c r="J944" s="10"/>
      <c r="K944" s="10" t="str">
        <f t="shared" si="76"/>
        <v/>
      </c>
      <c r="L944" s="10" t="str">
        <f t="shared" si="77"/>
        <v/>
      </c>
      <c r="M944" s="10" t="str">
        <f t="shared" si="78"/>
        <v/>
      </c>
      <c r="N944" s="10" t="str">
        <f t="shared" si="79"/>
        <v/>
      </c>
      <c r="O944" s="6"/>
      <c r="P944" s="6"/>
    </row>
    <row r="945" spans="1:16" x14ac:dyDescent="0.3">
      <c r="A945" s="6"/>
      <c r="B945" s="7"/>
      <c r="C945" s="6"/>
      <c r="D945" s="6"/>
      <c r="E945" s="6"/>
      <c r="F945" s="25"/>
      <c r="G945" s="25" t="str">
        <f>IF(A945="","",SUMIFS(Paradas_Detalhadas!$I:$I,Paradas_Detalhadas!$A:$A,A945,Paradas_Detalhadas!$B:$B,B945,Paradas_Detalhadas!$C:$C,C945,Paradas_Detalhadas!$D:$D,E945))</f>
        <v/>
      </c>
      <c r="H945" s="26" t="str">
        <f t="shared" si="75"/>
        <v/>
      </c>
      <c r="I945" s="10"/>
      <c r="J945" s="10"/>
      <c r="K945" s="10" t="str">
        <f t="shared" si="76"/>
        <v/>
      </c>
      <c r="L945" s="10" t="str">
        <f t="shared" si="77"/>
        <v/>
      </c>
      <c r="M945" s="10" t="str">
        <f t="shared" si="78"/>
        <v/>
      </c>
      <c r="N945" s="10" t="str">
        <f t="shared" si="79"/>
        <v/>
      </c>
      <c r="O945" s="6"/>
      <c r="P945" s="6"/>
    </row>
    <row r="946" spans="1:16" x14ac:dyDescent="0.3">
      <c r="A946" s="6"/>
      <c r="B946" s="7"/>
      <c r="C946" s="6"/>
      <c r="D946" s="6"/>
      <c r="E946" s="6"/>
      <c r="F946" s="25"/>
      <c r="G946" s="25" t="str">
        <f>IF(A946="","",SUMIFS(Paradas_Detalhadas!$I:$I,Paradas_Detalhadas!$A:$A,A946,Paradas_Detalhadas!$B:$B,B946,Paradas_Detalhadas!$C:$C,C946,Paradas_Detalhadas!$D:$D,E946))</f>
        <v/>
      </c>
      <c r="H946" s="26" t="str">
        <f t="shared" si="75"/>
        <v/>
      </c>
      <c r="I946" s="10"/>
      <c r="J946" s="10"/>
      <c r="K946" s="10" t="str">
        <f t="shared" si="76"/>
        <v/>
      </c>
      <c r="L946" s="10" t="str">
        <f t="shared" si="77"/>
        <v/>
      </c>
      <c r="M946" s="10" t="str">
        <f t="shared" si="78"/>
        <v/>
      </c>
      <c r="N946" s="10" t="str">
        <f t="shared" si="79"/>
        <v/>
      </c>
      <c r="O946" s="6"/>
      <c r="P946" s="6"/>
    </row>
    <row r="947" spans="1:16" x14ac:dyDescent="0.3">
      <c r="A947" s="6"/>
      <c r="B947" s="7"/>
      <c r="C947" s="6"/>
      <c r="D947" s="6"/>
      <c r="E947" s="6"/>
      <c r="F947" s="25"/>
      <c r="G947" s="25" t="str">
        <f>IF(A947="","",SUMIFS(Paradas_Detalhadas!$I:$I,Paradas_Detalhadas!$A:$A,A947,Paradas_Detalhadas!$B:$B,B947,Paradas_Detalhadas!$C:$C,C947,Paradas_Detalhadas!$D:$D,E947))</f>
        <v/>
      </c>
      <c r="H947" s="26" t="str">
        <f t="shared" si="75"/>
        <v/>
      </c>
      <c r="I947" s="10"/>
      <c r="J947" s="10"/>
      <c r="K947" s="10" t="str">
        <f t="shared" si="76"/>
        <v/>
      </c>
      <c r="L947" s="10" t="str">
        <f t="shared" si="77"/>
        <v/>
      </c>
      <c r="M947" s="10" t="str">
        <f t="shared" si="78"/>
        <v/>
      </c>
      <c r="N947" s="10" t="str">
        <f t="shared" si="79"/>
        <v/>
      </c>
      <c r="O947" s="6"/>
      <c r="P947" s="6"/>
    </row>
    <row r="948" spans="1:16" x14ac:dyDescent="0.3">
      <c r="A948" s="6"/>
      <c r="B948" s="7"/>
      <c r="C948" s="6"/>
      <c r="D948" s="6"/>
      <c r="E948" s="6"/>
      <c r="F948" s="25"/>
      <c r="G948" s="25" t="str">
        <f>IF(A948="","",SUMIFS(Paradas_Detalhadas!$I:$I,Paradas_Detalhadas!$A:$A,A948,Paradas_Detalhadas!$B:$B,B948,Paradas_Detalhadas!$C:$C,C948,Paradas_Detalhadas!$D:$D,E948))</f>
        <v/>
      </c>
      <c r="H948" s="26" t="str">
        <f t="shared" si="75"/>
        <v/>
      </c>
      <c r="I948" s="10"/>
      <c r="J948" s="10"/>
      <c r="K948" s="10" t="str">
        <f t="shared" si="76"/>
        <v/>
      </c>
      <c r="L948" s="10" t="str">
        <f t="shared" si="77"/>
        <v/>
      </c>
      <c r="M948" s="10" t="str">
        <f t="shared" si="78"/>
        <v/>
      </c>
      <c r="N948" s="10" t="str">
        <f t="shared" si="79"/>
        <v/>
      </c>
      <c r="O948" s="6"/>
      <c r="P948" s="6"/>
    </row>
    <row r="949" spans="1:16" x14ac:dyDescent="0.3">
      <c r="A949" s="6"/>
      <c r="B949" s="7"/>
      <c r="C949" s="6"/>
      <c r="D949" s="6"/>
      <c r="E949" s="6"/>
      <c r="F949" s="25"/>
      <c r="G949" s="25" t="str">
        <f>IF(A949="","",SUMIFS(Paradas_Detalhadas!$I:$I,Paradas_Detalhadas!$A:$A,A949,Paradas_Detalhadas!$B:$B,B949,Paradas_Detalhadas!$C:$C,C949,Paradas_Detalhadas!$D:$D,E949))</f>
        <v/>
      </c>
      <c r="H949" s="26" t="str">
        <f t="shared" si="75"/>
        <v/>
      </c>
      <c r="I949" s="10"/>
      <c r="J949" s="10"/>
      <c r="K949" s="10" t="str">
        <f t="shared" si="76"/>
        <v/>
      </c>
      <c r="L949" s="10" t="str">
        <f t="shared" si="77"/>
        <v/>
      </c>
      <c r="M949" s="10" t="str">
        <f t="shared" si="78"/>
        <v/>
      </c>
      <c r="N949" s="10" t="str">
        <f t="shared" si="79"/>
        <v/>
      </c>
      <c r="O949" s="6"/>
      <c r="P949" s="6"/>
    </row>
    <row r="950" spans="1:16" x14ac:dyDescent="0.3">
      <c r="A950" s="6"/>
      <c r="B950" s="7"/>
      <c r="C950" s="6"/>
      <c r="D950" s="6"/>
      <c r="E950" s="6"/>
      <c r="F950" s="25"/>
      <c r="G950" s="25" t="str">
        <f>IF(A950="","",SUMIFS(Paradas_Detalhadas!$I:$I,Paradas_Detalhadas!$A:$A,A950,Paradas_Detalhadas!$B:$B,B950,Paradas_Detalhadas!$C:$C,C950,Paradas_Detalhadas!$D:$D,E950))</f>
        <v/>
      </c>
      <c r="H950" s="26" t="str">
        <f t="shared" si="75"/>
        <v/>
      </c>
      <c r="I950" s="10"/>
      <c r="J950" s="10"/>
      <c r="K950" s="10" t="str">
        <f t="shared" si="76"/>
        <v/>
      </c>
      <c r="L950" s="10" t="str">
        <f t="shared" si="77"/>
        <v/>
      </c>
      <c r="M950" s="10" t="str">
        <f t="shared" si="78"/>
        <v/>
      </c>
      <c r="N950" s="10" t="str">
        <f t="shared" si="79"/>
        <v/>
      </c>
      <c r="O950" s="6"/>
      <c r="P950" s="6"/>
    </row>
    <row r="951" spans="1:16" x14ac:dyDescent="0.3">
      <c r="A951" s="6"/>
      <c r="B951" s="7"/>
      <c r="C951" s="6"/>
      <c r="D951" s="6"/>
      <c r="E951" s="6"/>
      <c r="F951" s="25"/>
      <c r="G951" s="25" t="str">
        <f>IF(A951="","",SUMIFS(Paradas_Detalhadas!$I:$I,Paradas_Detalhadas!$A:$A,A951,Paradas_Detalhadas!$B:$B,B951,Paradas_Detalhadas!$C:$C,C951,Paradas_Detalhadas!$D:$D,E951))</f>
        <v/>
      </c>
      <c r="H951" s="26" t="str">
        <f t="shared" si="75"/>
        <v/>
      </c>
      <c r="I951" s="10"/>
      <c r="J951" s="10"/>
      <c r="K951" s="10" t="str">
        <f t="shared" si="76"/>
        <v/>
      </c>
      <c r="L951" s="10" t="str">
        <f t="shared" si="77"/>
        <v/>
      </c>
      <c r="M951" s="10" t="str">
        <f t="shared" si="78"/>
        <v/>
      </c>
      <c r="N951" s="10" t="str">
        <f t="shared" si="79"/>
        <v/>
      </c>
      <c r="O951" s="6"/>
      <c r="P951" s="6"/>
    </row>
    <row r="952" spans="1:16" x14ac:dyDescent="0.3">
      <c r="A952" s="6"/>
      <c r="B952" s="7"/>
      <c r="C952" s="6"/>
      <c r="D952" s="6"/>
      <c r="E952" s="6"/>
      <c r="F952" s="25"/>
      <c r="G952" s="25" t="str">
        <f>IF(A952="","",SUMIFS(Paradas_Detalhadas!$I:$I,Paradas_Detalhadas!$A:$A,A952,Paradas_Detalhadas!$B:$B,B952,Paradas_Detalhadas!$C:$C,C952,Paradas_Detalhadas!$D:$D,E952))</f>
        <v/>
      </c>
      <c r="H952" s="26" t="str">
        <f t="shared" si="75"/>
        <v/>
      </c>
      <c r="I952" s="10"/>
      <c r="J952" s="10"/>
      <c r="K952" s="10" t="str">
        <f t="shared" si="76"/>
        <v/>
      </c>
      <c r="L952" s="10" t="str">
        <f t="shared" si="77"/>
        <v/>
      </c>
      <c r="M952" s="10" t="str">
        <f t="shared" si="78"/>
        <v/>
      </c>
      <c r="N952" s="10" t="str">
        <f t="shared" si="79"/>
        <v/>
      </c>
      <c r="O952" s="6"/>
      <c r="P952" s="6"/>
    </row>
    <row r="953" spans="1:16" x14ac:dyDescent="0.3">
      <c r="A953" s="6"/>
      <c r="B953" s="7"/>
      <c r="C953" s="6"/>
      <c r="D953" s="6"/>
      <c r="E953" s="6"/>
      <c r="F953" s="25"/>
      <c r="G953" s="25" t="str">
        <f>IF(A953="","",SUMIFS(Paradas_Detalhadas!$I:$I,Paradas_Detalhadas!$A:$A,A953,Paradas_Detalhadas!$B:$B,B953,Paradas_Detalhadas!$C:$C,C953,Paradas_Detalhadas!$D:$D,E953))</f>
        <v/>
      </c>
      <c r="H953" s="26" t="str">
        <f t="shared" si="75"/>
        <v/>
      </c>
      <c r="I953" s="10"/>
      <c r="J953" s="10"/>
      <c r="K953" s="10" t="str">
        <f t="shared" si="76"/>
        <v/>
      </c>
      <c r="L953" s="10" t="str">
        <f t="shared" si="77"/>
        <v/>
      </c>
      <c r="M953" s="10" t="str">
        <f t="shared" si="78"/>
        <v/>
      </c>
      <c r="N953" s="10" t="str">
        <f t="shared" si="79"/>
        <v/>
      </c>
      <c r="O953" s="6"/>
      <c r="P953" s="6"/>
    </row>
    <row r="954" spans="1:16" x14ac:dyDescent="0.3">
      <c r="A954" s="6"/>
      <c r="B954" s="7"/>
      <c r="C954" s="6"/>
      <c r="D954" s="6"/>
      <c r="E954" s="6"/>
      <c r="F954" s="25"/>
      <c r="G954" s="25" t="str">
        <f>IF(A954="","",SUMIFS(Paradas_Detalhadas!$I:$I,Paradas_Detalhadas!$A:$A,A954,Paradas_Detalhadas!$B:$B,B954,Paradas_Detalhadas!$C:$C,C954,Paradas_Detalhadas!$D:$D,E954))</f>
        <v/>
      </c>
      <c r="H954" s="26" t="str">
        <f t="shared" si="75"/>
        <v/>
      </c>
      <c r="I954" s="10"/>
      <c r="J954" s="10"/>
      <c r="K954" s="10" t="str">
        <f t="shared" si="76"/>
        <v/>
      </c>
      <c r="L954" s="10" t="str">
        <f t="shared" si="77"/>
        <v/>
      </c>
      <c r="M954" s="10" t="str">
        <f t="shared" si="78"/>
        <v/>
      </c>
      <c r="N954" s="10" t="str">
        <f t="shared" si="79"/>
        <v/>
      </c>
      <c r="O954" s="6"/>
      <c r="P954" s="6"/>
    </row>
    <row r="955" spans="1:16" x14ac:dyDescent="0.3">
      <c r="A955" s="6"/>
      <c r="B955" s="7"/>
      <c r="C955" s="6"/>
      <c r="D955" s="6"/>
      <c r="E955" s="6"/>
      <c r="F955" s="25"/>
      <c r="G955" s="25" t="str">
        <f>IF(A955="","",SUMIFS(Paradas_Detalhadas!$I:$I,Paradas_Detalhadas!$A:$A,A955,Paradas_Detalhadas!$B:$B,B955,Paradas_Detalhadas!$C:$C,C955,Paradas_Detalhadas!$D:$D,E955))</f>
        <v/>
      </c>
      <c r="H955" s="26" t="str">
        <f t="shared" si="75"/>
        <v/>
      </c>
      <c r="I955" s="10"/>
      <c r="J955" s="10"/>
      <c r="K955" s="10" t="str">
        <f t="shared" si="76"/>
        <v/>
      </c>
      <c r="L955" s="10" t="str">
        <f t="shared" si="77"/>
        <v/>
      </c>
      <c r="M955" s="10" t="str">
        <f t="shared" si="78"/>
        <v/>
      </c>
      <c r="N955" s="10" t="str">
        <f t="shared" si="79"/>
        <v/>
      </c>
      <c r="O955" s="6"/>
      <c r="P955" s="6"/>
    </row>
    <row r="956" spans="1:16" x14ac:dyDescent="0.3">
      <c r="A956" s="6"/>
      <c r="B956" s="7"/>
      <c r="C956" s="6"/>
      <c r="D956" s="6"/>
      <c r="E956" s="6"/>
      <c r="F956" s="25"/>
      <c r="G956" s="25" t="str">
        <f>IF(A956="","",SUMIFS(Paradas_Detalhadas!$I:$I,Paradas_Detalhadas!$A:$A,A956,Paradas_Detalhadas!$B:$B,B956,Paradas_Detalhadas!$C:$C,C956,Paradas_Detalhadas!$D:$D,E956))</f>
        <v/>
      </c>
      <c r="H956" s="26" t="str">
        <f t="shared" si="75"/>
        <v/>
      </c>
      <c r="I956" s="10"/>
      <c r="J956" s="10"/>
      <c r="K956" s="10" t="str">
        <f t="shared" si="76"/>
        <v/>
      </c>
      <c r="L956" s="10" t="str">
        <f t="shared" si="77"/>
        <v/>
      </c>
      <c r="M956" s="10" t="str">
        <f t="shared" si="78"/>
        <v/>
      </c>
      <c r="N956" s="10" t="str">
        <f t="shared" si="79"/>
        <v/>
      </c>
      <c r="O956" s="6"/>
      <c r="P956" s="6"/>
    </row>
    <row r="957" spans="1:16" x14ac:dyDescent="0.3">
      <c r="A957" s="6"/>
      <c r="B957" s="7"/>
      <c r="C957" s="6"/>
      <c r="D957" s="6"/>
      <c r="E957" s="6"/>
      <c r="F957" s="25"/>
      <c r="G957" s="25" t="str">
        <f>IF(A957="","",SUMIFS(Paradas_Detalhadas!$I:$I,Paradas_Detalhadas!$A:$A,A957,Paradas_Detalhadas!$B:$B,B957,Paradas_Detalhadas!$C:$C,C957,Paradas_Detalhadas!$D:$D,E957))</f>
        <v/>
      </c>
      <c r="H957" s="26" t="str">
        <f t="shared" si="75"/>
        <v/>
      </c>
      <c r="I957" s="10"/>
      <c r="J957" s="10"/>
      <c r="K957" s="10" t="str">
        <f t="shared" si="76"/>
        <v/>
      </c>
      <c r="L957" s="10" t="str">
        <f t="shared" si="77"/>
        <v/>
      </c>
      <c r="M957" s="10" t="str">
        <f t="shared" si="78"/>
        <v/>
      </c>
      <c r="N957" s="10" t="str">
        <f t="shared" si="79"/>
        <v/>
      </c>
      <c r="O957" s="6"/>
      <c r="P957" s="6"/>
    </row>
    <row r="958" spans="1:16" x14ac:dyDescent="0.3">
      <c r="A958" s="6"/>
      <c r="B958" s="7"/>
      <c r="C958" s="6"/>
      <c r="D958" s="6"/>
      <c r="E958" s="6"/>
      <c r="F958" s="25"/>
      <c r="G958" s="25" t="str">
        <f>IF(A958="","",SUMIFS(Paradas_Detalhadas!$I:$I,Paradas_Detalhadas!$A:$A,A958,Paradas_Detalhadas!$B:$B,B958,Paradas_Detalhadas!$C:$C,C958,Paradas_Detalhadas!$D:$D,E958))</f>
        <v/>
      </c>
      <c r="H958" s="26" t="str">
        <f t="shared" si="75"/>
        <v/>
      </c>
      <c r="I958" s="10"/>
      <c r="J958" s="10"/>
      <c r="K958" s="10" t="str">
        <f t="shared" si="76"/>
        <v/>
      </c>
      <c r="L958" s="10" t="str">
        <f t="shared" si="77"/>
        <v/>
      </c>
      <c r="M958" s="10" t="str">
        <f t="shared" si="78"/>
        <v/>
      </c>
      <c r="N958" s="10" t="str">
        <f t="shared" si="79"/>
        <v/>
      </c>
      <c r="O958" s="6"/>
      <c r="P958" s="6"/>
    </row>
    <row r="959" spans="1:16" x14ac:dyDescent="0.3">
      <c r="A959" s="6"/>
      <c r="B959" s="7"/>
      <c r="C959" s="6"/>
      <c r="D959" s="6"/>
      <c r="E959" s="6"/>
      <c r="F959" s="25"/>
      <c r="G959" s="25" t="str">
        <f>IF(A959="","",SUMIFS(Paradas_Detalhadas!$I:$I,Paradas_Detalhadas!$A:$A,A959,Paradas_Detalhadas!$B:$B,B959,Paradas_Detalhadas!$C:$C,C959,Paradas_Detalhadas!$D:$D,E959))</f>
        <v/>
      </c>
      <c r="H959" s="26" t="str">
        <f t="shared" si="75"/>
        <v/>
      </c>
      <c r="I959" s="10"/>
      <c r="J959" s="10"/>
      <c r="K959" s="10" t="str">
        <f t="shared" si="76"/>
        <v/>
      </c>
      <c r="L959" s="10" t="str">
        <f t="shared" si="77"/>
        <v/>
      </c>
      <c r="M959" s="10" t="str">
        <f t="shared" si="78"/>
        <v/>
      </c>
      <c r="N959" s="10" t="str">
        <f t="shared" si="79"/>
        <v/>
      </c>
      <c r="O959" s="6"/>
      <c r="P959" s="6"/>
    </row>
    <row r="960" spans="1:16" x14ac:dyDescent="0.3">
      <c r="A960" s="6"/>
      <c r="B960" s="7"/>
      <c r="C960" s="6"/>
      <c r="D960" s="6"/>
      <c r="E960" s="6"/>
      <c r="F960" s="25"/>
      <c r="G960" s="25" t="str">
        <f>IF(A960="","",SUMIFS(Paradas_Detalhadas!$I:$I,Paradas_Detalhadas!$A:$A,A960,Paradas_Detalhadas!$B:$B,B960,Paradas_Detalhadas!$C:$C,C960,Paradas_Detalhadas!$D:$D,E960))</f>
        <v/>
      </c>
      <c r="H960" s="26" t="str">
        <f t="shared" si="75"/>
        <v/>
      </c>
      <c r="I960" s="10"/>
      <c r="J960" s="10"/>
      <c r="K960" s="10" t="str">
        <f t="shared" si="76"/>
        <v/>
      </c>
      <c r="L960" s="10" t="str">
        <f t="shared" si="77"/>
        <v/>
      </c>
      <c r="M960" s="10" t="str">
        <f t="shared" si="78"/>
        <v/>
      </c>
      <c r="N960" s="10" t="str">
        <f t="shared" si="79"/>
        <v/>
      </c>
      <c r="O960" s="6"/>
      <c r="P960" s="6"/>
    </row>
    <row r="961" spans="1:16" x14ac:dyDescent="0.3">
      <c r="A961" s="6"/>
      <c r="B961" s="7"/>
      <c r="C961" s="6"/>
      <c r="D961" s="6"/>
      <c r="E961" s="6"/>
      <c r="F961" s="25"/>
      <c r="G961" s="25" t="str">
        <f>IF(A961="","",SUMIFS(Paradas_Detalhadas!$I:$I,Paradas_Detalhadas!$A:$A,A961,Paradas_Detalhadas!$B:$B,B961,Paradas_Detalhadas!$C:$C,C961,Paradas_Detalhadas!$D:$D,E961))</f>
        <v/>
      </c>
      <c r="H961" s="26" t="str">
        <f t="shared" si="75"/>
        <v/>
      </c>
      <c r="I961" s="10"/>
      <c r="J961" s="10"/>
      <c r="K961" s="10" t="str">
        <f t="shared" si="76"/>
        <v/>
      </c>
      <c r="L961" s="10" t="str">
        <f t="shared" si="77"/>
        <v/>
      </c>
      <c r="M961" s="10" t="str">
        <f t="shared" si="78"/>
        <v/>
      </c>
      <c r="N961" s="10" t="str">
        <f t="shared" si="79"/>
        <v/>
      </c>
      <c r="O961" s="6"/>
      <c r="P961" s="6"/>
    </row>
    <row r="962" spans="1:16" x14ac:dyDescent="0.3">
      <c r="A962" s="6"/>
      <c r="B962" s="7"/>
      <c r="C962" s="6"/>
      <c r="D962" s="6"/>
      <c r="E962" s="6"/>
      <c r="F962" s="25"/>
      <c r="G962" s="25" t="str">
        <f>IF(A962="","",SUMIFS(Paradas_Detalhadas!$I:$I,Paradas_Detalhadas!$A:$A,A962,Paradas_Detalhadas!$B:$B,B962,Paradas_Detalhadas!$C:$C,C962,Paradas_Detalhadas!$D:$D,E962))</f>
        <v/>
      </c>
      <c r="H962" s="26" t="str">
        <f t="shared" si="75"/>
        <v/>
      </c>
      <c r="I962" s="10"/>
      <c r="J962" s="10"/>
      <c r="K962" s="10" t="str">
        <f t="shared" si="76"/>
        <v/>
      </c>
      <c r="L962" s="10" t="str">
        <f t="shared" si="77"/>
        <v/>
      </c>
      <c r="M962" s="10" t="str">
        <f t="shared" si="78"/>
        <v/>
      </c>
      <c r="N962" s="10" t="str">
        <f t="shared" si="79"/>
        <v/>
      </c>
      <c r="O962" s="6"/>
      <c r="P962" s="6"/>
    </row>
    <row r="963" spans="1:16" x14ac:dyDescent="0.3">
      <c r="A963" s="6"/>
      <c r="B963" s="7"/>
      <c r="C963" s="6"/>
      <c r="D963" s="6"/>
      <c r="E963" s="6"/>
      <c r="F963" s="25"/>
      <c r="G963" s="25" t="str">
        <f>IF(A963="","",SUMIFS(Paradas_Detalhadas!$I:$I,Paradas_Detalhadas!$A:$A,A963,Paradas_Detalhadas!$B:$B,B963,Paradas_Detalhadas!$C:$C,C963,Paradas_Detalhadas!$D:$D,E963))</f>
        <v/>
      </c>
      <c r="H963" s="26" t="str">
        <f t="shared" si="75"/>
        <v/>
      </c>
      <c r="I963" s="10"/>
      <c r="J963" s="10"/>
      <c r="K963" s="10" t="str">
        <f t="shared" si="76"/>
        <v/>
      </c>
      <c r="L963" s="10" t="str">
        <f t="shared" si="77"/>
        <v/>
      </c>
      <c r="M963" s="10" t="str">
        <f t="shared" si="78"/>
        <v/>
      </c>
      <c r="N963" s="10" t="str">
        <f t="shared" si="79"/>
        <v/>
      </c>
      <c r="O963" s="6"/>
      <c r="P963" s="6"/>
    </row>
    <row r="964" spans="1:16" x14ac:dyDescent="0.3">
      <c r="A964" s="6"/>
      <c r="B964" s="7"/>
      <c r="C964" s="6"/>
      <c r="D964" s="6"/>
      <c r="E964" s="6"/>
      <c r="F964" s="25"/>
      <c r="G964" s="25" t="str">
        <f>IF(A964="","",SUMIFS(Paradas_Detalhadas!$I:$I,Paradas_Detalhadas!$A:$A,A964,Paradas_Detalhadas!$B:$B,B964,Paradas_Detalhadas!$C:$C,C964,Paradas_Detalhadas!$D:$D,E964))</f>
        <v/>
      </c>
      <c r="H964" s="26" t="str">
        <f t="shared" si="75"/>
        <v/>
      </c>
      <c r="I964" s="10"/>
      <c r="J964" s="10"/>
      <c r="K964" s="10" t="str">
        <f t="shared" si="76"/>
        <v/>
      </c>
      <c r="L964" s="10" t="str">
        <f t="shared" si="77"/>
        <v/>
      </c>
      <c r="M964" s="10" t="str">
        <f t="shared" si="78"/>
        <v/>
      </c>
      <c r="N964" s="10" t="str">
        <f t="shared" si="79"/>
        <v/>
      </c>
      <c r="O964" s="6"/>
      <c r="P964" s="6"/>
    </row>
    <row r="965" spans="1:16" x14ac:dyDescent="0.3">
      <c r="A965" s="6"/>
      <c r="B965" s="7"/>
      <c r="C965" s="6"/>
      <c r="D965" s="6"/>
      <c r="E965" s="6"/>
      <c r="F965" s="25"/>
      <c r="G965" s="25" t="str">
        <f>IF(A965="","",SUMIFS(Paradas_Detalhadas!$I:$I,Paradas_Detalhadas!$A:$A,A965,Paradas_Detalhadas!$B:$B,B965,Paradas_Detalhadas!$C:$C,C965,Paradas_Detalhadas!$D:$D,E965))</f>
        <v/>
      </c>
      <c r="H965" s="26" t="str">
        <f t="shared" si="75"/>
        <v/>
      </c>
      <c r="I965" s="10"/>
      <c r="J965" s="10"/>
      <c r="K965" s="10" t="str">
        <f t="shared" si="76"/>
        <v/>
      </c>
      <c r="L965" s="10" t="str">
        <f t="shared" si="77"/>
        <v/>
      </c>
      <c r="M965" s="10" t="str">
        <f t="shared" si="78"/>
        <v/>
      </c>
      <c r="N965" s="10" t="str">
        <f t="shared" si="79"/>
        <v/>
      </c>
      <c r="O965" s="6"/>
      <c r="P965" s="6"/>
    </row>
    <row r="966" spans="1:16" x14ac:dyDescent="0.3">
      <c r="A966" s="6"/>
      <c r="B966" s="7"/>
      <c r="C966" s="6"/>
      <c r="D966" s="6"/>
      <c r="E966" s="6"/>
      <c r="F966" s="25"/>
      <c r="G966" s="25" t="str">
        <f>IF(A966="","",SUMIFS(Paradas_Detalhadas!$I:$I,Paradas_Detalhadas!$A:$A,A966,Paradas_Detalhadas!$B:$B,B966,Paradas_Detalhadas!$C:$C,C966,Paradas_Detalhadas!$D:$D,E966))</f>
        <v/>
      </c>
      <c r="H966" s="26" t="str">
        <f t="shared" si="75"/>
        <v/>
      </c>
      <c r="I966" s="10"/>
      <c r="J966" s="10"/>
      <c r="K966" s="10" t="str">
        <f t="shared" si="76"/>
        <v/>
      </c>
      <c r="L966" s="10" t="str">
        <f t="shared" si="77"/>
        <v/>
      </c>
      <c r="M966" s="10" t="str">
        <f t="shared" si="78"/>
        <v/>
      </c>
      <c r="N966" s="10" t="str">
        <f t="shared" si="79"/>
        <v/>
      </c>
      <c r="O966" s="6"/>
      <c r="P966" s="6"/>
    </row>
    <row r="967" spans="1:16" x14ac:dyDescent="0.3">
      <c r="A967" s="6"/>
      <c r="B967" s="7"/>
      <c r="C967" s="6"/>
      <c r="D967" s="6"/>
      <c r="E967" s="6"/>
      <c r="F967" s="25"/>
      <c r="G967" s="25" t="str">
        <f>IF(A967="","",SUMIFS(Paradas_Detalhadas!$I:$I,Paradas_Detalhadas!$A:$A,A967,Paradas_Detalhadas!$B:$B,B967,Paradas_Detalhadas!$C:$C,C967,Paradas_Detalhadas!$D:$D,E967))</f>
        <v/>
      </c>
      <c r="H967" s="26" t="str">
        <f t="shared" si="75"/>
        <v/>
      </c>
      <c r="I967" s="10"/>
      <c r="J967" s="10"/>
      <c r="K967" s="10" t="str">
        <f t="shared" si="76"/>
        <v/>
      </c>
      <c r="L967" s="10" t="str">
        <f t="shared" si="77"/>
        <v/>
      </c>
      <c r="M967" s="10" t="str">
        <f t="shared" si="78"/>
        <v/>
      </c>
      <c r="N967" s="10" t="str">
        <f t="shared" si="79"/>
        <v/>
      </c>
      <c r="O967" s="6"/>
      <c r="P967" s="6"/>
    </row>
    <row r="968" spans="1:16" x14ac:dyDescent="0.3">
      <c r="A968" s="6"/>
      <c r="B968" s="7"/>
      <c r="C968" s="6"/>
      <c r="D968" s="6"/>
      <c r="E968" s="6"/>
      <c r="F968" s="25"/>
      <c r="G968" s="25" t="str">
        <f>IF(A968="","",SUMIFS(Paradas_Detalhadas!$I:$I,Paradas_Detalhadas!$A:$A,A968,Paradas_Detalhadas!$B:$B,B968,Paradas_Detalhadas!$C:$C,C968,Paradas_Detalhadas!$D:$D,E968))</f>
        <v/>
      </c>
      <c r="H968" s="26" t="str">
        <f t="shared" si="75"/>
        <v/>
      </c>
      <c r="I968" s="10"/>
      <c r="J968" s="10"/>
      <c r="K968" s="10" t="str">
        <f t="shared" si="76"/>
        <v/>
      </c>
      <c r="L968" s="10" t="str">
        <f t="shared" si="77"/>
        <v/>
      </c>
      <c r="M968" s="10" t="str">
        <f t="shared" si="78"/>
        <v/>
      </c>
      <c r="N968" s="10" t="str">
        <f t="shared" si="79"/>
        <v/>
      </c>
      <c r="O968" s="6"/>
      <c r="P968" s="6"/>
    </row>
    <row r="969" spans="1:16" x14ac:dyDescent="0.3">
      <c r="A969" s="6"/>
      <c r="B969" s="7"/>
      <c r="C969" s="6"/>
      <c r="D969" s="6"/>
      <c r="E969" s="6"/>
      <c r="F969" s="25"/>
      <c r="G969" s="25" t="str">
        <f>IF(A969="","",SUMIFS(Paradas_Detalhadas!$I:$I,Paradas_Detalhadas!$A:$A,A969,Paradas_Detalhadas!$B:$B,B969,Paradas_Detalhadas!$C:$C,C969,Paradas_Detalhadas!$D:$D,E969))</f>
        <v/>
      </c>
      <c r="H969" s="26" t="str">
        <f t="shared" si="75"/>
        <v/>
      </c>
      <c r="I969" s="10"/>
      <c r="J969" s="10"/>
      <c r="K969" s="10" t="str">
        <f t="shared" si="76"/>
        <v/>
      </c>
      <c r="L969" s="10" t="str">
        <f t="shared" si="77"/>
        <v/>
      </c>
      <c r="M969" s="10" t="str">
        <f t="shared" si="78"/>
        <v/>
      </c>
      <c r="N969" s="10" t="str">
        <f t="shared" si="79"/>
        <v/>
      </c>
      <c r="O969" s="6"/>
      <c r="P969" s="6"/>
    </row>
    <row r="970" spans="1:16" x14ac:dyDescent="0.3">
      <c r="A970" s="6"/>
      <c r="B970" s="7"/>
      <c r="C970" s="6"/>
      <c r="D970" s="6"/>
      <c r="E970" s="6"/>
      <c r="F970" s="25"/>
      <c r="G970" s="25" t="str">
        <f>IF(A970="","",SUMIFS(Paradas_Detalhadas!$I:$I,Paradas_Detalhadas!$A:$A,A970,Paradas_Detalhadas!$B:$B,B970,Paradas_Detalhadas!$C:$C,C970,Paradas_Detalhadas!$D:$D,E970))</f>
        <v/>
      </c>
      <c r="H970" s="26" t="str">
        <f t="shared" si="75"/>
        <v/>
      </c>
      <c r="I970" s="10"/>
      <c r="J970" s="10"/>
      <c r="K970" s="10" t="str">
        <f t="shared" si="76"/>
        <v/>
      </c>
      <c r="L970" s="10" t="str">
        <f t="shared" si="77"/>
        <v/>
      </c>
      <c r="M970" s="10" t="str">
        <f t="shared" si="78"/>
        <v/>
      </c>
      <c r="N970" s="10" t="str">
        <f t="shared" si="79"/>
        <v/>
      </c>
      <c r="O970" s="6"/>
      <c r="P970" s="6"/>
    </row>
    <row r="971" spans="1:16" x14ac:dyDescent="0.3">
      <c r="A971" s="6"/>
      <c r="B971" s="7"/>
      <c r="C971" s="6"/>
      <c r="D971" s="6"/>
      <c r="E971" s="6"/>
      <c r="F971" s="25"/>
      <c r="G971" s="25" t="str">
        <f>IF(A971="","",SUMIFS(Paradas_Detalhadas!$I:$I,Paradas_Detalhadas!$A:$A,A971,Paradas_Detalhadas!$B:$B,B971,Paradas_Detalhadas!$C:$C,C971,Paradas_Detalhadas!$D:$D,E971))</f>
        <v/>
      </c>
      <c r="H971" s="26" t="str">
        <f t="shared" si="75"/>
        <v/>
      </c>
      <c r="I971" s="10"/>
      <c r="J971" s="10"/>
      <c r="K971" s="10" t="str">
        <f t="shared" si="76"/>
        <v/>
      </c>
      <c r="L971" s="10" t="str">
        <f t="shared" si="77"/>
        <v/>
      </c>
      <c r="M971" s="10" t="str">
        <f t="shared" si="78"/>
        <v/>
      </c>
      <c r="N971" s="10" t="str">
        <f t="shared" si="79"/>
        <v/>
      </c>
      <c r="O971" s="6"/>
      <c r="P971" s="6"/>
    </row>
    <row r="972" spans="1:16" x14ac:dyDescent="0.3">
      <c r="A972" s="6"/>
      <c r="B972" s="7"/>
      <c r="C972" s="6"/>
      <c r="D972" s="6"/>
      <c r="E972" s="6"/>
      <c r="F972" s="25"/>
      <c r="G972" s="25" t="str">
        <f>IF(A972="","",SUMIFS(Paradas_Detalhadas!$I:$I,Paradas_Detalhadas!$A:$A,A972,Paradas_Detalhadas!$B:$B,B972,Paradas_Detalhadas!$C:$C,C972,Paradas_Detalhadas!$D:$D,E972))</f>
        <v/>
      </c>
      <c r="H972" s="26" t="str">
        <f t="shared" si="75"/>
        <v/>
      </c>
      <c r="I972" s="10"/>
      <c r="J972" s="10"/>
      <c r="K972" s="10" t="str">
        <f t="shared" si="76"/>
        <v/>
      </c>
      <c r="L972" s="10" t="str">
        <f t="shared" si="77"/>
        <v/>
      </c>
      <c r="M972" s="10" t="str">
        <f t="shared" si="78"/>
        <v/>
      </c>
      <c r="N972" s="10" t="str">
        <f t="shared" si="79"/>
        <v/>
      </c>
      <c r="O972" s="6"/>
      <c r="P972" s="6"/>
    </row>
    <row r="973" spans="1:16" x14ac:dyDescent="0.3">
      <c r="A973" s="6"/>
      <c r="B973" s="7"/>
      <c r="C973" s="6"/>
      <c r="D973" s="6"/>
      <c r="E973" s="6"/>
      <c r="F973" s="25"/>
      <c r="G973" s="25" t="str">
        <f>IF(A973="","",SUMIFS(Paradas_Detalhadas!$I:$I,Paradas_Detalhadas!$A:$A,A973,Paradas_Detalhadas!$B:$B,B973,Paradas_Detalhadas!$C:$C,C973,Paradas_Detalhadas!$D:$D,E973))</f>
        <v/>
      </c>
      <c r="H973" s="26" t="str">
        <f t="shared" si="75"/>
        <v/>
      </c>
      <c r="I973" s="10"/>
      <c r="J973" s="10"/>
      <c r="K973" s="10" t="str">
        <f t="shared" si="76"/>
        <v/>
      </c>
      <c r="L973" s="10" t="str">
        <f t="shared" si="77"/>
        <v/>
      </c>
      <c r="M973" s="10" t="str">
        <f t="shared" si="78"/>
        <v/>
      </c>
      <c r="N973" s="10" t="str">
        <f t="shared" si="79"/>
        <v/>
      </c>
      <c r="O973" s="6"/>
      <c r="P973" s="6"/>
    </row>
    <row r="974" spans="1:16" x14ac:dyDescent="0.3">
      <c r="A974" s="6"/>
      <c r="B974" s="7"/>
      <c r="C974" s="6"/>
      <c r="D974" s="6"/>
      <c r="E974" s="6"/>
      <c r="F974" s="25"/>
      <c r="G974" s="25" t="str">
        <f>IF(A974="","",SUMIFS(Paradas_Detalhadas!$I:$I,Paradas_Detalhadas!$A:$A,A974,Paradas_Detalhadas!$B:$B,B974,Paradas_Detalhadas!$C:$C,C974,Paradas_Detalhadas!$D:$D,E974))</f>
        <v/>
      </c>
      <c r="H974" s="26" t="str">
        <f t="shared" si="75"/>
        <v/>
      </c>
      <c r="I974" s="10"/>
      <c r="J974" s="10"/>
      <c r="K974" s="10" t="str">
        <f t="shared" si="76"/>
        <v/>
      </c>
      <c r="L974" s="10" t="str">
        <f t="shared" si="77"/>
        <v/>
      </c>
      <c r="M974" s="10" t="str">
        <f t="shared" si="78"/>
        <v/>
      </c>
      <c r="N974" s="10" t="str">
        <f t="shared" si="79"/>
        <v/>
      </c>
      <c r="O974" s="6"/>
      <c r="P974" s="6"/>
    </row>
    <row r="975" spans="1:16" x14ac:dyDescent="0.3">
      <c r="A975" s="6"/>
      <c r="B975" s="7"/>
      <c r="C975" s="6"/>
      <c r="D975" s="6"/>
      <c r="E975" s="6"/>
      <c r="F975" s="25"/>
      <c r="G975" s="25" t="str">
        <f>IF(A975="","",SUMIFS(Paradas_Detalhadas!$I:$I,Paradas_Detalhadas!$A:$A,A975,Paradas_Detalhadas!$B:$B,B975,Paradas_Detalhadas!$C:$C,C975,Paradas_Detalhadas!$D:$D,E975))</f>
        <v/>
      </c>
      <c r="H975" s="26" t="str">
        <f t="shared" si="75"/>
        <v/>
      </c>
      <c r="I975" s="10"/>
      <c r="J975" s="10"/>
      <c r="K975" s="10" t="str">
        <f t="shared" si="76"/>
        <v/>
      </c>
      <c r="L975" s="10" t="str">
        <f t="shared" si="77"/>
        <v/>
      </c>
      <c r="M975" s="10" t="str">
        <f t="shared" si="78"/>
        <v/>
      </c>
      <c r="N975" s="10" t="str">
        <f t="shared" si="79"/>
        <v/>
      </c>
      <c r="O975" s="6"/>
      <c r="P975" s="6"/>
    </row>
    <row r="976" spans="1:16" x14ac:dyDescent="0.3">
      <c r="A976" s="6"/>
      <c r="B976" s="7"/>
      <c r="C976" s="6"/>
      <c r="D976" s="6"/>
      <c r="E976" s="6"/>
      <c r="F976" s="25"/>
      <c r="G976" s="25" t="str">
        <f>IF(A976="","",SUMIFS(Paradas_Detalhadas!$I:$I,Paradas_Detalhadas!$A:$A,A976,Paradas_Detalhadas!$B:$B,B976,Paradas_Detalhadas!$C:$C,C976,Paradas_Detalhadas!$D:$D,E976))</f>
        <v/>
      </c>
      <c r="H976" s="26" t="str">
        <f t="shared" si="75"/>
        <v/>
      </c>
      <c r="I976" s="10"/>
      <c r="J976" s="10"/>
      <c r="K976" s="10" t="str">
        <f t="shared" si="76"/>
        <v/>
      </c>
      <c r="L976" s="10" t="str">
        <f t="shared" si="77"/>
        <v/>
      </c>
      <c r="M976" s="10" t="str">
        <f t="shared" si="78"/>
        <v/>
      </c>
      <c r="N976" s="10" t="str">
        <f t="shared" si="79"/>
        <v/>
      </c>
      <c r="O976" s="6"/>
      <c r="P976" s="6"/>
    </row>
    <row r="977" spans="1:16" x14ac:dyDescent="0.3">
      <c r="A977" s="6"/>
      <c r="B977" s="7"/>
      <c r="C977" s="6"/>
      <c r="D977" s="6"/>
      <c r="E977" s="6"/>
      <c r="F977" s="25"/>
      <c r="G977" s="25" t="str">
        <f>IF(A977="","",SUMIFS(Paradas_Detalhadas!$I:$I,Paradas_Detalhadas!$A:$A,A977,Paradas_Detalhadas!$B:$B,B977,Paradas_Detalhadas!$C:$C,C977,Paradas_Detalhadas!$D:$D,E977))</f>
        <v/>
      </c>
      <c r="H977" s="26" t="str">
        <f t="shared" si="75"/>
        <v/>
      </c>
      <c r="I977" s="10"/>
      <c r="J977" s="10"/>
      <c r="K977" s="10" t="str">
        <f t="shared" si="76"/>
        <v/>
      </c>
      <c r="L977" s="10" t="str">
        <f t="shared" si="77"/>
        <v/>
      </c>
      <c r="M977" s="10" t="str">
        <f t="shared" si="78"/>
        <v/>
      </c>
      <c r="N977" s="10" t="str">
        <f t="shared" si="79"/>
        <v/>
      </c>
      <c r="O977" s="6"/>
      <c r="P977" s="6"/>
    </row>
    <row r="978" spans="1:16" x14ac:dyDescent="0.3">
      <c r="A978" s="6"/>
      <c r="B978" s="7"/>
      <c r="C978" s="6"/>
      <c r="D978" s="6"/>
      <c r="E978" s="6"/>
      <c r="F978" s="25"/>
      <c r="G978" s="25" t="str">
        <f>IF(A978="","",SUMIFS(Paradas_Detalhadas!$I:$I,Paradas_Detalhadas!$A:$A,A978,Paradas_Detalhadas!$B:$B,B978,Paradas_Detalhadas!$C:$C,C978,Paradas_Detalhadas!$D:$D,E978))</f>
        <v/>
      </c>
      <c r="H978" s="26" t="str">
        <f t="shared" si="75"/>
        <v/>
      </c>
      <c r="I978" s="10"/>
      <c r="J978" s="10"/>
      <c r="K978" s="10" t="str">
        <f t="shared" si="76"/>
        <v/>
      </c>
      <c r="L978" s="10" t="str">
        <f t="shared" si="77"/>
        <v/>
      </c>
      <c r="M978" s="10" t="str">
        <f t="shared" si="78"/>
        <v/>
      </c>
      <c r="N978" s="10" t="str">
        <f t="shared" si="79"/>
        <v/>
      </c>
      <c r="O978" s="6"/>
      <c r="P978" s="6"/>
    </row>
    <row r="979" spans="1:16" x14ac:dyDescent="0.3">
      <c r="A979" s="6"/>
      <c r="B979" s="7"/>
      <c r="C979" s="6"/>
      <c r="D979" s="6"/>
      <c r="E979" s="6"/>
      <c r="F979" s="25"/>
      <c r="G979" s="25" t="str">
        <f>IF(A979="","",SUMIFS(Paradas_Detalhadas!$I:$I,Paradas_Detalhadas!$A:$A,A979,Paradas_Detalhadas!$B:$B,B979,Paradas_Detalhadas!$C:$C,C979,Paradas_Detalhadas!$D:$D,E979))</f>
        <v/>
      </c>
      <c r="H979" s="26" t="str">
        <f t="shared" si="75"/>
        <v/>
      </c>
      <c r="I979" s="10"/>
      <c r="J979" s="10"/>
      <c r="K979" s="10" t="str">
        <f t="shared" si="76"/>
        <v/>
      </c>
      <c r="L979" s="10" t="str">
        <f t="shared" si="77"/>
        <v/>
      </c>
      <c r="M979" s="10" t="str">
        <f t="shared" si="78"/>
        <v/>
      </c>
      <c r="N979" s="10" t="str">
        <f t="shared" si="79"/>
        <v/>
      </c>
      <c r="O979" s="6"/>
      <c r="P979" s="6"/>
    </row>
    <row r="980" spans="1:16" x14ac:dyDescent="0.3">
      <c r="A980" s="6"/>
      <c r="B980" s="7"/>
      <c r="C980" s="6"/>
      <c r="D980" s="6"/>
      <c r="E980" s="6"/>
      <c r="F980" s="25"/>
      <c r="G980" s="25" t="str">
        <f>IF(A980="","",SUMIFS(Paradas_Detalhadas!$I:$I,Paradas_Detalhadas!$A:$A,A980,Paradas_Detalhadas!$B:$B,B980,Paradas_Detalhadas!$C:$C,C980,Paradas_Detalhadas!$D:$D,E980))</f>
        <v/>
      </c>
      <c r="H980" s="26" t="str">
        <f t="shared" si="75"/>
        <v/>
      </c>
      <c r="I980" s="10"/>
      <c r="J980" s="10"/>
      <c r="K980" s="10" t="str">
        <f t="shared" si="76"/>
        <v/>
      </c>
      <c r="L980" s="10" t="str">
        <f t="shared" si="77"/>
        <v/>
      </c>
      <c r="M980" s="10" t="str">
        <f t="shared" si="78"/>
        <v/>
      </c>
      <c r="N980" s="10" t="str">
        <f t="shared" si="79"/>
        <v/>
      </c>
      <c r="O980" s="6"/>
      <c r="P980" s="6"/>
    </row>
    <row r="981" spans="1:16" x14ac:dyDescent="0.3">
      <c r="A981" s="6"/>
      <c r="B981" s="7"/>
      <c r="C981" s="6"/>
      <c r="D981" s="6"/>
      <c r="E981" s="6"/>
      <c r="F981" s="25"/>
      <c r="G981" s="25" t="str">
        <f>IF(A981="","",SUMIFS(Paradas_Detalhadas!$I:$I,Paradas_Detalhadas!$A:$A,A981,Paradas_Detalhadas!$B:$B,B981,Paradas_Detalhadas!$C:$C,C981,Paradas_Detalhadas!$D:$D,E981))</f>
        <v/>
      </c>
      <c r="H981" s="26" t="str">
        <f t="shared" si="75"/>
        <v/>
      </c>
      <c r="I981" s="10"/>
      <c r="J981" s="10"/>
      <c r="K981" s="10" t="str">
        <f t="shared" si="76"/>
        <v/>
      </c>
      <c r="L981" s="10" t="str">
        <f t="shared" si="77"/>
        <v/>
      </c>
      <c r="M981" s="10" t="str">
        <f t="shared" si="78"/>
        <v/>
      </c>
      <c r="N981" s="10" t="str">
        <f t="shared" si="79"/>
        <v/>
      </c>
      <c r="O981" s="6"/>
      <c r="P981" s="6"/>
    </row>
    <row r="982" spans="1:16" x14ac:dyDescent="0.3">
      <c r="A982" s="6"/>
      <c r="B982" s="7"/>
      <c r="C982" s="6"/>
      <c r="D982" s="6"/>
      <c r="E982" s="6"/>
      <c r="F982" s="25"/>
      <c r="G982" s="25" t="str">
        <f>IF(A982="","",SUMIFS(Paradas_Detalhadas!$I:$I,Paradas_Detalhadas!$A:$A,A982,Paradas_Detalhadas!$B:$B,B982,Paradas_Detalhadas!$C:$C,C982,Paradas_Detalhadas!$D:$D,E982))</f>
        <v/>
      </c>
      <c r="H982" s="26" t="str">
        <f t="shared" si="75"/>
        <v/>
      </c>
      <c r="I982" s="10"/>
      <c r="J982" s="10"/>
      <c r="K982" s="10" t="str">
        <f t="shared" si="76"/>
        <v/>
      </c>
      <c r="L982" s="10" t="str">
        <f t="shared" si="77"/>
        <v/>
      </c>
      <c r="M982" s="10" t="str">
        <f t="shared" si="78"/>
        <v/>
      </c>
      <c r="N982" s="10" t="str">
        <f t="shared" si="79"/>
        <v/>
      </c>
      <c r="O982" s="6"/>
      <c r="P982" s="6"/>
    </row>
    <row r="983" spans="1:16" x14ac:dyDescent="0.3">
      <c r="A983" s="6"/>
      <c r="B983" s="7"/>
      <c r="C983" s="6"/>
      <c r="D983" s="6"/>
      <c r="E983" s="6"/>
      <c r="F983" s="25"/>
      <c r="G983" s="25" t="str">
        <f>IF(A983="","",SUMIFS(Paradas_Detalhadas!$I:$I,Paradas_Detalhadas!$A:$A,A983,Paradas_Detalhadas!$B:$B,B983,Paradas_Detalhadas!$C:$C,C983,Paradas_Detalhadas!$D:$D,E983))</f>
        <v/>
      </c>
      <c r="H983" s="26" t="str">
        <f t="shared" si="75"/>
        <v/>
      </c>
      <c r="I983" s="10"/>
      <c r="J983" s="10"/>
      <c r="K983" s="10" t="str">
        <f t="shared" si="76"/>
        <v/>
      </c>
      <c r="L983" s="10" t="str">
        <f t="shared" si="77"/>
        <v/>
      </c>
      <c r="M983" s="10" t="str">
        <f t="shared" si="78"/>
        <v/>
      </c>
      <c r="N983" s="10" t="str">
        <f t="shared" si="79"/>
        <v/>
      </c>
      <c r="O983" s="6"/>
      <c r="P983" s="6"/>
    </row>
    <row r="984" spans="1:16" x14ac:dyDescent="0.3">
      <c r="A984" s="6"/>
      <c r="B984" s="7"/>
      <c r="C984" s="6"/>
      <c r="D984" s="6"/>
      <c r="E984" s="6"/>
      <c r="F984" s="25"/>
      <c r="G984" s="25" t="str">
        <f>IF(A984="","",SUMIFS(Paradas_Detalhadas!$I:$I,Paradas_Detalhadas!$A:$A,A984,Paradas_Detalhadas!$B:$B,B984,Paradas_Detalhadas!$C:$C,C984,Paradas_Detalhadas!$D:$D,E984))</f>
        <v/>
      </c>
      <c r="H984" s="26" t="str">
        <f t="shared" si="75"/>
        <v/>
      </c>
      <c r="I984" s="10"/>
      <c r="J984" s="10"/>
      <c r="K984" s="10" t="str">
        <f t="shared" si="76"/>
        <v/>
      </c>
      <c r="L984" s="10" t="str">
        <f t="shared" si="77"/>
        <v/>
      </c>
      <c r="M984" s="10" t="str">
        <f t="shared" si="78"/>
        <v/>
      </c>
      <c r="N984" s="10" t="str">
        <f t="shared" si="79"/>
        <v/>
      </c>
      <c r="O984" s="6"/>
      <c r="P984" s="6"/>
    </row>
    <row r="985" spans="1:16" x14ac:dyDescent="0.3">
      <c r="A985" s="6"/>
      <c r="B985" s="7"/>
      <c r="C985" s="6"/>
      <c r="D985" s="6"/>
      <c r="E985" s="6"/>
      <c r="F985" s="25"/>
      <c r="G985" s="25" t="str">
        <f>IF(A985="","",SUMIFS(Paradas_Detalhadas!$I:$I,Paradas_Detalhadas!$A:$A,A985,Paradas_Detalhadas!$B:$B,B985,Paradas_Detalhadas!$C:$C,C985,Paradas_Detalhadas!$D:$D,E985))</f>
        <v/>
      </c>
      <c r="H985" s="26" t="str">
        <f t="shared" si="75"/>
        <v/>
      </c>
      <c r="I985" s="10"/>
      <c r="J985" s="10"/>
      <c r="K985" s="10" t="str">
        <f t="shared" si="76"/>
        <v/>
      </c>
      <c r="L985" s="10" t="str">
        <f t="shared" si="77"/>
        <v/>
      </c>
      <c r="M985" s="10" t="str">
        <f t="shared" si="78"/>
        <v/>
      </c>
      <c r="N985" s="10" t="str">
        <f t="shared" si="79"/>
        <v/>
      </c>
      <c r="O985" s="6"/>
      <c r="P985" s="6"/>
    </row>
    <row r="986" spans="1:16" x14ac:dyDescent="0.3">
      <c r="A986" s="6"/>
      <c r="B986" s="7"/>
      <c r="C986" s="6"/>
      <c r="D986" s="6"/>
      <c r="E986" s="6"/>
      <c r="F986" s="25"/>
      <c r="G986" s="25" t="str">
        <f>IF(A986="","",SUMIFS(Paradas_Detalhadas!$I:$I,Paradas_Detalhadas!$A:$A,A986,Paradas_Detalhadas!$B:$B,B986,Paradas_Detalhadas!$C:$C,C986,Paradas_Detalhadas!$D:$D,E986))</f>
        <v/>
      </c>
      <c r="H986" s="26" t="str">
        <f t="shared" si="75"/>
        <v/>
      </c>
      <c r="I986" s="10"/>
      <c r="J986" s="10"/>
      <c r="K986" s="10" t="str">
        <f t="shared" si="76"/>
        <v/>
      </c>
      <c r="L986" s="10" t="str">
        <f t="shared" si="77"/>
        <v/>
      </c>
      <c r="M986" s="10" t="str">
        <f t="shared" si="78"/>
        <v/>
      </c>
      <c r="N986" s="10" t="str">
        <f t="shared" si="79"/>
        <v/>
      </c>
      <c r="O986" s="6"/>
      <c r="P986" s="6"/>
    </row>
    <row r="987" spans="1:16" x14ac:dyDescent="0.3">
      <c r="A987" s="6"/>
      <c r="B987" s="7"/>
      <c r="C987" s="6"/>
      <c r="D987" s="6"/>
      <c r="E987" s="6"/>
      <c r="F987" s="25"/>
      <c r="G987" s="25" t="str">
        <f>IF(A987="","",SUMIFS(Paradas_Detalhadas!$I:$I,Paradas_Detalhadas!$A:$A,A987,Paradas_Detalhadas!$B:$B,B987,Paradas_Detalhadas!$C:$C,C987,Paradas_Detalhadas!$D:$D,E987))</f>
        <v/>
      </c>
      <c r="H987" s="26" t="str">
        <f t="shared" si="75"/>
        <v/>
      </c>
      <c r="I987" s="10"/>
      <c r="J987" s="10"/>
      <c r="K987" s="10" t="str">
        <f t="shared" si="76"/>
        <v/>
      </c>
      <c r="L987" s="10" t="str">
        <f t="shared" si="77"/>
        <v/>
      </c>
      <c r="M987" s="10" t="str">
        <f t="shared" si="78"/>
        <v/>
      </c>
      <c r="N987" s="10" t="str">
        <f t="shared" si="79"/>
        <v/>
      </c>
      <c r="O987" s="6"/>
      <c r="P987" s="6"/>
    </row>
    <row r="988" spans="1:16" x14ac:dyDescent="0.3">
      <c r="A988" s="6"/>
      <c r="B988" s="7"/>
      <c r="C988" s="6"/>
      <c r="D988" s="6"/>
      <c r="E988" s="6"/>
      <c r="F988" s="25"/>
      <c r="G988" s="25" t="str">
        <f>IF(A988="","",SUMIFS(Paradas_Detalhadas!$I:$I,Paradas_Detalhadas!$A:$A,A988,Paradas_Detalhadas!$B:$B,B988,Paradas_Detalhadas!$C:$C,C988,Paradas_Detalhadas!$D:$D,E988))</f>
        <v/>
      </c>
      <c r="H988" s="26" t="str">
        <f t="shared" si="75"/>
        <v/>
      </c>
      <c r="I988" s="10"/>
      <c r="J988" s="10"/>
      <c r="K988" s="10" t="str">
        <f t="shared" si="76"/>
        <v/>
      </c>
      <c r="L988" s="10" t="str">
        <f t="shared" si="77"/>
        <v/>
      </c>
      <c r="M988" s="10" t="str">
        <f t="shared" si="78"/>
        <v/>
      </c>
      <c r="N988" s="10" t="str">
        <f t="shared" si="79"/>
        <v/>
      </c>
      <c r="O988" s="6"/>
      <c r="P988" s="6"/>
    </row>
    <row r="989" spans="1:16" x14ac:dyDescent="0.3">
      <c r="A989" s="6"/>
      <c r="B989" s="7"/>
      <c r="C989" s="6"/>
      <c r="D989" s="6"/>
      <c r="E989" s="6"/>
      <c r="F989" s="25"/>
      <c r="G989" s="25" t="str">
        <f>IF(A989="","",SUMIFS(Paradas_Detalhadas!$I:$I,Paradas_Detalhadas!$A:$A,A989,Paradas_Detalhadas!$B:$B,B989,Paradas_Detalhadas!$C:$C,C989,Paradas_Detalhadas!$D:$D,E989))</f>
        <v/>
      </c>
      <c r="H989" s="26" t="str">
        <f t="shared" si="75"/>
        <v/>
      </c>
      <c r="I989" s="10"/>
      <c r="J989" s="10"/>
      <c r="K989" s="10" t="str">
        <f t="shared" si="76"/>
        <v/>
      </c>
      <c r="L989" s="10" t="str">
        <f t="shared" si="77"/>
        <v/>
      </c>
      <c r="M989" s="10" t="str">
        <f t="shared" si="78"/>
        <v/>
      </c>
      <c r="N989" s="10" t="str">
        <f t="shared" si="79"/>
        <v/>
      </c>
      <c r="O989" s="6"/>
      <c r="P989" s="6"/>
    </row>
    <row r="990" spans="1:16" x14ac:dyDescent="0.3">
      <c r="A990" s="6"/>
      <c r="B990" s="7"/>
      <c r="C990" s="6"/>
      <c r="D990" s="6"/>
      <c r="E990" s="6"/>
      <c r="F990" s="25"/>
      <c r="G990" s="25" t="str">
        <f>IF(A990="","",SUMIFS(Paradas_Detalhadas!$I:$I,Paradas_Detalhadas!$A:$A,A990,Paradas_Detalhadas!$B:$B,B990,Paradas_Detalhadas!$C:$C,C990,Paradas_Detalhadas!$D:$D,E990))</f>
        <v/>
      </c>
      <c r="H990" s="26" t="str">
        <f t="shared" si="75"/>
        <v/>
      </c>
      <c r="I990" s="10"/>
      <c r="J990" s="10"/>
      <c r="K990" s="10" t="str">
        <f t="shared" si="76"/>
        <v/>
      </c>
      <c r="L990" s="10" t="str">
        <f t="shared" si="77"/>
        <v/>
      </c>
      <c r="M990" s="10" t="str">
        <f t="shared" si="78"/>
        <v/>
      </c>
      <c r="N990" s="10" t="str">
        <f t="shared" si="79"/>
        <v/>
      </c>
      <c r="O990" s="6"/>
      <c r="P990" s="6"/>
    </row>
    <row r="991" spans="1:16" x14ac:dyDescent="0.3">
      <c r="A991" s="6"/>
      <c r="B991" s="7"/>
      <c r="C991" s="6"/>
      <c r="D991" s="6"/>
      <c r="E991" s="6"/>
      <c r="F991" s="25"/>
      <c r="G991" s="25" t="str">
        <f>IF(A991="","",SUMIFS(Paradas_Detalhadas!$I:$I,Paradas_Detalhadas!$A:$A,A991,Paradas_Detalhadas!$B:$B,B991,Paradas_Detalhadas!$C:$C,C991,Paradas_Detalhadas!$D:$D,E991))</f>
        <v/>
      </c>
      <c r="H991" s="26" t="str">
        <f t="shared" si="75"/>
        <v/>
      </c>
      <c r="I991" s="10"/>
      <c r="J991" s="10"/>
      <c r="K991" s="10" t="str">
        <f t="shared" si="76"/>
        <v/>
      </c>
      <c r="L991" s="10" t="str">
        <f t="shared" si="77"/>
        <v/>
      </c>
      <c r="M991" s="10" t="str">
        <f t="shared" si="78"/>
        <v/>
      </c>
      <c r="N991" s="10" t="str">
        <f t="shared" si="79"/>
        <v/>
      </c>
      <c r="O991" s="6"/>
      <c r="P991" s="6"/>
    </row>
    <row r="992" spans="1:16" x14ac:dyDescent="0.3">
      <c r="A992" s="6"/>
      <c r="B992" s="7"/>
      <c r="C992" s="6"/>
      <c r="D992" s="6"/>
      <c r="E992" s="6"/>
      <c r="F992" s="25"/>
      <c r="G992" s="25" t="str">
        <f>IF(A992="","",SUMIFS(Paradas_Detalhadas!$I:$I,Paradas_Detalhadas!$A:$A,A992,Paradas_Detalhadas!$B:$B,B992,Paradas_Detalhadas!$C:$C,C992,Paradas_Detalhadas!$D:$D,E992))</f>
        <v/>
      </c>
      <c r="H992" s="26" t="str">
        <f t="shared" si="75"/>
        <v/>
      </c>
      <c r="I992" s="10"/>
      <c r="J992" s="10"/>
      <c r="K992" s="10" t="str">
        <f t="shared" si="76"/>
        <v/>
      </c>
      <c r="L992" s="10" t="str">
        <f t="shared" si="77"/>
        <v/>
      </c>
      <c r="M992" s="10" t="str">
        <f t="shared" si="78"/>
        <v/>
      </c>
      <c r="N992" s="10" t="str">
        <f t="shared" si="79"/>
        <v/>
      </c>
      <c r="O992" s="6"/>
      <c r="P992" s="6"/>
    </row>
    <row r="993" spans="1:16" x14ac:dyDescent="0.3">
      <c r="A993" s="6"/>
      <c r="B993" s="7"/>
      <c r="C993" s="6"/>
      <c r="D993" s="6"/>
      <c r="E993" s="6"/>
      <c r="F993" s="25"/>
      <c r="G993" s="25" t="str">
        <f>IF(A993="","",SUMIFS(Paradas_Detalhadas!$I:$I,Paradas_Detalhadas!$A:$A,A993,Paradas_Detalhadas!$B:$B,B993,Paradas_Detalhadas!$C:$C,C993,Paradas_Detalhadas!$D:$D,E993))</f>
        <v/>
      </c>
      <c r="H993" s="26" t="str">
        <f t="shared" si="75"/>
        <v/>
      </c>
      <c r="I993" s="10"/>
      <c r="J993" s="10"/>
      <c r="K993" s="10" t="str">
        <f t="shared" si="76"/>
        <v/>
      </c>
      <c r="L993" s="10" t="str">
        <f t="shared" si="77"/>
        <v/>
      </c>
      <c r="M993" s="10" t="str">
        <f t="shared" si="78"/>
        <v/>
      </c>
      <c r="N993" s="10" t="str">
        <f t="shared" si="79"/>
        <v/>
      </c>
      <c r="O993" s="6"/>
      <c r="P993" s="6"/>
    </row>
    <row r="994" spans="1:16" x14ac:dyDescent="0.3">
      <c r="A994" s="6"/>
      <c r="B994" s="7"/>
      <c r="C994" s="6"/>
      <c r="D994" s="6"/>
      <c r="E994" s="6"/>
      <c r="F994" s="25"/>
      <c r="G994" s="25" t="str">
        <f>IF(A994="","",SUMIFS(Paradas_Detalhadas!$I:$I,Paradas_Detalhadas!$A:$A,A994,Paradas_Detalhadas!$B:$B,B994,Paradas_Detalhadas!$C:$C,C994,Paradas_Detalhadas!$D:$D,E994))</f>
        <v/>
      </c>
      <c r="H994" s="26" t="str">
        <f t="shared" si="75"/>
        <v/>
      </c>
      <c r="I994" s="10"/>
      <c r="J994" s="10"/>
      <c r="K994" s="10" t="str">
        <f t="shared" si="76"/>
        <v/>
      </c>
      <c r="L994" s="10" t="str">
        <f t="shared" si="77"/>
        <v/>
      </c>
      <c r="M994" s="10" t="str">
        <f t="shared" si="78"/>
        <v/>
      </c>
      <c r="N994" s="10" t="str">
        <f t="shared" si="79"/>
        <v/>
      </c>
      <c r="O994" s="6"/>
      <c r="P994" s="6"/>
    </row>
    <row r="995" spans="1:16" x14ac:dyDescent="0.3">
      <c r="A995" s="6"/>
      <c r="B995" s="7"/>
      <c r="C995" s="6"/>
      <c r="D995" s="6"/>
      <c r="E995" s="6"/>
      <c r="F995" s="25"/>
      <c r="G995" s="25" t="str">
        <f>IF(A995="","",SUMIFS(Paradas_Detalhadas!$I:$I,Paradas_Detalhadas!$A:$A,A995,Paradas_Detalhadas!$B:$B,B995,Paradas_Detalhadas!$C:$C,C995,Paradas_Detalhadas!$D:$D,E995))</f>
        <v/>
      </c>
      <c r="H995" s="26" t="str">
        <f t="shared" si="75"/>
        <v/>
      </c>
      <c r="I995" s="10"/>
      <c r="J995" s="10"/>
      <c r="K995" s="10" t="str">
        <f t="shared" si="76"/>
        <v/>
      </c>
      <c r="L995" s="10" t="str">
        <f t="shared" si="77"/>
        <v/>
      </c>
      <c r="M995" s="10" t="str">
        <f t="shared" si="78"/>
        <v/>
      </c>
      <c r="N995" s="10" t="str">
        <f t="shared" si="79"/>
        <v/>
      </c>
      <c r="O995" s="6"/>
      <c r="P995" s="6"/>
    </row>
    <row r="996" spans="1:16" x14ac:dyDescent="0.3">
      <c r="A996" s="6"/>
      <c r="B996" s="7"/>
      <c r="C996" s="6"/>
      <c r="D996" s="6"/>
      <c r="E996" s="6"/>
      <c r="F996" s="25"/>
      <c r="G996" s="25" t="str">
        <f>IF(A996="","",SUMIFS(Paradas_Detalhadas!$I:$I,Paradas_Detalhadas!$A:$A,A996,Paradas_Detalhadas!$B:$B,B996,Paradas_Detalhadas!$C:$C,C996,Paradas_Detalhadas!$D:$D,E996))</f>
        <v/>
      </c>
      <c r="H996" s="26" t="str">
        <f t="shared" si="75"/>
        <v/>
      </c>
      <c r="I996" s="10"/>
      <c r="J996" s="10"/>
      <c r="K996" s="10" t="str">
        <f t="shared" si="76"/>
        <v/>
      </c>
      <c r="L996" s="10" t="str">
        <f t="shared" si="77"/>
        <v/>
      </c>
      <c r="M996" s="10" t="str">
        <f t="shared" si="78"/>
        <v/>
      </c>
      <c r="N996" s="10" t="str">
        <f t="shared" si="79"/>
        <v/>
      </c>
      <c r="O996" s="6"/>
      <c r="P996" s="6"/>
    </row>
    <row r="997" spans="1:16" x14ac:dyDescent="0.3">
      <c r="A997" s="6"/>
      <c r="B997" s="7"/>
      <c r="C997" s="6"/>
      <c r="D997" s="6"/>
      <c r="E997" s="6"/>
      <c r="F997" s="25"/>
      <c r="G997" s="25" t="str">
        <f>IF(A997="","",SUMIFS(Paradas_Detalhadas!$I:$I,Paradas_Detalhadas!$A:$A,A997,Paradas_Detalhadas!$B:$B,B997,Paradas_Detalhadas!$C:$C,C997,Paradas_Detalhadas!$D:$D,E997))</f>
        <v/>
      </c>
      <c r="H997" s="26" t="str">
        <f t="shared" si="75"/>
        <v/>
      </c>
      <c r="I997" s="10"/>
      <c r="J997" s="10"/>
      <c r="K997" s="10" t="str">
        <f t="shared" si="76"/>
        <v/>
      </c>
      <c r="L997" s="10" t="str">
        <f t="shared" si="77"/>
        <v/>
      </c>
      <c r="M997" s="10" t="str">
        <f t="shared" si="78"/>
        <v/>
      </c>
      <c r="N997" s="10" t="str">
        <f t="shared" si="79"/>
        <v/>
      </c>
      <c r="O997" s="6"/>
      <c r="P997" s="6"/>
    </row>
    <row r="998" spans="1:16" x14ac:dyDescent="0.3">
      <c r="A998" s="6"/>
      <c r="B998" s="7"/>
      <c r="C998" s="6"/>
      <c r="D998" s="6"/>
      <c r="E998" s="6"/>
      <c r="F998" s="25"/>
      <c r="G998" s="25" t="str">
        <f>IF(A998="","",SUMIFS(Paradas_Detalhadas!$I:$I,Paradas_Detalhadas!$A:$A,A998,Paradas_Detalhadas!$B:$B,B998,Paradas_Detalhadas!$C:$C,C998,Paradas_Detalhadas!$D:$D,E998))</f>
        <v/>
      </c>
      <c r="H998" s="26" t="str">
        <f t="shared" si="75"/>
        <v/>
      </c>
      <c r="I998" s="10"/>
      <c r="J998" s="10"/>
      <c r="K998" s="10" t="str">
        <f t="shared" si="76"/>
        <v/>
      </c>
      <c r="L998" s="10" t="str">
        <f t="shared" si="77"/>
        <v/>
      </c>
      <c r="M998" s="10" t="str">
        <f t="shared" si="78"/>
        <v/>
      </c>
      <c r="N998" s="10" t="str">
        <f t="shared" si="79"/>
        <v/>
      </c>
      <c r="O998" s="6"/>
      <c r="P998" s="6"/>
    </row>
    <row r="999" spans="1:16" x14ac:dyDescent="0.3">
      <c r="A999" s="6"/>
      <c r="B999" s="7"/>
      <c r="C999" s="6"/>
      <c r="D999" s="6"/>
      <c r="E999" s="6"/>
      <c r="F999" s="25"/>
      <c r="G999" s="25" t="str">
        <f>IF(A999="","",SUMIFS(Paradas_Detalhadas!$I:$I,Paradas_Detalhadas!$A:$A,A999,Paradas_Detalhadas!$B:$B,B999,Paradas_Detalhadas!$C:$C,C999,Paradas_Detalhadas!$D:$D,E999))</f>
        <v/>
      </c>
      <c r="H999" s="26" t="str">
        <f t="shared" si="75"/>
        <v/>
      </c>
      <c r="I999" s="10"/>
      <c r="J999" s="10"/>
      <c r="K999" s="10" t="str">
        <f t="shared" si="76"/>
        <v/>
      </c>
      <c r="L999" s="10" t="str">
        <f t="shared" si="77"/>
        <v/>
      </c>
      <c r="M999" s="10" t="str">
        <f t="shared" si="78"/>
        <v/>
      </c>
      <c r="N999" s="10" t="str">
        <f t="shared" si="79"/>
        <v/>
      </c>
      <c r="O999" s="6"/>
      <c r="P999" s="6"/>
    </row>
    <row r="1000" spans="1:16" x14ac:dyDescent="0.3">
      <c r="A1000" s="6"/>
      <c r="B1000" s="7"/>
      <c r="C1000" s="6"/>
      <c r="D1000" s="6"/>
      <c r="E1000" s="6"/>
      <c r="F1000" s="25"/>
      <c r="G1000" s="25" t="str">
        <f>IF(A1000="","",SUMIFS(Paradas_Detalhadas!$I:$I,Paradas_Detalhadas!$A:$A,A1000,Paradas_Detalhadas!$B:$B,B1000,Paradas_Detalhadas!$C:$C,C1000,Paradas_Detalhadas!$D:$D,E1000))</f>
        <v/>
      </c>
      <c r="H1000" s="26" t="str">
        <f t="shared" si="75"/>
        <v/>
      </c>
      <c r="I1000" s="10"/>
      <c r="J1000" s="10"/>
      <c r="K1000" s="10" t="str">
        <f t="shared" si="76"/>
        <v/>
      </c>
      <c r="L1000" s="10" t="str">
        <f t="shared" si="77"/>
        <v/>
      </c>
      <c r="M1000" s="10" t="str">
        <f t="shared" si="78"/>
        <v/>
      </c>
      <c r="N1000" s="10" t="str">
        <f t="shared" si="79"/>
        <v/>
      </c>
      <c r="O1000" s="6"/>
      <c r="P1000" s="6"/>
    </row>
    <row r="1001" spans="1:16" x14ac:dyDescent="0.3">
      <c r="A1001" s="6"/>
      <c r="B1001" s="7"/>
      <c r="C1001" s="6"/>
      <c r="D1001" s="6"/>
      <c r="E1001" s="6"/>
      <c r="F1001" s="25"/>
      <c r="G1001" s="25" t="str">
        <f>IF(A1001="","",SUMIFS(Paradas_Detalhadas!$I:$I,Paradas_Detalhadas!$A:$A,A1001,Paradas_Detalhadas!$B:$B,B1001,Paradas_Detalhadas!$C:$C,C1001,Paradas_Detalhadas!$D:$D,E1001))</f>
        <v/>
      </c>
      <c r="H1001" s="26" t="str">
        <f t="shared" si="75"/>
        <v/>
      </c>
      <c r="I1001" s="10"/>
      <c r="J1001" s="10"/>
      <c r="K1001" s="10" t="str">
        <f t="shared" si="76"/>
        <v/>
      </c>
      <c r="L1001" s="10" t="str">
        <f t="shared" si="77"/>
        <v/>
      </c>
      <c r="M1001" s="10" t="str">
        <f t="shared" si="78"/>
        <v/>
      </c>
      <c r="N1001" s="10" t="str">
        <f t="shared" si="79"/>
        <v/>
      </c>
      <c r="O1001" s="6"/>
      <c r="P1001" s="6"/>
    </row>
    <row r="1002" spans="1:16" x14ac:dyDescent="0.3">
      <c r="A1002" s="6"/>
      <c r="B1002" s="7"/>
      <c r="C1002" s="6"/>
      <c r="D1002" s="6"/>
      <c r="E1002" s="6"/>
      <c r="F1002" s="25"/>
      <c r="G1002" s="25" t="str">
        <f>IF(A1002="","",SUMIFS(Paradas_Detalhadas!$I:$I,Paradas_Detalhadas!$A:$A,A1002,Paradas_Detalhadas!$B:$B,B1002,Paradas_Detalhadas!$C:$C,C1002,Paradas_Detalhadas!$D:$D,E1002))</f>
        <v/>
      </c>
      <c r="H1002" s="26" t="str">
        <f t="shared" si="75"/>
        <v/>
      </c>
      <c r="I1002" s="10"/>
      <c r="J1002" s="10"/>
      <c r="K1002" s="10" t="str">
        <f t="shared" si="76"/>
        <v/>
      </c>
      <c r="L1002" s="10" t="str">
        <f t="shared" si="77"/>
        <v/>
      </c>
      <c r="M1002" s="10" t="str">
        <f t="shared" si="78"/>
        <v/>
      </c>
      <c r="N1002" s="10" t="str">
        <f t="shared" si="79"/>
        <v/>
      </c>
      <c r="O1002" s="6"/>
      <c r="P1002" s="6"/>
    </row>
    <row r="1003" spans="1:16" x14ac:dyDescent="0.3">
      <c r="A1003" s="6"/>
      <c r="B1003" s="7"/>
      <c r="C1003" s="6"/>
      <c r="D1003" s="6"/>
      <c r="E1003" s="6"/>
      <c r="F1003" s="25"/>
      <c r="G1003" s="25" t="str">
        <f>IF(A1003="","",SUMIFS(Paradas_Detalhadas!$I:$I,Paradas_Detalhadas!$A:$A,A1003,Paradas_Detalhadas!$B:$B,B1003,Paradas_Detalhadas!$C:$C,C1003,Paradas_Detalhadas!$D:$D,E1003))</f>
        <v/>
      </c>
      <c r="H1003" s="26" t="str">
        <f t="shared" si="75"/>
        <v/>
      </c>
      <c r="I1003" s="10"/>
      <c r="J1003" s="10"/>
      <c r="K1003" s="10" t="str">
        <f t="shared" si="76"/>
        <v/>
      </c>
      <c r="L1003" s="10" t="str">
        <f t="shared" si="77"/>
        <v/>
      </c>
      <c r="M1003" s="10" t="str">
        <f t="shared" si="78"/>
        <v/>
      </c>
      <c r="N1003" s="10" t="str">
        <f t="shared" si="79"/>
        <v/>
      </c>
      <c r="O1003" s="6"/>
      <c r="P1003" s="6"/>
    </row>
    <row r="1004" spans="1:16" x14ac:dyDescent="0.3">
      <c r="A1004" s="6"/>
      <c r="B1004" s="7"/>
      <c r="C1004" s="6"/>
      <c r="D1004" s="6"/>
      <c r="E1004" s="6"/>
      <c r="F1004" s="25"/>
      <c r="G1004" s="25" t="str">
        <f>IF(A1004="","",SUMIFS(Paradas_Detalhadas!$I:$I,Paradas_Detalhadas!$A:$A,A1004,Paradas_Detalhadas!$B:$B,B1004,Paradas_Detalhadas!$C:$C,C1004,Paradas_Detalhadas!$D:$D,E1004))</f>
        <v/>
      </c>
      <c r="H1004" s="26" t="str">
        <f t="shared" si="75"/>
        <v/>
      </c>
      <c r="I1004" s="10"/>
      <c r="J1004" s="10"/>
      <c r="K1004" s="10" t="str">
        <f t="shared" si="76"/>
        <v/>
      </c>
      <c r="L1004" s="10" t="str">
        <f t="shared" si="77"/>
        <v/>
      </c>
      <c r="M1004" s="10" t="str">
        <f t="shared" si="78"/>
        <v/>
      </c>
      <c r="N1004" s="10" t="str">
        <f t="shared" si="79"/>
        <v/>
      </c>
      <c r="O1004" s="6"/>
      <c r="P1004" s="6"/>
    </row>
    <row r="1005" spans="1:16" x14ac:dyDescent="0.3">
      <c r="A1005" s="6"/>
      <c r="B1005" s="7"/>
      <c r="C1005" s="6"/>
      <c r="D1005" s="6"/>
      <c r="E1005" s="6"/>
      <c r="F1005" s="25"/>
      <c r="G1005" s="25" t="str">
        <f>IF(A1005="","",SUMIFS(Paradas_Detalhadas!$I:$I,Paradas_Detalhadas!$A:$A,A1005,Paradas_Detalhadas!$B:$B,B1005,Paradas_Detalhadas!$C:$C,C1005,Paradas_Detalhadas!$D:$D,E1005))</f>
        <v/>
      </c>
      <c r="H1005" s="26" t="str">
        <f t="shared" si="75"/>
        <v/>
      </c>
      <c r="I1005" s="10"/>
      <c r="J1005" s="10"/>
      <c r="K1005" s="10" t="str">
        <f t="shared" si="76"/>
        <v/>
      </c>
      <c r="L1005" s="10" t="str">
        <f t="shared" si="77"/>
        <v/>
      </c>
      <c r="M1005" s="10" t="str">
        <f t="shared" si="78"/>
        <v/>
      </c>
      <c r="N1005" s="10" t="str">
        <f t="shared" si="79"/>
        <v/>
      </c>
      <c r="O1005" s="6"/>
      <c r="P1005" s="6"/>
    </row>
    <row r="1006" spans="1:16" x14ac:dyDescent="0.3">
      <c r="A1006" s="6"/>
      <c r="B1006" s="7"/>
      <c r="C1006" s="6"/>
      <c r="D1006" s="6"/>
      <c r="E1006" s="6"/>
      <c r="F1006" s="25"/>
      <c r="G1006" s="25" t="str">
        <f>IF(A1006="","",SUMIFS(Paradas_Detalhadas!$I:$I,Paradas_Detalhadas!$A:$A,A1006,Paradas_Detalhadas!$B:$B,B1006,Paradas_Detalhadas!$C:$C,C1006,Paradas_Detalhadas!$D:$D,E1006))</f>
        <v/>
      </c>
      <c r="H1006" s="26" t="str">
        <f t="shared" ref="H1006:H1069" si="80">IF(OR(F1006="",G1006=""),"",MAX(F1006-G1006,0))</f>
        <v/>
      </c>
      <c r="I1006" s="10"/>
      <c r="J1006" s="10"/>
      <c r="K1006" s="10" t="str">
        <f t="shared" ref="K1006:K1069" si="81">IF(AND(I1006="",J1006=""),"",SUM(I1006:J1006))</f>
        <v/>
      </c>
      <c r="L1006" s="10" t="str">
        <f t="shared" ref="L1006:L1069" si="82">IFERROR(K1006/H1006,"")</f>
        <v/>
      </c>
      <c r="M1006" s="10" t="str">
        <f t="shared" ref="M1006:M1069" si="83">IFERROR(I1006/H1006,"")</f>
        <v/>
      </c>
      <c r="N1006" s="10" t="str">
        <f t="shared" ref="N1006:N1069" si="84">IFERROR(J1006/H1006,"")</f>
        <v/>
      </c>
      <c r="O1006" s="6"/>
      <c r="P1006" s="6"/>
    </row>
    <row r="1007" spans="1:16" x14ac:dyDescent="0.3">
      <c r="A1007" s="6"/>
      <c r="B1007" s="7"/>
      <c r="C1007" s="6"/>
      <c r="D1007" s="6"/>
      <c r="E1007" s="6"/>
      <c r="F1007" s="25"/>
      <c r="G1007" s="25" t="str">
        <f>IF(A1007="","",SUMIFS(Paradas_Detalhadas!$I:$I,Paradas_Detalhadas!$A:$A,A1007,Paradas_Detalhadas!$B:$B,B1007,Paradas_Detalhadas!$C:$C,C1007,Paradas_Detalhadas!$D:$D,E1007))</f>
        <v/>
      </c>
      <c r="H1007" s="26" t="str">
        <f t="shared" si="80"/>
        <v/>
      </c>
      <c r="I1007" s="10"/>
      <c r="J1007" s="10"/>
      <c r="K1007" s="10" t="str">
        <f t="shared" si="81"/>
        <v/>
      </c>
      <c r="L1007" s="10" t="str">
        <f t="shared" si="82"/>
        <v/>
      </c>
      <c r="M1007" s="10" t="str">
        <f t="shared" si="83"/>
        <v/>
      </c>
      <c r="N1007" s="10" t="str">
        <f t="shared" si="84"/>
        <v/>
      </c>
      <c r="O1007" s="6"/>
      <c r="P1007" s="6"/>
    </row>
    <row r="1008" spans="1:16" x14ac:dyDescent="0.3">
      <c r="A1008" s="6"/>
      <c r="B1008" s="7"/>
      <c r="C1008" s="6"/>
      <c r="D1008" s="6"/>
      <c r="E1008" s="6"/>
      <c r="F1008" s="25"/>
      <c r="G1008" s="25" t="str">
        <f>IF(A1008="","",SUMIFS(Paradas_Detalhadas!$I:$I,Paradas_Detalhadas!$A:$A,A1008,Paradas_Detalhadas!$B:$B,B1008,Paradas_Detalhadas!$C:$C,C1008,Paradas_Detalhadas!$D:$D,E1008))</f>
        <v/>
      </c>
      <c r="H1008" s="26" t="str">
        <f t="shared" si="80"/>
        <v/>
      </c>
      <c r="I1008" s="10"/>
      <c r="J1008" s="10"/>
      <c r="K1008" s="10" t="str">
        <f t="shared" si="81"/>
        <v/>
      </c>
      <c r="L1008" s="10" t="str">
        <f t="shared" si="82"/>
        <v/>
      </c>
      <c r="M1008" s="10" t="str">
        <f t="shared" si="83"/>
        <v/>
      </c>
      <c r="N1008" s="10" t="str">
        <f t="shared" si="84"/>
        <v/>
      </c>
      <c r="O1008" s="6"/>
      <c r="P1008" s="6"/>
    </row>
    <row r="1009" spans="1:16" x14ac:dyDescent="0.3">
      <c r="A1009" s="6"/>
      <c r="B1009" s="7"/>
      <c r="C1009" s="6"/>
      <c r="D1009" s="6"/>
      <c r="E1009" s="6"/>
      <c r="F1009" s="25"/>
      <c r="G1009" s="25" t="str">
        <f>IF(A1009="","",SUMIFS(Paradas_Detalhadas!$I:$I,Paradas_Detalhadas!$A:$A,A1009,Paradas_Detalhadas!$B:$B,B1009,Paradas_Detalhadas!$C:$C,C1009,Paradas_Detalhadas!$D:$D,E1009))</f>
        <v/>
      </c>
      <c r="H1009" s="26" t="str">
        <f t="shared" si="80"/>
        <v/>
      </c>
      <c r="I1009" s="10"/>
      <c r="J1009" s="10"/>
      <c r="K1009" s="10" t="str">
        <f t="shared" si="81"/>
        <v/>
      </c>
      <c r="L1009" s="10" t="str">
        <f t="shared" si="82"/>
        <v/>
      </c>
      <c r="M1009" s="10" t="str">
        <f t="shared" si="83"/>
        <v/>
      </c>
      <c r="N1009" s="10" t="str">
        <f t="shared" si="84"/>
        <v/>
      </c>
      <c r="O1009" s="6"/>
      <c r="P1009" s="6"/>
    </row>
    <row r="1010" spans="1:16" x14ac:dyDescent="0.3">
      <c r="A1010" s="6"/>
      <c r="B1010" s="7"/>
      <c r="C1010" s="6"/>
      <c r="D1010" s="6"/>
      <c r="E1010" s="6"/>
      <c r="F1010" s="25"/>
      <c r="G1010" s="25" t="str">
        <f>IF(A1010="","",SUMIFS(Paradas_Detalhadas!$I:$I,Paradas_Detalhadas!$A:$A,A1010,Paradas_Detalhadas!$B:$B,B1010,Paradas_Detalhadas!$C:$C,C1010,Paradas_Detalhadas!$D:$D,E1010))</f>
        <v/>
      </c>
      <c r="H1010" s="26" t="str">
        <f t="shared" si="80"/>
        <v/>
      </c>
      <c r="I1010" s="10"/>
      <c r="J1010" s="10"/>
      <c r="K1010" s="10" t="str">
        <f t="shared" si="81"/>
        <v/>
      </c>
      <c r="L1010" s="10" t="str">
        <f t="shared" si="82"/>
        <v/>
      </c>
      <c r="M1010" s="10" t="str">
        <f t="shared" si="83"/>
        <v/>
      </c>
      <c r="N1010" s="10" t="str">
        <f t="shared" si="84"/>
        <v/>
      </c>
      <c r="O1010" s="6"/>
      <c r="P1010" s="6"/>
    </row>
    <row r="1011" spans="1:16" x14ac:dyDescent="0.3">
      <c r="A1011" s="6"/>
      <c r="B1011" s="7"/>
      <c r="C1011" s="6"/>
      <c r="D1011" s="6"/>
      <c r="E1011" s="6"/>
      <c r="F1011" s="25"/>
      <c r="G1011" s="25" t="str">
        <f>IF(A1011="","",SUMIFS(Paradas_Detalhadas!$I:$I,Paradas_Detalhadas!$A:$A,A1011,Paradas_Detalhadas!$B:$B,B1011,Paradas_Detalhadas!$C:$C,C1011,Paradas_Detalhadas!$D:$D,E1011))</f>
        <v/>
      </c>
      <c r="H1011" s="26" t="str">
        <f t="shared" si="80"/>
        <v/>
      </c>
      <c r="I1011" s="10"/>
      <c r="J1011" s="10"/>
      <c r="K1011" s="10" t="str">
        <f t="shared" si="81"/>
        <v/>
      </c>
      <c r="L1011" s="10" t="str">
        <f t="shared" si="82"/>
        <v/>
      </c>
      <c r="M1011" s="10" t="str">
        <f t="shared" si="83"/>
        <v/>
      </c>
      <c r="N1011" s="10" t="str">
        <f t="shared" si="84"/>
        <v/>
      </c>
      <c r="O1011" s="6"/>
      <c r="P1011" s="6"/>
    </row>
    <row r="1012" spans="1:16" x14ac:dyDescent="0.3">
      <c r="A1012" s="6"/>
      <c r="B1012" s="7"/>
      <c r="C1012" s="6"/>
      <c r="D1012" s="6"/>
      <c r="E1012" s="6"/>
      <c r="F1012" s="25"/>
      <c r="G1012" s="25" t="str">
        <f>IF(A1012="","",SUMIFS(Paradas_Detalhadas!$I:$I,Paradas_Detalhadas!$A:$A,A1012,Paradas_Detalhadas!$B:$B,B1012,Paradas_Detalhadas!$C:$C,C1012,Paradas_Detalhadas!$D:$D,E1012))</f>
        <v/>
      </c>
      <c r="H1012" s="26" t="str">
        <f t="shared" si="80"/>
        <v/>
      </c>
      <c r="I1012" s="10"/>
      <c r="J1012" s="10"/>
      <c r="K1012" s="10" t="str">
        <f t="shared" si="81"/>
        <v/>
      </c>
      <c r="L1012" s="10" t="str">
        <f t="shared" si="82"/>
        <v/>
      </c>
      <c r="M1012" s="10" t="str">
        <f t="shared" si="83"/>
        <v/>
      </c>
      <c r="N1012" s="10" t="str">
        <f t="shared" si="84"/>
        <v/>
      </c>
      <c r="O1012" s="6"/>
      <c r="P1012" s="6"/>
    </row>
    <row r="1013" spans="1:16" x14ac:dyDescent="0.3">
      <c r="A1013" s="6"/>
      <c r="B1013" s="7"/>
      <c r="C1013" s="6"/>
      <c r="D1013" s="6"/>
      <c r="E1013" s="6"/>
      <c r="F1013" s="25"/>
      <c r="G1013" s="25" t="str">
        <f>IF(A1013="","",SUMIFS(Paradas_Detalhadas!$I:$I,Paradas_Detalhadas!$A:$A,A1013,Paradas_Detalhadas!$B:$B,B1013,Paradas_Detalhadas!$C:$C,C1013,Paradas_Detalhadas!$D:$D,E1013))</f>
        <v/>
      </c>
      <c r="H1013" s="26" t="str">
        <f t="shared" si="80"/>
        <v/>
      </c>
      <c r="I1013" s="10"/>
      <c r="J1013" s="10"/>
      <c r="K1013" s="10" t="str">
        <f t="shared" si="81"/>
        <v/>
      </c>
      <c r="L1013" s="10" t="str">
        <f t="shared" si="82"/>
        <v/>
      </c>
      <c r="M1013" s="10" t="str">
        <f t="shared" si="83"/>
        <v/>
      </c>
      <c r="N1013" s="10" t="str">
        <f t="shared" si="84"/>
        <v/>
      </c>
      <c r="O1013" s="6"/>
      <c r="P1013" s="6"/>
    </row>
    <row r="1014" spans="1:16" x14ac:dyDescent="0.3">
      <c r="A1014" s="6"/>
      <c r="B1014" s="7"/>
      <c r="C1014" s="6"/>
      <c r="D1014" s="6"/>
      <c r="E1014" s="6"/>
      <c r="F1014" s="25"/>
      <c r="G1014" s="25" t="str">
        <f>IF(A1014="","",SUMIFS(Paradas_Detalhadas!$I:$I,Paradas_Detalhadas!$A:$A,A1014,Paradas_Detalhadas!$B:$B,B1014,Paradas_Detalhadas!$C:$C,C1014,Paradas_Detalhadas!$D:$D,E1014))</f>
        <v/>
      </c>
      <c r="H1014" s="26" t="str">
        <f t="shared" si="80"/>
        <v/>
      </c>
      <c r="I1014" s="10"/>
      <c r="J1014" s="10"/>
      <c r="K1014" s="10" t="str">
        <f t="shared" si="81"/>
        <v/>
      </c>
      <c r="L1014" s="10" t="str">
        <f t="shared" si="82"/>
        <v/>
      </c>
      <c r="M1014" s="10" t="str">
        <f t="shared" si="83"/>
        <v/>
      </c>
      <c r="N1014" s="10" t="str">
        <f t="shared" si="84"/>
        <v/>
      </c>
      <c r="O1014" s="6"/>
      <c r="P1014" s="6"/>
    </row>
    <row r="1015" spans="1:16" x14ac:dyDescent="0.3">
      <c r="A1015" s="6"/>
      <c r="B1015" s="7"/>
      <c r="C1015" s="6"/>
      <c r="D1015" s="6"/>
      <c r="E1015" s="6"/>
      <c r="F1015" s="25"/>
      <c r="G1015" s="25" t="str">
        <f>IF(A1015="","",SUMIFS(Paradas_Detalhadas!$I:$I,Paradas_Detalhadas!$A:$A,A1015,Paradas_Detalhadas!$B:$B,B1015,Paradas_Detalhadas!$C:$C,C1015,Paradas_Detalhadas!$D:$D,E1015))</f>
        <v/>
      </c>
      <c r="H1015" s="26" t="str">
        <f t="shared" si="80"/>
        <v/>
      </c>
      <c r="I1015" s="10"/>
      <c r="J1015" s="10"/>
      <c r="K1015" s="10" t="str">
        <f t="shared" si="81"/>
        <v/>
      </c>
      <c r="L1015" s="10" t="str">
        <f t="shared" si="82"/>
        <v/>
      </c>
      <c r="M1015" s="10" t="str">
        <f t="shared" si="83"/>
        <v/>
      </c>
      <c r="N1015" s="10" t="str">
        <f t="shared" si="84"/>
        <v/>
      </c>
      <c r="O1015" s="6"/>
      <c r="P1015" s="6"/>
    </row>
    <row r="1016" spans="1:16" x14ac:dyDescent="0.3">
      <c r="A1016" s="6"/>
      <c r="B1016" s="7"/>
      <c r="C1016" s="6"/>
      <c r="D1016" s="6"/>
      <c r="E1016" s="6"/>
      <c r="F1016" s="25"/>
      <c r="G1016" s="25" t="str">
        <f>IF(A1016="","",SUMIFS(Paradas_Detalhadas!$I:$I,Paradas_Detalhadas!$A:$A,A1016,Paradas_Detalhadas!$B:$B,B1016,Paradas_Detalhadas!$C:$C,C1016,Paradas_Detalhadas!$D:$D,E1016))</f>
        <v/>
      </c>
      <c r="H1016" s="26" t="str">
        <f t="shared" si="80"/>
        <v/>
      </c>
      <c r="I1016" s="10"/>
      <c r="J1016" s="10"/>
      <c r="K1016" s="10" t="str">
        <f t="shared" si="81"/>
        <v/>
      </c>
      <c r="L1016" s="10" t="str">
        <f t="shared" si="82"/>
        <v/>
      </c>
      <c r="M1016" s="10" t="str">
        <f t="shared" si="83"/>
        <v/>
      </c>
      <c r="N1016" s="10" t="str">
        <f t="shared" si="84"/>
        <v/>
      </c>
      <c r="O1016" s="6"/>
      <c r="P1016" s="6"/>
    </row>
    <row r="1017" spans="1:16" x14ac:dyDescent="0.3">
      <c r="A1017" s="6"/>
      <c r="B1017" s="7"/>
      <c r="C1017" s="6"/>
      <c r="D1017" s="6"/>
      <c r="E1017" s="6"/>
      <c r="F1017" s="25"/>
      <c r="G1017" s="25" t="str">
        <f>IF(A1017="","",SUMIFS(Paradas_Detalhadas!$I:$I,Paradas_Detalhadas!$A:$A,A1017,Paradas_Detalhadas!$B:$B,B1017,Paradas_Detalhadas!$C:$C,C1017,Paradas_Detalhadas!$D:$D,E1017))</f>
        <v/>
      </c>
      <c r="H1017" s="26" t="str">
        <f t="shared" si="80"/>
        <v/>
      </c>
      <c r="I1017" s="10"/>
      <c r="J1017" s="10"/>
      <c r="K1017" s="10" t="str">
        <f t="shared" si="81"/>
        <v/>
      </c>
      <c r="L1017" s="10" t="str">
        <f t="shared" si="82"/>
        <v/>
      </c>
      <c r="M1017" s="10" t="str">
        <f t="shared" si="83"/>
        <v/>
      </c>
      <c r="N1017" s="10" t="str">
        <f t="shared" si="84"/>
        <v/>
      </c>
      <c r="O1017" s="6"/>
      <c r="P1017" s="6"/>
    </row>
    <row r="1018" spans="1:16" x14ac:dyDescent="0.3">
      <c r="A1018" s="6"/>
      <c r="B1018" s="7"/>
      <c r="C1018" s="6"/>
      <c r="D1018" s="6"/>
      <c r="E1018" s="6"/>
      <c r="F1018" s="25"/>
      <c r="G1018" s="25" t="str">
        <f>IF(A1018="","",SUMIFS(Paradas_Detalhadas!$I:$I,Paradas_Detalhadas!$A:$A,A1018,Paradas_Detalhadas!$B:$B,B1018,Paradas_Detalhadas!$C:$C,C1018,Paradas_Detalhadas!$D:$D,E1018))</f>
        <v/>
      </c>
      <c r="H1018" s="26" t="str">
        <f t="shared" si="80"/>
        <v/>
      </c>
      <c r="I1018" s="10"/>
      <c r="J1018" s="10"/>
      <c r="K1018" s="10" t="str">
        <f t="shared" si="81"/>
        <v/>
      </c>
      <c r="L1018" s="10" t="str">
        <f t="shared" si="82"/>
        <v/>
      </c>
      <c r="M1018" s="10" t="str">
        <f t="shared" si="83"/>
        <v/>
      </c>
      <c r="N1018" s="10" t="str">
        <f t="shared" si="84"/>
        <v/>
      </c>
      <c r="O1018" s="6"/>
      <c r="P1018" s="6"/>
    </row>
    <row r="1019" spans="1:16" x14ac:dyDescent="0.3">
      <c r="A1019" s="6"/>
      <c r="B1019" s="7"/>
      <c r="C1019" s="6"/>
      <c r="D1019" s="6"/>
      <c r="E1019" s="6"/>
      <c r="F1019" s="25"/>
      <c r="G1019" s="25" t="str">
        <f>IF(A1019="","",SUMIFS(Paradas_Detalhadas!$I:$I,Paradas_Detalhadas!$A:$A,A1019,Paradas_Detalhadas!$B:$B,B1019,Paradas_Detalhadas!$C:$C,C1019,Paradas_Detalhadas!$D:$D,E1019))</f>
        <v/>
      </c>
      <c r="H1019" s="26" t="str">
        <f t="shared" si="80"/>
        <v/>
      </c>
      <c r="I1019" s="10"/>
      <c r="J1019" s="10"/>
      <c r="K1019" s="10" t="str">
        <f t="shared" si="81"/>
        <v/>
      </c>
      <c r="L1019" s="10" t="str">
        <f t="shared" si="82"/>
        <v/>
      </c>
      <c r="M1019" s="10" t="str">
        <f t="shared" si="83"/>
        <v/>
      </c>
      <c r="N1019" s="10" t="str">
        <f t="shared" si="84"/>
        <v/>
      </c>
      <c r="O1019" s="6"/>
      <c r="P1019" s="6"/>
    </row>
    <row r="1020" spans="1:16" x14ac:dyDescent="0.3">
      <c r="A1020" s="6"/>
      <c r="B1020" s="7"/>
      <c r="C1020" s="6"/>
      <c r="D1020" s="6"/>
      <c r="E1020" s="6"/>
      <c r="F1020" s="25"/>
      <c r="G1020" s="25" t="str">
        <f>IF(A1020="","",SUMIFS(Paradas_Detalhadas!$I:$I,Paradas_Detalhadas!$A:$A,A1020,Paradas_Detalhadas!$B:$B,B1020,Paradas_Detalhadas!$C:$C,C1020,Paradas_Detalhadas!$D:$D,E1020))</f>
        <v/>
      </c>
      <c r="H1020" s="26" t="str">
        <f t="shared" si="80"/>
        <v/>
      </c>
      <c r="I1020" s="10"/>
      <c r="J1020" s="10"/>
      <c r="K1020" s="10" t="str">
        <f t="shared" si="81"/>
        <v/>
      </c>
      <c r="L1020" s="10" t="str">
        <f t="shared" si="82"/>
        <v/>
      </c>
      <c r="M1020" s="10" t="str">
        <f t="shared" si="83"/>
        <v/>
      </c>
      <c r="N1020" s="10" t="str">
        <f t="shared" si="84"/>
        <v/>
      </c>
      <c r="O1020" s="6"/>
      <c r="P1020" s="6"/>
    </row>
    <row r="1021" spans="1:16" x14ac:dyDescent="0.3">
      <c r="A1021" s="6"/>
      <c r="B1021" s="7"/>
      <c r="C1021" s="6"/>
      <c r="D1021" s="6"/>
      <c r="E1021" s="6"/>
      <c r="F1021" s="25"/>
      <c r="G1021" s="25" t="str">
        <f>IF(A1021="","",SUMIFS(Paradas_Detalhadas!$I:$I,Paradas_Detalhadas!$A:$A,A1021,Paradas_Detalhadas!$B:$B,B1021,Paradas_Detalhadas!$C:$C,C1021,Paradas_Detalhadas!$D:$D,E1021))</f>
        <v/>
      </c>
      <c r="H1021" s="26" t="str">
        <f t="shared" si="80"/>
        <v/>
      </c>
      <c r="I1021" s="10"/>
      <c r="J1021" s="10"/>
      <c r="K1021" s="10" t="str">
        <f t="shared" si="81"/>
        <v/>
      </c>
      <c r="L1021" s="10" t="str">
        <f t="shared" si="82"/>
        <v/>
      </c>
      <c r="M1021" s="10" t="str">
        <f t="shared" si="83"/>
        <v/>
      </c>
      <c r="N1021" s="10" t="str">
        <f t="shared" si="84"/>
        <v/>
      </c>
      <c r="O1021" s="6"/>
      <c r="P1021" s="6"/>
    </row>
    <row r="1022" spans="1:16" x14ac:dyDescent="0.3">
      <c r="A1022" s="6"/>
      <c r="B1022" s="7"/>
      <c r="C1022" s="6"/>
      <c r="D1022" s="6"/>
      <c r="E1022" s="6"/>
      <c r="F1022" s="25"/>
      <c r="G1022" s="25" t="str">
        <f>IF(A1022="","",SUMIFS(Paradas_Detalhadas!$I:$I,Paradas_Detalhadas!$A:$A,A1022,Paradas_Detalhadas!$B:$B,B1022,Paradas_Detalhadas!$C:$C,C1022,Paradas_Detalhadas!$D:$D,E1022))</f>
        <v/>
      </c>
      <c r="H1022" s="26" t="str">
        <f t="shared" si="80"/>
        <v/>
      </c>
      <c r="I1022" s="10"/>
      <c r="J1022" s="10"/>
      <c r="K1022" s="10" t="str">
        <f t="shared" si="81"/>
        <v/>
      </c>
      <c r="L1022" s="10" t="str">
        <f t="shared" si="82"/>
        <v/>
      </c>
      <c r="M1022" s="10" t="str">
        <f t="shared" si="83"/>
        <v/>
      </c>
      <c r="N1022" s="10" t="str">
        <f t="shared" si="84"/>
        <v/>
      </c>
      <c r="O1022" s="6"/>
      <c r="P1022" s="6"/>
    </row>
    <row r="1023" spans="1:16" x14ac:dyDescent="0.3">
      <c r="A1023" s="6"/>
      <c r="B1023" s="7"/>
      <c r="C1023" s="6"/>
      <c r="D1023" s="6"/>
      <c r="E1023" s="6"/>
      <c r="F1023" s="25"/>
      <c r="G1023" s="25" t="str">
        <f>IF(A1023="","",SUMIFS(Paradas_Detalhadas!$I:$I,Paradas_Detalhadas!$A:$A,A1023,Paradas_Detalhadas!$B:$B,B1023,Paradas_Detalhadas!$C:$C,C1023,Paradas_Detalhadas!$D:$D,E1023))</f>
        <v/>
      </c>
      <c r="H1023" s="26" t="str">
        <f t="shared" si="80"/>
        <v/>
      </c>
      <c r="I1023" s="10"/>
      <c r="J1023" s="10"/>
      <c r="K1023" s="10" t="str">
        <f t="shared" si="81"/>
        <v/>
      </c>
      <c r="L1023" s="10" t="str">
        <f t="shared" si="82"/>
        <v/>
      </c>
      <c r="M1023" s="10" t="str">
        <f t="shared" si="83"/>
        <v/>
      </c>
      <c r="N1023" s="10" t="str">
        <f t="shared" si="84"/>
        <v/>
      </c>
      <c r="O1023" s="6"/>
      <c r="P1023" s="6"/>
    </row>
    <row r="1024" spans="1:16" x14ac:dyDescent="0.3">
      <c r="A1024" s="6"/>
      <c r="B1024" s="7"/>
      <c r="C1024" s="6"/>
      <c r="D1024" s="6"/>
      <c r="E1024" s="6"/>
      <c r="F1024" s="25"/>
      <c r="G1024" s="25" t="str">
        <f>IF(A1024="","",SUMIFS(Paradas_Detalhadas!$I:$I,Paradas_Detalhadas!$A:$A,A1024,Paradas_Detalhadas!$B:$B,B1024,Paradas_Detalhadas!$C:$C,C1024,Paradas_Detalhadas!$D:$D,E1024))</f>
        <v/>
      </c>
      <c r="H1024" s="26" t="str">
        <f t="shared" si="80"/>
        <v/>
      </c>
      <c r="I1024" s="10"/>
      <c r="J1024" s="10"/>
      <c r="K1024" s="10" t="str">
        <f t="shared" si="81"/>
        <v/>
      </c>
      <c r="L1024" s="10" t="str">
        <f t="shared" si="82"/>
        <v/>
      </c>
      <c r="M1024" s="10" t="str">
        <f t="shared" si="83"/>
        <v/>
      </c>
      <c r="N1024" s="10" t="str">
        <f t="shared" si="84"/>
        <v/>
      </c>
      <c r="O1024" s="6"/>
      <c r="P1024" s="6"/>
    </row>
    <row r="1025" spans="1:16" x14ac:dyDescent="0.3">
      <c r="A1025" s="6"/>
      <c r="B1025" s="7"/>
      <c r="C1025" s="6"/>
      <c r="D1025" s="6"/>
      <c r="E1025" s="6"/>
      <c r="F1025" s="25"/>
      <c r="G1025" s="25" t="str">
        <f>IF(A1025="","",SUMIFS(Paradas_Detalhadas!$I:$I,Paradas_Detalhadas!$A:$A,A1025,Paradas_Detalhadas!$B:$B,B1025,Paradas_Detalhadas!$C:$C,C1025,Paradas_Detalhadas!$D:$D,E1025))</f>
        <v/>
      </c>
      <c r="H1025" s="26" t="str">
        <f t="shared" si="80"/>
        <v/>
      </c>
      <c r="I1025" s="10"/>
      <c r="J1025" s="10"/>
      <c r="K1025" s="10" t="str">
        <f t="shared" si="81"/>
        <v/>
      </c>
      <c r="L1025" s="10" t="str">
        <f t="shared" si="82"/>
        <v/>
      </c>
      <c r="M1025" s="10" t="str">
        <f t="shared" si="83"/>
        <v/>
      </c>
      <c r="N1025" s="10" t="str">
        <f t="shared" si="84"/>
        <v/>
      </c>
      <c r="O1025" s="6"/>
      <c r="P1025" s="6"/>
    </row>
    <row r="1026" spans="1:16" x14ac:dyDescent="0.3">
      <c r="A1026" s="6"/>
      <c r="B1026" s="7"/>
      <c r="C1026" s="6"/>
      <c r="D1026" s="6"/>
      <c r="E1026" s="6"/>
      <c r="F1026" s="25"/>
      <c r="G1026" s="25" t="str">
        <f>IF(A1026="","",SUMIFS(Paradas_Detalhadas!$I:$I,Paradas_Detalhadas!$A:$A,A1026,Paradas_Detalhadas!$B:$B,B1026,Paradas_Detalhadas!$C:$C,C1026,Paradas_Detalhadas!$D:$D,E1026))</f>
        <v/>
      </c>
      <c r="H1026" s="26" t="str">
        <f t="shared" si="80"/>
        <v/>
      </c>
      <c r="I1026" s="10"/>
      <c r="J1026" s="10"/>
      <c r="K1026" s="10" t="str">
        <f t="shared" si="81"/>
        <v/>
      </c>
      <c r="L1026" s="10" t="str">
        <f t="shared" si="82"/>
        <v/>
      </c>
      <c r="M1026" s="10" t="str">
        <f t="shared" si="83"/>
        <v/>
      </c>
      <c r="N1026" s="10" t="str">
        <f t="shared" si="84"/>
        <v/>
      </c>
      <c r="O1026" s="6"/>
      <c r="P1026" s="6"/>
    </row>
    <row r="1027" spans="1:16" x14ac:dyDescent="0.3">
      <c r="A1027" s="6"/>
      <c r="B1027" s="7"/>
      <c r="C1027" s="6"/>
      <c r="D1027" s="6"/>
      <c r="E1027" s="6"/>
      <c r="F1027" s="25"/>
      <c r="G1027" s="25" t="str">
        <f>IF(A1027="","",SUMIFS(Paradas_Detalhadas!$I:$I,Paradas_Detalhadas!$A:$A,A1027,Paradas_Detalhadas!$B:$B,B1027,Paradas_Detalhadas!$C:$C,C1027,Paradas_Detalhadas!$D:$D,E1027))</f>
        <v/>
      </c>
      <c r="H1027" s="26" t="str">
        <f t="shared" si="80"/>
        <v/>
      </c>
      <c r="I1027" s="10"/>
      <c r="J1027" s="10"/>
      <c r="K1027" s="10" t="str">
        <f t="shared" si="81"/>
        <v/>
      </c>
      <c r="L1027" s="10" t="str">
        <f t="shared" si="82"/>
        <v/>
      </c>
      <c r="M1027" s="10" t="str">
        <f t="shared" si="83"/>
        <v/>
      </c>
      <c r="N1027" s="10" t="str">
        <f t="shared" si="84"/>
        <v/>
      </c>
      <c r="O1027" s="6"/>
      <c r="P1027" s="6"/>
    </row>
    <row r="1028" spans="1:16" x14ac:dyDescent="0.3">
      <c r="A1028" s="6"/>
      <c r="B1028" s="7"/>
      <c r="C1028" s="6"/>
      <c r="D1028" s="6"/>
      <c r="E1028" s="6"/>
      <c r="F1028" s="25"/>
      <c r="G1028" s="25" t="str">
        <f>IF(A1028="","",SUMIFS(Paradas_Detalhadas!$I:$I,Paradas_Detalhadas!$A:$A,A1028,Paradas_Detalhadas!$B:$B,B1028,Paradas_Detalhadas!$C:$C,C1028,Paradas_Detalhadas!$D:$D,E1028))</f>
        <v/>
      </c>
      <c r="H1028" s="26" t="str">
        <f t="shared" si="80"/>
        <v/>
      </c>
      <c r="I1028" s="10"/>
      <c r="J1028" s="10"/>
      <c r="K1028" s="10" t="str">
        <f t="shared" si="81"/>
        <v/>
      </c>
      <c r="L1028" s="10" t="str">
        <f t="shared" si="82"/>
        <v/>
      </c>
      <c r="M1028" s="10" t="str">
        <f t="shared" si="83"/>
        <v/>
      </c>
      <c r="N1028" s="10" t="str">
        <f t="shared" si="84"/>
        <v/>
      </c>
      <c r="O1028" s="6"/>
      <c r="P1028" s="6"/>
    </row>
    <row r="1029" spans="1:16" x14ac:dyDescent="0.3">
      <c r="A1029" s="6"/>
      <c r="B1029" s="7"/>
      <c r="C1029" s="6"/>
      <c r="D1029" s="6"/>
      <c r="E1029" s="6"/>
      <c r="F1029" s="25"/>
      <c r="G1029" s="25" t="str">
        <f>IF(A1029="","",SUMIFS(Paradas_Detalhadas!$I:$I,Paradas_Detalhadas!$A:$A,A1029,Paradas_Detalhadas!$B:$B,B1029,Paradas_Detalhadas!$C:$C,C1029,Paradas_Detalhadas!$D:$D,E1029))</f>
        <v/>
      </c>
      <c r="H1029" s="26" t="str">
        <f t="shared" si="80"/>
        <v/>
      </c>
      <c r="I1029" s="10"/>
      <c r="J1029" s="10"/>
      <c r="K1029" s="10" t="str">
        <f t="shared" si="81"/>
        <v/>
      </c>
      <c r="L1029" s="10" t="str">
        <f t="shared" si="82"/>
        <v/>
      </c>
      <c r="M1029" s="10" t="str">
        <f t="shared" si="83"/>
        <v/>
      </c>
      <c r="N1029" s="10" t="str">
        <f t="shared" si="84"/>
        <v/>
      </c>
      <c r="O1029" s="6"/>
      <c r="P1029" s="6"/>
    </row>
    <row r="1030" spans="1:16" x14ac:dyDescent="0.3">
      <c r="A1030" s="6"/>
      <c r="B1030" s="7"/>
      <c r="C1030" s="6"/>
      <c r="D1030" s="6"/>
      <c r="E1030" s="6"/>
      <c r="F1030" s="25"/>
      <c r="G1030" s="25" t="str">
        <f>IF(A1030="","",SUMIFS(Paradas_Detalhadas!$I:$I,Paradas_Detalhadas!$A:$A,A1030,Paradas_Detalhadas!$B:$B,B1030,Paradas_Detalhadas!$C:$C,C1030,Paradas_Detalhadas!$D:$D,E1030))</f>
        <v/>
      </c>
      <c r="H1030" s="26" t="str">
        <f t="shared" si="80"/>
        <v/>
      </c>
      <c r="I1030" s="10"/>
      <c r="J1030" s="10"/>
      <c r="K1030" s="10" t="str">
        <f t="shared" si="81"/>
        <v/>
      </c>
      <c r="L1030" s="10" t="str">
        <f t="shared" si="82"/>
        <v/>
      </c>
      <c r="M1030" s="10" t="str">
        <f t="shared" si="83"/>
        <v/>
      </c>
      <c r="N1030" s="10" t="str">
        <f t="shared" si="84"/>
        <v/>
      </c>
      <c r="O1030" s="6"/>
      <c r="P1030" s="6"/>
    </row>
    <row r="1031" spans="1:16" x14ac:dyDescent="0.3">
      <c r="A1031" s="6"/>
      <c r="B1031" s="7"/>
      <c r="C1031" s="6"/>
      <c r="D1031" s="6"/>
      <c r="E1031" s="6"/>
      <c r="F1031" s="25"/>
      <c r="G1031" s="25" t="str">
        <f>IF(A1031="","",SUMIFS(Paradas_Detalhadas!$I:$I,Paradas_Detalhadas!$A:$A,A1031,Paradas_Detalhadas!$B:$B,B1031,Paradas_Detalhadas!$C:$C,C1031,Paradas_Detalhadas!$D:$D,E1031))</f>
        <v/>
      </c>
      <c r="H1031" s="26" t="str">
        <f t="shared" si="80"/>
        <v/>
      </c>
      <c r="I1031" s="10"/>
      <c r="J1031" s="10"/>
      <c r="K1031" s="10" t="str">
        <f t="shared" si="81"/>
        <v/>
      </c>
      <c r="L1031" s="10" t="str">
        <f t="shared" si="82"/>
        <v/>
      </c>
      <c r="M1031" s="10" t="str">
        <f t="shared" si="83"/>
        <v/>
      </c>
      <c r="N1031" s="10" t="str">
        <f t="shared" si="84"/>
        <v/>
      </c>
      <c r="O1031" s="6"/>
      <c r="P1031" s="6"/>
    </row>
    <row r="1032" spans="1:16" x14ac:dyDescent="0.3">
      <c r="A1032" s="6"/>
      <c r="B1032" s="7"/>
      <c r="C1032" s="6"/>
      <c r="D1032" s="6"/>
      <c r="E1032" s="6"/>
      <c r="F1032" s="25"/>
      <c r="G1032" s="25" t="str">
        <f>IF(A1032="","",SUMIFS(Paradas_Detalhadas!$I:$I,Paradas_Detalhadas!$A:$A,A1032,Paradas_Detalhadas!$B:$B,B1032,Paradas_Detalhadas!$C:$C,C1032,Paradas_Detalhadas!$D:$D,E1032))</f>
        <v/>
      </c>
      <c r="H1032" s="26" t="str">
        <f t="shared" si="80"/>
        <v/>
      </c>
      <c r="I1032" s="10"/>
      <c r="J1032" s="10"/>
      <c r="K1032" s="10" t="str">
        <f t="shared" si="81"/>
        <v/>
      </c>
      <c r="L1032" s="10" t="str">
        <f t="shared" si="82"/>
        <v/>
      </c>
      <c r="M1032" s="10" t="str">
        <f t="shared" si="83"/>
        <v/>
      </c>
      <c r="N1032" s="10" t="str">
        <f t="shared" si="84"/>
        <v/>
      </c>
      <c r="O1032" s="6"/>
      <c r="P1032" s="6"/>
    </row>
    <row r="1033" spans="1:16" x14ac:dyDescent="0.3">
      <c r="A1033" s="6"/>
      <c r="B1033" s="7"/>
      <c r="C1033" s="6"/>
      <c r="D1033" s="6"/>
      <c r="E1033" s="6"/>
      <c r="F1033" s="25"/>
      <c r="G1033" s="25" t="str">
        <f>IF(A1033="","",SUMIFS(Paradas_Detalhadas!$I:$I,Paradas_Detalhadas!$A:$A,A1033,Paradas_Detalhadas!$B:$B,B1033,Paradas_Detalhadas!$C:$C,C1033,Paradas_Detalhadas!$D:$D,E1033))</f>
        <v/>
      </c>
      <c r="H1033" s="26" t="str">
        <f t="shared" si="80"/>
        <v/>
      </c>
      <c r="I1033" s="10"/>
      <c r="J1033" s="10"/>
      <c r="K1033" s="10" t="str">
        <f t="shared" si="81"/>
        <v/>
      </c>
      <c r="L1033" s="10" t="str">
        <f t="shared" si="82"/>
        <v/>
      </c>
      <c r="M1033" s="10" t="str">
        <f t="shared" si="83"/>
        <v/>
      </c>
      <c r="N1033" s="10" t="str">
        <f t="shared" si="84"/>
        <v/>
      </c>
      <c r="O1033" s="6"/>
      <c r="P1033" s="6"/>
    </row>
    <row r="1034" spans="1:16" x14ac:dyDescent="0.3">
      <c r="A1034" s="6"/>
      <c r="B1034" s="7"/>
      <c r="C1034" s="6"/>
      <c r="D1034" s="6"/>
      <c r="E1034" s="6"/>
      <c r="F1034" s="25"/>
      <c r="G1034" s="25" t="str">
        <f>IF(A1034="","",SUMIFS(Paradas_Detalhadas!$I:$I,Paradas_Detalhadas!$A:$A,A1034,Paradas_Detalhadas!$B:$B,B1034,Paradas_Detalhadas!$C:$C,C1034,Paradas_Detalhadas!$D:$D,E1034))</f>
        <v/>
      </c>
      <c r="H1034" s="26" t="str">
        <f t="shared" si="80"/>
        <v/>
      </c>
      <c r="I1034" s="10"/>
      <c r="J1034" s="10"/>
      <c r="K1034" s="10" t="str">
        <f t="shared" si="81"/>
        <v/>
      </c>
      <c r="L1034" s="10" t="str">
        <f t="shared" si="82"/>
        <v/>
      </c>
      <c r="M1034" s="10" t="str">
        <f t="shared" si="83"/>
        <v/>
      </c>
      <c r="N1034" s="10" t="str">
        <f t="shared" si="84"/>
        <v/>
      </c>
      <c r="O1034" s="6"/>
      <c r="P1034" s="6"/>
    </row>
    <row r="1035" spans="1:16" x14ac:dyDescent="0.3">
      <c r="A1035" s="6"/>
      <c r="B1035" s="7"/>
      <c r="C1035" s="6"/>
      <c r="D1035" s="6"/>
      <c r="E1035" s="6"/>
      <c r="F1035" s="25"/>
      <c r="G1035" s="25" t="str">
        <f>IF(A1035="","",SUMIFS(Paradas_Detalhadas!$I:$I,Paradas_Detalhadas!$A:$A,A1035,Paradas_Detalhadas!$B:$B,B1035,Paradas_Detalhadas!$C:$C,C1035,Paradas_Detalhadas!$D:$D,E1035))</f>
        <v/>
      </c>
      <c r="H1035" s="26" t="str">
        <f t="shared" si="80"/>
        <v/>
      </c>
      <c r="I1035" s="10"/>
      <c r="J1035" s="10"/>
      <c r="K1035" s="10" t="str">
        <f t="shared" si="81"/>
        <v/>
      </c>
      <c r="L1035" s="10" t="str">
        <f t="shared" si="82"/>
        <v/>
      </c>
      <c r="M1035" s="10" t="str">
        <f t="shared" si="83"/>
        <v/>
      </c>
      <c r="N1035" s="10" t="str">
        <f t="shared" si="84"/>
        <v/>
      </c>
      <c r="O1035" s="6"/>
      <c r="P1035" s="6"/>
    </row>
    <row r="1036" spans="1:16" x14ac:dyDescent="0.3">
      <c r="A1036" s="6"/>
      <c r="B1036" s="7"/>
      <c r="C1036" s="6"/>
      <c r="D1036" s="6"/>
      <c r="E1036" s="6"/>
      <c r="F1036" s="25"/>
      <c r="G1036" s="25" t="str">
        <f>IF(A1036="","",SUMIFS(Paradas_Detalhadas!$I:$I,Paradas_Detalhadas!$A:$A,A1036,Paradas_Detalhadas!$B:$B,B1036,Paradas_Detalhadas!$C:$C,C1036,Paradas_Detalhadas!$D:$D,E1036))</f>
        <v/>
      </c>
      <c r="H1036" s="26" t="str">
        <f t="shared" si="80"/>
        <v/>
      </c>
      <c r="I1036" s="10"/>
      <c r="J1036" s="10"/>
      <c r="K1036" s="10" t="str">
        <f t="shared" si="81"/>
        <v/>
      </c>
      <c r="L1036" s="10" t="str">
        <f t="shared" si="82"/>
        <v/>
      </c>
      <c r="M1036" s="10" t="str">
        <f t="shared" si="83"/>
        <v/>
      </c>
      <c r="N1036" s="10" t="str">
        <f t="shared" si="84"/>
        <v/>
      </c>
      <c r="O1036" s="6"/>
      <c r="P1036" s="6"/>
    </row>
    <row r="1037" spans="1:16" x14ac:dyDescent="0.3">
      <c r="A1037" s="6"/>
      <c r="B1037" s="7"/>
      <c r="C1037" s="6"/>
      <c r="D1037" s="6"/>
      <c r="E1037" s="6"/>
      <c r="F1037" s="25"/>
      <c r="G1037" s="25" t="str">
        <f>IF(A1037="","",SUMIFS(Paradas_Detalhadas!$I:$I,Paradas_Detalhadas!$A:$A,A1037,Paradas_Detalhadas!$B:$B,B1037,Paradas_Detalhadas!$C:$C,C1037,Paradas_Detalhadas!$D:$D,E1037))</f>
        <v/>
      </c>
      <c r="H1037" s="26" t="str">
        <f t="shared" si="80"/>
        <v/>
      </c>
      <c r="I1037" s="10"/>
      <c r="J1037" s="10"/>
      <c r="K1037" s="10" t="str">
        <f t="shared" si="81"/>
        <v/>
      </c>
      <c r="L1037" s="10" t="str">
        <f t="shared" si="82"/>
        <v/>
      </c>
      <c r="M1037" s="10" t="str">
        <f t="shared" si="83"/>
        <v/>
      </c>
      <c r="N1037" s="10" t="str">
        <f t="shared" si="84"/>
        <v/>
      </c>
      <c r="O1037" s="6"/>
      <c r="P1037" s="6"/>
    </row>
    <row r="1038" spans="1:16" x14ac:dyDescent="0.3">
      <c r="A1038" s="6"/>
      <c r="B1038" s="7"/>
      <c r="C1038" s="6"/>
      <c r="D1038" s="6"/>
      <c r="E1038" s="6"/>
      <c r="F1038" s="25"/>
      <c r="G1038" s="25" t="str">
        <f>IF(A1038="","",SUMIFS(Paradas_Detalhadas!$I:$I,Paradas_Detalhadas!$A:$A,A1038,Paradas_Detalhadas!$B:$B,B1038,Paradas_Detalhadas!$C:$C,C1038,Paradas_Detalhadas!$D:$D,E1038))</f>
        <v/>
      </c>
      <c r="H1038" s="26" t="str">
        <f t="shared" si="80"/>
        <v/>
      </c>
      <c r="I1038" s="10"/>
      <c r="J1038" s="10"/>
      <c r="K1038" s="10" t="str">
        <f t="shared" si="81"/>
        <v/>
      </c>
      <c r="L1038" s="10" t="str">
        <f t="shared" si="82"/>
        <v/>
      </c>
      <c r="M1038" s="10" t="str">
        <f t="shared" si="83"/>
        <v/>
      </c>
      <c r="N1038" s="10" t="str">
        <f t="shared" si="84"/>
        <v/>
      </c>
      <c r="O1038" s="6"/>
      <c r="P1038" s="6"/>
    </row>
    <row r="1039" spans="1:16" x14ac:dyDescent="0.3">
      <c r="A1039" s="6"/>
      <c r="B1039" s="7"/>
      <c r="C1039" s="6"/>
      <c r="D1039" s="6"/>
      <c r="E1039" s="6"/>
      <c r="F1039" s="25"/>
      <c r="G1039" s="25" t="str">
        <f>IF(A1039="","",SUMIFS(Paradas_Detalhadas!$I:$I,Paradas_Detalhadas!$A:$A,A1039,Paradas_Detalhadas!$B:$B,B1039,Paradas_Detalhadas!$C:$C,C1039,Paradas_Detalhadas!$D:$D,E1039))</f>
        <v/>
      </c>
      <c r="H1039" s="26" t="str">
        <f t="shared" si="80"/>
        <v/>
      </c>
      <c r="I1039" s="10"/>
      <c r="J1039" s="10"/>
      <c r="K1039" s="10" t="str">
        <f t="shared" si="81"/>
        <v/>
      </c>
      <c r="L1039" s="10" t="str">
        <f t="shared" si="82"/>
        <v/>
      </c>
      <c r="M1039" s="10" t="str">
        <f t="shared" si="83"/>
        <v/>
      </c>
      <c r="N1039" s="10" t="str">
        <f t="shared" si="84"/>
        <v/>
      </c>
      <c r="O1039" s="6"/>
      <c r="P1039" s="6"/>
    </row>
    <row r="1040" spans="1:16" x14ac:dyDescent="0.3">
      <c r="A1040" s="6"/>
      <c r="B1040" s="7"/>
      <c r="C1040" s="6"/>
      <c r="D1040" s="6"/>
      <c r="E1040" s="6"/>
      <c r="F1040" s="25"/>
      <c r="G1040" s="25" t="str">
        <f>IF(A1040="","",SUMIFS(Paradas_Detalhadas!$I:$I,Paradas_Detalhadas!$A:$A,A1040,Paradas_Detalhadas!$B:$B,B1040,Paradas_Detalhadas!$C:$C,C1040,Paradas_Detalhadas!$D:$D,E1040))</f>
        <v/>
      </c>
      <c r="H1040" s="26" t="str">
        <f t="shared" si="80"/>
        <v/>
      </c>
      <c r="I1040" s="10"/>
      <c r="J1040" s="10"/>
      <c r="K1040" s="10" t="str">
        <f t="shared" si="81"/>
        <v/>
      </c>
      <c r="L1040" s="10" t="str">
        <f t="shared" si="82"/>
        <v/>
      </c>
      <c r="M1040" s="10" t="str">
        <f t="shared" si="83"/>
        <v/>
      </c>
      <c r="N1040" s="10" t="str">
        <f t="shared" si="84"/>
        <v/>
      </c>
      <c r="O1040" s="6"/>
      <c r="P1040" s="6"/>
    </row>
    <row r="1041" spans="1:16" x14ac:dyDescent="0.3">
      <c r="A1041" s="6"/>
      <c r="B1041" s="7"/>
      <c r="C1041" s="6"/>
      <c r="D1041" s="6"/>
      <c r="E1041" s="6"/>
      <c r="F1041" s="25"/>
      <c r="G1041" s="25" t="str">
        <f>IF(A1041="","",SUMIFS(Paradas_Detalhadas!$I:$I,Paradas_Detalhadas!$A:$A,A1041,Paradas_Detalhadas!$B:$B,B1041,Paradas_Detalhadas!$C:$C,C1041,Paradas_Detalhadas!$D:$D,E1041))</f>
        <v/>
      </c>
      <c r="H1041" s="26" t="str">
        <f t="shared" si="80"/>
        <v/>
      </c>
      <c r="I1041" s="10"/>
      <c r="J1041" s="10"/>
      <c r="K1041" s="10" t="str">
        <f t="shared" si="81"/>
        <v/>
      </c>
      <c r="L1041" s="10" t="str">
        <f t="shared" si="82"/>
        <v/>
      </c>
      <c r="M1041" s="10" t="str">
        <f t="shared" si="83"/>
        <v/>
      </c>
      <c r="N1041" s="10" t="str">
        <f t="shared" si="84"/>
        <v/>
      </c>
      <c r="O1041" s="6"/>
      <c r="P1041" s="6"/>
    </row>
    <row r="1042" spans="1:16" x14ac:dyDescent="0.3">
      <c r="A1042" s="6"/>
      <c r="B1042" s="7"/>
      <c r="C1042" s="6"/>
      <c r="D1042" s="6"/>
      <c r="E1042" s="6"/>
      <c r="F1042" s="25"/>
      <c r="G1042" s="25" t="str">
        <f>IF(A1042="","",SUMIFS(Paradas_Detalhadas!$I:$I,Paradas_Detalhadas!$A:$A,A1042,Paradas_Detalhadas!$B:$B,B1042,Paradas_Detalhadas!$C:$C,C1042,Paradas_Detalhadas!$D:$D,E1042))</f>
        <v/>
      </c>
      <c r="H1042" s="26" t="str">
        <f t="shared" si="80"/>
        <v/>
      </c>
      <c r="I1042" s="10"/>
      <c r="J1042" s="10"/>
      <c r="K1042" s="10" t="str">
        <f t="shared" si="81"/>
        <v/>
      </c>
      <c r="L1042" s="10" t="str">
        <f t="shared" si="82"/>
        <v/>
      </c>
      <c r="M1042" s="10" t="str">
        <f t="shared" si="83"/>
        <v/>
      </c>
      <c r="N1042" s="10" t="str">
        <f t="shared" si="84"/>
        <v/>
      </c>
      <c r="O1042" s="6"/>
      <c r="P1042" s="6"/>
    </row>
    <row r="1043" spans="1:16" x14ac:dyDescent="0.3">
      <c r="A1043" s="6"/>
      <c r="B1043" s="7"/>
      <c r="C1043" s="6"/>
      <c r="D1043" s="6"/>
      <c r="E1043" s="6"/>
      <c r="F1043" s="25"/>
      <c r="G1043" s="25" t="str">
        <f>IF(A1043="","",SUMIFS(Paradas_Detalhadas!$I:$I,Paradas_Detalhadas!$A:$A,A1043,Paradas_Detalhadas!$B:$B,B1043,Paradas_Detalhadas!$C:$C,C1043,Paradas_Detalhadas!$D:$D,E1043))</f>
        <v/>
      </c>
      <c r="H1043" s="26" t="str">
        <f t="shared" si="80"/>
        <v/>
      </c>
      <c r="I1043" s="10"/>
      <c r="J1043" s="10"/>
      <c r="K1043" s="10" t="str">
        <f t="shared" si="81"/>
        <v/>
      </c>
      <c r="L1043" s="10" t="str">
        <f t="shared" si="82"/>
        <v/>
      </c>
      <c r="M1043" s="10" t="str">
        <f t="shared" si="83"/>
        <v/>
      </c>
      <c r="N1043" s="10" t="str">
        <f t="shared" si="84"/>
        <v/>
      </c>
      <c r="O1043" s="6"/>
      <c r="P1043" s="6"/>
    </row>
    <row r="1044" spans="1:16" x14ac:dyDescent="0.3">
      <c r="A1044" s="6"/>
      <c r="B1044" s="7"/>
      <c r="C1044" s="6"/>
      <c r="D1044" s="6"/>
      <c r="E1044" s="6"/>
      <c r="F1044" s="25"/>
      <c r="G1044" s="25" t="str">
        <f>IF(A1044="","",SUMIFS(Paradas_Detalhadas!$I:$I,Paradas_Detalhadas!$A:$A,A1044,Paradas_Detalhadas!$B:$B,B1044,Paradas_Detalhadas!$C:$C,C1044,Paradas_Detalhadas!$D:$D,E1044))</f>
        <v/>
      </c>
      <c r="H1044" s="26" t="str">
        <f t="shared" si="80"/>
        <v/>
      </c>
      <c r="I1044" s="10"/>
      <c r="J1044" s="10"/>
      <c r="K1044" s="10" t="str">
        <f t="shared" si="81"/>
        <v/>
      </c>
      <c r="L1044" s="10" t="str">
        <f t="shared" si="82"/>
        <v/>
      </c>
      <c r="M1044" s="10" t="str">
        <f t="shared" si="83"/>
        <v/>
      </c>
      <c r="N1044" s="10" t="str">
        <f t="shared" si="84"/>
        <v/>
      </c>
      <c r="O1044" s="6"/>
      <c r="P1044" s="6"/>
    </row>
    <row r="1045" spans="1:16" x14ac:dyDescent="0.3">
      <c r="A1045" s="6"/>
      <c r="B1045" s="7"/>
      <c r="C1045" s="6"/>
      <c r="D1045" s="6"/>
      <c r="E1045" s="6"/>
      <c r="F1045" s="25"/>
      <c r="G1045" s="25" t="str">
        <f>IF(A1045="","",SUMIFS(Paradas_Detalhadas!$I:$I,Paradas_Detalhadas!$A:$A,A1045,Paradas_Detalhadas!$B:$B,B1045,Paradas_Detalhadas!$C:$C,C1045,Paradas_Detalhadas!$D:$D,E1045))</f>
        <v/>
      </c>
      <c r="H1045" s="26" t="str">
        <f t="shared" si="80"/>
        <v/>
      </c>
      <c r="I1045" s="10"/>
      <c r="J1045" s="10"/>
      <c r="K1045" s="10" t="str">
        <f t="shared" si="81"/>
        <v/>
      </c>
      <c r="L1045" s="10" t="str">
        <f t="shared" si="82"/>
        <v/>
      </c>
      <c r="M1045" s="10" t="str">
        <f t="shared" si="83"/>
        <v/>
      </c>
      <c r="N1045" s="10" t="str">
        <f t="shared" si="84"/>
        <v/>
      </c>
      <c r="O1045" s="6"/>
      <c r="P1045" s="6"/>
    </row>
    <row r="1046" spans="1:16" x14ac:dyDescent="0.3">
      <c r="A1046" s="6"/>
      <c r="B1046" s="7"/>
      <c r="C1046" s="6"/>
      <c r="D1046" s="6"/>
      <c r="E1046" s="6"/>
      <c r="F1046" s="25"/>
      <c r="G1046" s="25" t="str">
        <f>IF(A1046="","",SUMIFS(Paradas_Detalhadas!$I:$I,Paradas_Detalhadas!$A:$A,A1046,Paradas_Detalhadas!$B:$B,B1046,Paradas_Detalhadas!$C:$C,C1046,Paradas_Detalhadas!$D:$D,E1046))</f>
        <v/>
      </c>
      <c r="H1046" s="26" t="str">
        <f t="shared" si="80"/>
        <v/>
      </c>
      <c r="I1046" s="10"/>
      <c r="J1046" s="10"/>
      <c r="K1046" s="10" t="str">
        <f t="shared" si="81"/>
        <v/>
      </c>
      <c r="L1046" s="10" t="str">
        <f t="shared" si="82"/>
        <v/>
      </c>
      <c r="M1046" s="10" t="str">
        <f t="shared" si="83"/>
        <v/>
      </c>
      <c r="N1046" s="10" t="str">
        <f t="shared" si="84"/>
        <v/>
      </c>
      <c r="O1046" s="6"/>
      <c r="P1046" s="6"/>
    </row>
    <row r="1047" spans="1:16" x14ac:dyDescent="0.3">
      <c r="A1047" s="6"/>
      <c r="B1047" s="7"/>
      <c r="C1047" s="6"/>
      <c r="D1047" s="6"/>
      <c r="E1047" s="6"/>
      <c r="F1047" s="25"/>
      <c r="G1047" s="25" t="str">
        <f>IF(A1047="","",SUMIFS(Paradas_Detalhadas!$I:$I,Paradas_Detalhadas!$A:$A,A1047,Paradas_Detalhadas!$B:$B,B1047,Paradas_Detalhadas!$C:$C,C1047,Paradas_Detalhadas!$D:$D,E1047))</f>
        <v/>
      </c>
      <c r="H1047" s="26" t="str">
        <f t="shared" si="80"/>
        <v/>
      </c>
      <c r="I1047" s="10"/>
      <c r="J1047" s="10"/>
      <c r="K1047" s="10" t="str">
        <f t="shared" si="81"/>
        <v/>
      </c>
      <c r="L1047" s="10" t="str">
        <f t="shared" si="82"/>
        <v/>
      </c>
      <c r="M1047" s="10" t="str">
        <f t="shared" si="83"/>
        <v/>
      </c>
      <c r="N1047" s="10" t="str">
        <f t="shared" si="84"/>
        <v/>
      </c>
      <c r="O1047" s="6"/>
      <c r="P1047" s="6"/>
    </row>
    <row r="1048" spans="1:16" x14ac:dyDescent="0.3">
      <c r="A1048" s="6"/>
      <c r="B1048" s="7"/>
      <c r="C1048" s="6"/>
      <c r="D1048" s="6"/>
      <c r="E1048" s="6"/>
      <c r="F1048" s="25"/>
      <c r="G1048" s="25" t="str">
        <f>IF(A1048="","",SUMIFS(Paradas_Detalhadas!$I:$I,Paradas_Detalhadas!$A:$A,A1048,Paradas_Detalhadas!$B:$B,B1048,Paradas_Detalhadas!$C:$C,C1048,Paradas_Detalhadas!$D:$D,E1048))</f>
        <v/>
      </c>
      <c r="H1048" s="26" t="str">
        <f t="shared" si="80"/>
        <v/>
      </c>
      <c r="I1048" s="10"/>
      <c r="J1048" s="10"/>
      <c r="K1048" s="10" t="str">
        <f t="shared" si="81"/>
        <v/>
      </c>
      <c r="L1048" s="10" t="str">
        <f t="shared" si="82"/>
        <v/>
      </c>
      <c r="M1048" s="10" t="str">
        <f t="shared" si="83"/>
        <v/>
      </c>
      <c r="N1048" s="10" t="str">
        <f t="shared" si="84"/>
        <v/>
      </c>
      <c r="O1048" s="6"/>
      <c r="P1048" s="6"/>
    </row>
    <row r="1049" spans="1:16" x14ac:dyDescent="0.3">
      <c r="A1049" s="6"/>
      <c r="B1049" s="7"/>
      <c r="C1049" s="6"/>
      <c r="D1049" s="6"/>
      <c r="E1049" s="6"/>
      <c r="F1049" s="25"/>
      <c r="G1049" s="25" t="str">
        <f>IF(A1049="","",SUMIFS(Paradas_Detalhadas!$I:$I,Paradas_Detalhadas!$A:$A,A1049,Paradas_Detalhadas!$B:$B,B1049,Paradas_Detalhadas!$C:$C,C1049,Paradas_Detalhadas!$D:$D,E1049))</f>
        <v/>
      </c>
      <c r="H1049" s="26" t="str">
        <f t="shared" si="80"/>
        <v/>
      </c>
      <c r="I1049" s="10"/>
      <c r="J1049" s="10"/>
      <c r="K1049" s="10" t="str">
        <f t="shared" si="81"/>
        <v/>
      </c>
      <c r="L1049" s="10" t="str">
        <f t="shared" si="82"/>
        <v/>
      </c>
      <c r="M1049" s="10" t="str">
        <f t="shared" si="83"/>
        <v/>
      </c>
      <c r="N1049" s="10" t="str">
        <f t="shared" si="84"/>
        <v/>
      </c>
      <c r="O1049" s="6"/>
      <c r="P1049" s="6"/>
    </row>
    <row r="1050" spans="1:16" x14ac:dyDescent="0.3">
      <c r="A1050" s="6"/>
      <c r="B1050" s="7"/>
      <c r="C1050" s="6"/>
      <c r="D1050" s="6"/>
      <c r="E1050" s="6"/>
      <c r="F1050" s="25"/>
      <c r="G1050" s="25" t="str">
        <f>IF(A1050="","",SUMIFS(Paradas_Detalhadas!$I:$I,Paradas_Detalhadas!$A:$A,A1050,Paradas_Detalhadas!$B:$B,B1050,Paradas_Detalhadas!$C:$C,C1050,Paradas_Detalhadas!$D:$D,E1050))</f>
        <v/>
      </c>
      <c r="H1050" s="26" t="str">
        <f t="shared" si="80"/>
        <v/>
      </c>
      <c r="I1050" s="10"/>
      <c r="J1050" s="10"/>
      <c r="K1050" s="10" t="str">
        <f t="shared" si="81"/>
        <v/>
      </c>
      <c r="L1050" s="10" t="str">
        <f t="shared" si="82"/>
        <v/>
      </c>
      <c r="M1050" s="10" t="str">
        <f t="shared" si="83"/>
        <v/>
      </c>
      <c r="N1050" s="10" t="str">
        <f t="shared" si="84"/>
        <v/>
      </c>
      <c r="O1050" s="6"/>
      <c r="P1050" s="6"/>
    </row>
    <row r="1051" spans="1:16" x14ac:dyDescent="0.3">
      <c r="A1051" s="6"/>
      <c r="B1051" s="7"/>
      <c r="C1051" s="6"/>
      <c r="D1051" s="6"/>
      <c r="E1051" s="6"/>
      <c r="F1051" s="25"/>
      <c r="G1051" s="25" t="str">
        <f>IF(A1051="","",SUMIFS(Paradas_Detalhadas!$I:$I,Paradas_Detalhadas!$A:$A,A1051,Paradas_Detalhadas!$B:$B,B1051,Paradas_Detalhadas!$C:$C,C1051,Paradas_Detalhadas!$D:$D,E1051))</f>
        <v/>
      </c>
      <c r="H1051" s="26" t="str">
        <f t="shared" si="80"/>
        <v/>
      </c>
      <c r="I1051" s="10"/>
      <c r="J1051" s="10"/>
      <c r="K1051" s="10" t="str">
        <f t="shared" si="81"/>
        <v/>
      </c>
      <c r="L1051" s="10" t="str">
        <f t="shared" si="82"/>
        <v/>
      </c>
      <c r="M1051" s="10" t="str">
        <f t="shared" si="83"/>
        <v/>
      </c>
      <c r="N1051" s="10" t="str">
        <f t="shared" si="84"/>
        <v/>
      </c>
      <c r="O1051" s="6"/>
      <c r="P1051" s="6"/>
    </row>
    <row r="1052" spans="1:16" x14ac:dyDescent="0.3">
      <c r="A1052" s="6"/>
      <c r="B1052" s="7"/>
      <c r="C1052" s="6"/>
      <c r="D1052" s="6"/>
      <c r="E1052" s="6"/>
      <c r="F1052" s="25"/>
      <c r="G1052" s="25" t="str">
        <f>IF(A1052="","",SUMIFS(Paradas_Detalhadas!$I:$I,Paradas_Detalhadas!$A:$A,A1052,Paradas_Detalhadas!$B:$B,B1052,Paradas_Detalhadas!$C:$C,C1052,Paradas_Detalhadas!$D:$D,E1052))</f>
        <v/>
      </c>
      <c r="H1052" s="26" t="str">
        <f t="shared" si="80"/>
        <v/>
      </c>
      <c r="I1052" s="10"/>
      <c r="J1052" s="10"/>
      <c r="K1052" s="10" t="str">
        <f t="shared" si="81"/>
        <v/>
      </c>
      <c r="L1052" s="10" t="str">
        <f t="shared" si="82"/>
        <v/>
      </c>
      <c r="M1052" s="10" t="str">
        <f t="shared" si="83"/>
        <v/>
      </c>
      <c r="N1052" s="10" t="str">
        <f t="shared" si="84"/>
        <v/>
      </c>
      <c r="O1052" s="6"/>
      <c r="P1052" s="6"/>
    </row>
    <row r="1053" spans="1:16" x14ac:dyDescent="0.3">
      <c r="A1053" s="6"/>
      <c r="B1053" s="7"/>
      <c r="C1053" s="6"/>
      <c r="D1053" s="6"/>
      <c r="E1053" s="6"/>
      <c r="F1053" s="25"/>
      <c r="G1053" s="25" t="str">
        <f>IF(A1053="","",SUMIFS(Paradas_Detalhadas!$I:$I,Paradas_Detalhadas!$A:$A,A1053,Paradas_Detalhadas!$B:$B,B1053,Paradas_Detalhadas!$C:$C,C1053,Paradas_Detalhadas!$D:$D,E1053))</f>
        <v/>
      </c>
      <c r="H1053" s="26" t="str">
        <f t="shared" si="80"/>
        <v/>
      </c>
      <c r="I1053" s="10"/>
      <c r="J1053" s="10"/>
      <c r="K1053" s="10" t="str">
        <f t="shared" si="81"/>
        <v/>
      </c>
      <c r="L1053" s="10" t="str">
        <f t="shared" si="82"/>
        <v/>
      </c>
      <c r="M1053" s="10" t="str">
        <f t="shared" si="83"/>
        <v/>
      </c>
      <c r="N1053" s="10" t="str">
        <f t="shared" si="84"/>
        <v/>
      </c>
      <c r="O1053" s="6"/>
      <c r="P1053" s="6"/>
    </row>
    <row r="1054" spans="1:16" x14ac:dyDescent="0.3">
      <c r="A1054" s="6"/>
      <c r="B1054" s="7"/>
      <c r="C1054" s="6"/>
      <c r="D1054" s="6"/>
      <c r="E1054" s="6"/>
      <c r="F1054" s="25"/>
      <c r="G1054" s="25" t="str">
        <f>IF(A1054="","",SUMIFS(Paradas_Detalhadas!$I:$I,Paradas_Detalhadas!$A:$A,A1054,Paradas_Detalhadas!$B:$B,B1054,Paradas_Detalhadas!$C:$C,C1054,Paradas_Detalhadas!$D:$D,E1054))</f>
        <v/>
      </c>
      <c r="H1054" s="26" t="str">
        <f t="shared" si="80"/>
        <v/>
      </c>
      <c r="I1054" s="10"/>
      <c r="J1054" s="10"/>
      <c r="K1054" s="10" t="str">
        <f t="shared" si="81"/>
        <v/>
      </c>
      <c r="L1054" s="10" t="str">
        <f t="shared" si="82"/>
        <v/>
      </c>
      <c r="M1054" s="10" t="str">
        <f t="shared" si="83"/>
        <v/>
      </c>
      <c r="N1054" s="10" t="str">
        <f t="shared" si="84"/>
        <v/>
      </c>
      <c r="O1054" s="6"/>
      <c r="P1054" s="6"/>
    </row>
    <row r="1055" spans="1:16" x14ac:dyDescent="0.3">
      <c r="A1055" s="6"/>
      <c r="B1055" s="7"/>
      <c r="C1055" s="6"/>
      <c r="D1055" s="6"/>
      <c r="E1055" s="6"/>
      <c r="F1055" s="25"/>
      <c r="G1055" s="25" t="str">
        <f>IF(A1055="","",SUMIFS(Paradas_Detalhadas!$I:$I,Paradas_Detalhadas!$A:$A,A1055,Paradas_Detalhadas!$B:$B,B1055,Paradas_Detalhadas!$C:$C,C1055,Paradas_Detalhadas!$D:$D,E1055))</f>
        <v/>
      </c>
      <c r="H1055" s="26" t="str">
        <f t="shared" si="80"/>
        <v/>
      </c>
      <c r="I1055" s="10"/>
      <c r="J1055" s="10"/>
      <c r="K1055" s="10" t="str">
        <f t="shared" si="81"/>
        <v/>
      </c>
      <c r="L1055" s="10" t="str">
        <f t="shared" si="82"/>
        <v/>
      </c>
      <c r="M1055" s="10" t="str">
        <f t="shared" si="83"/>
        <v/>
      </c>
      <c r="N1055" s="10" t="str">
        <f t="shared" si="84"/>
        <v/>
      </c>
      <c r="O1055" s="6"/>
      <c r="P1055" s="6"/>
    </row>
    <row r="1056" spans="1:16" x14ac:dyDescent="0.3">
      <c r="A1056" s="6"/>
      <c r="B1056" s="7"/>
      <c r="C1056" s="6"/>
      <c r="D1056" s="6"/>
      <c r="E1056" s="6"/>
      <c r="F1056" s="25"/>
      <c r="G1056" s="25" t="str">
        <f>IF(A1056="","",SUMIFS(Paradas_Detalhadas!$I:$I,Paradas_Detalhadas!$A:$A,A1056,Paradas_Detalhadas!$B:$B,B1056,Paradas_Detalhadas!$C:$C,C1056,Paradas_Detalhadas!$D:$D,E1056))</f>
        <v/>
      </c>
      <c r="H1056" s="26" t="str">
        <f t="shared" si="80"/>
        <v/>
      </c>
      <c r="I1056" s="10"/>
      <c r="J1056" s="10"/>
      <c r="K1056" s="10" t="str">
        <f t="shared" si="81"/>
        <v/>
      </c>
      <c r="L1056" s="10" t="str">
        <f t="shared" si="82"/>
        <v/>
      </c>
      <c r="M1056" s="10" t="str">
        <f t="shared" si="83"/>
        <v/>
      </c>
      <c r="N1056" s="10" t="str">
        <f t="shared" si="84"/>
        <v/>
      </c>
      <c r="O1056" s="6"/>
      <c r="P1056" s="6"/>
    </row>
    <row r="1057" spans="1:16" x14ac:dyDescent="0.3">
      <c r="A1057" s="6"/>
      <c r="B1057" s="7"/>
      <c r="C1057" s="6"/>
      <c r="D1057" s="6"/>
      <c r="E1057" s="6"/>
      <c r="F1057" s="25"/>
      <c r="G1057" s="25" t="str">
        <f>IF(A1057="","",SUMIFS(Paradas_Detalhadas!$I:$I,Paradas_Detalhadas!$A:$A,A1057,Paradas_Detalhadas!$B:$B,B1057,Paradas_Detalhadas!$C:$C,C1057,Paradas_Detalhadas!$D:$D,E1057))</f>
        <v/>
      </c>
      <c r="H1057" s="26" t="str">
        <f t="shared" si="80"/>
        <v/>
      </c>
      <c r="I1057" s="10"/>
      <c r="J1057" s="10"/>
      <c r="K1057" s="10" t="str">
        <f t="shared" si="81"/>
        <v/>
      </c>
      <c r="L1057" s="10" t="str">
        <f t="shared" si="82"/>
        <v/>
      </c>
      <c r="M1057" s="10" t="str">
        <f t="shared" si="83"/>
        <v/>
      </c>
      <c r="N1057" s="10" t="str">
        <f t="shared" si="84"/>
        <v/>
      </c>
      <c r="O1057" s="6"/>
      <c r="P1057" s="6"/>
    </row>
    <row r="1058" spans="1:16" x14ac:dyDescent="0.3">
      <c r="A1058" s="6"/>
      <c r="B1058" s="7"/>
      <c r="C1058" s="6"/>
      <c r="D1058" s="6"/>
      <c r="E1058" s="6"/>
      <c r="F1058" s="25"/>
      <c r="G1058" s="25" t="str">
        <f>IF(A1058="","",SUMIFS(Paradas_Detalhadas!$I:$I,Paradas_Detalhadas!$A:$A,A1058,Paradas_Detalhadas!$B:$B,B1058,Paradas_Detalhadas!$C:$C,C1058,Paradas_Detalhadas!$D:$D,E1058))</f>
        <v/>
      </c>
      <c r="H1058" s="26" t="str">
        <f t="shared" si="80"/>
        <v/>
      </c>
      <c r="I1058" s="10"/>
      <c r="J1058" s="10"/>
      <c r="K1058" s="10" t="str">
        <f t="shared" si="81"/>
        <v/>
      </c>
      <c r="L1058" s="10" t="str">
        <f t="shared" si="82"/>
        <v/>
      </c>
      <c r="M1058" s="10" t="str">
        <f t="shared" si="83"/>
        <v/>
      </c>
      <c r="N1058" s="10" t="str">
        <f t="shared" si="84"/>
        <v/>
      </c>
      <c r="O1058" s="6"/>
      <c r="P1058" s="6"/>
    </row>
    <row r="1059" spans="1:16" x14ac:dyDescent="0.3">
      <c r="A1059" s="6"/>
      <c r="B1059" s="7"/>
      <c r="C1059" s="6"/>
      <c r="D1059" s="6"/>
      <c r="E1059" s="6"/>
      <c r="F1059" s="25"/>
      <c r="G1059" s="25" t="str">
        <f>IF(A1059="","",SUMIFS(Paradas_Detalhadas!$I:$I,Paradas_Detalhadas!$A:$A,A1059,Paradas_Detalhadas!$B:$B,B1059,Paradas_Detalhadas!$C:$C,C1059,Paradas_Detalhadas!$D:$D,E1059))</f>
        <v/>
      </c>
      <c r="H1059" s="26" t="str">
        <f t="shared" si="80"/>
        <v/>
      </c>
      <c r="I1059" s="10"/>
      <c r="J1059" s="10"/>
      <c r="K1059" s="10" t="str">
        <f t="shared" si="81"/>
        <v/>
      </c>
      <c r="L1059" s="10" t="str">
        <f t="shared" si="82"/>
        <v/>
      </c>
      <c r="M1059" s="10" t="str">
        <f t="shared" si="83"/>
        <v/>
      </c>
      <c r="N1059" s="10" t="str">
        <f t="shared" si="84"/>
        <v/>
      </c>
      <c r="O1059" s="6"/>
      <c r="P1059" s="6"/>
    </row>
    <row r="1060" spans="1:16" x14ac:dyDescent="0.3">
      <c r="A1060" s="6"/>
      <c r="B1060" s="7"/>
      <c r="C1060" s="6"/>
      <c r="D1060" s="6"/>
      <c r="E1060" s="6"/>
      <c r="F1060" s="25"/>
      <c r="G1060" s="25" t="str">
        <f>IF(A1060="","",SUMIFS(Paradas_Detalhadas!$I:$I,Paradas_Detalhadas!$A:$A,A1060,Paradas_Detalhadas!$B:$B,B1060,Paradas_Detalhadas!$C:$C,C1060,Paradas_Detalhadas!$D:$D,E1060))</f>
        <v/>
      </c>
      <c r="H1060" s="26" t="str">
        <f t="shared" si="80"/>
        <v/>
      </c>
      <c r="I1060" s="10"/>
      <c r="J1060" s="10"/>
      <c r="K1060" s="10" t="str">
        <f t="shared" si="81"/>
        <v/>
      </c>
      <c r="L1060" s="10" t="str">
        <f t="shared" si="82"/>
        <v/>
      </c>
      <c r="M1060" s="10" t="str">
        <f t="shared" si="83"/>
        <v/>
      </c>
      <c r="N1060" s="10" t="str">
        <f t="shared" si="84"/>
        <v/>
      </c>
      <c r="O1060" s="6"/>
      <c r="P1060" s="6"/>
    </row>
    <row r="1061" spans="1:16" x14ac:dyDescent="0.3">
      <c r="A1061" s="6"/>
      <c r="B1061" s="7"/>
      <c r="C1061" s="6"/>
      <c r="D1061" s="6"/>
      <c r="E1061" s="6"/>
      <c r="F1061" s="25"/>
      <c r="G1061" s="25" t="str">
        <f>IF(A1061="","",SUMIFS(Paradas_Detalhadas!$I:$I,Paradas_Detalhadas!$A:$A,A1061,Paradas_Detalhadas!$B:$B,B1061,Paradas_Detalhadas!$C:$C,C1061,Paradas_Detalhadas!$D:$D,E1061))</f>
        <v/>
      </c>
      <c r="H1061" s="26" t="str">
        <f t="shared" si="80"/>
        <v/>
      </c>
      <c r="I1061" s="10"/>
      <c r="J1061" s="10"/>
      <c r="K1061" s="10" t="str">
        <f t="shared" si="81"/>
        <v/>
      </c>
      <c r="L1061" s="10" t="str">
        <f t="shared" si="82"/>
        <v/>
      </c>
      <c r="M1061" s="10" t="str">
        <f t="shared" si="83"/>
        <v/>
      </c>
      <c r="N1061" s="10" t="str">
        <f t="shared" si="84"/>
        <v/>
      </c>
      <c r="O1061" s="6"/>
      <c r="P1061" s="6"/>
    </row>
    <row r="1062" spans="1:16" x14ac:dyDescent="0.3">
      <c r="A1062" s="6"/>
      <c r="B1062" s="7"/>
      <c r="C1062" s="6"/>
      <c r="D1062" s="6"/>
      <c r="E1062" s="6"/>
      <c r="F1062" s="25"/>
      <c r="G1062" s="25" t="str">
        <f>IF(A1062="","",SUMIFS(Paradas_Detalhadas!$I:$I,Paradas_Detalhadas!$A:$A,A1062,Paradas_Detalhadas!$B:$B,B1062,Paradas_Detalhadas!$C:$C,C1062,Paradas_Detalhadas!$D:$D,E1062))</f>
        <v/>
      </c>
      <c r="H1062" s="26" t="str">
        <f t="shared" si="80"/>
        <v/>
      </c>
      <c r="I1062" s="10"/>
      <c r="J1062" s="10"/>
      <c r="K1062" s="10" t="str">
        <f t="shared" si="81"/>
        <v/>
      </c>
      <c r="L1062" s="10" t="str">
        <f t="shared" si="82"/>
        <v/>
      </c>
      <c r="M1062" s="10" t="str">
        <f t="shared" si="83"/>
        <v/>
      </c>
      <c r="N1062" s="10" t="str">
        <f t="shared" si="84"/>
        <v/>
      </c>
      <c r="O1062" s="6"/>
      <c r="P1062" s="6"/>
    </row>
    <row r="1063" spans="1:16" x14ac:dyDescent="0.3">
      <c r="A1063" s="6"/>
      <c r="B1063" s="7"/>
      <c r="C1063" s="6"/>
      <c r="D1063" s="6"/>
      <c r="E1063" s="6"/>
      <c r="F1063" s="25"/>
      <c r="G1063" s="25" t="str">
        <f>IF(A1063="","",SUMIFS(Paradas_Detalhadas!$I:$I,Paradas_Detalhadas!$A:$A,A1063,Paradas_Detalhadas!$B:$B,B1063,Paradas_Detalhadas!$C:$C,C1063,Paradas_Detalhadas!$D:$D,E1063))</f>
        <v/>
      </c>
      <c r="H1063" s="26" t="str">
        <f t="shared" si="80"/>
        <v/>
      </c>
      <c r="I1063" s="10"/>
      <c r="J1063" s="10"/>
      <c r="K1063" s="10" t="str">
        <f t="shared" si="81"/>
        <v/>
      </c>
      <c r="L1063" s="10" t="str">
        <f t="shared" si="82"/>
        <v/>
      </c>
      <c r="M1063" s="10" t="str">
        <f t="shared" si="83"/>
        <v/>
      </c>
      <c r="N1063" s="10" t="str">
        <f t="shared" si="84"/>
        <v/>
      </c>
      <c r="O1063" s="6"/>
      <c r="P1063" s="6"/>
    </row>
    <row r="1064" spans="1:16" x14ac:dyDescent="0.3">
      <c r="A1064" s="6"/>
      <c r="B1064" s="7"/>
      <c r="C1064" s="6"/>
      <c r="D1064" s="6"/>
      <c r="E1064" s="6"/>
      <c r="F1064" s="25"/>
      <c r="G1064" s="25" t="str">
        <f>IF(A1064="","",SUMIFS(Paradas_Detalhadas!$I:$I,Paradas_Detalhadas!$A:$A,A1064,Paradas_Detalhadas!$B:$B,B1064,Paradas_Detalhadas!$C:$C,C1064,Paradas_Detalhadas!$D:$D,E1064))</f>
        <v/>
      </c>
      <c r="H1064" s="26" t="str">
        <f t="shared" si="80"/>
        <v/>
      </c>
      <c r="I1064" s="10"/>
      <c r="J1064" s="10"/>
      <c r="K1064" s="10" t="str">
        <f t="shared" si="81"/>
        <v/>
      </c>
      <c r="L1064" s="10" t="str">
        <f t="shared" si="82"/>
        <v/>
      </c>
      <c r="M1064" s="10" t="str">
        <f t="shared" si="83"/>
        <v/>
      </c>
      <c r="N1064" s="10" t="str">
        <f t="shared" si="84"/>
        <v/>
      </c>
      <c r="O1064" s="6"/>
      <c r="P1064" s="6"/>
    </row>
    <row r="1065" spans="1:16" x14ac:dyDescent="0.3">
      <c r="A1065" s="6"/>
      <c r="B1065" s="7"/>
      <c r="C1065" s="6"/>
      <c r="D1065" s="6"/>
      <c r="E1065" s="6"/>
      <c r="F1065" s="25"/>
      <c r="G1065" s="25" t="str">
        <f>IF(A1065="","",SUMIFS(Paradas_Detalhadas!$I:$I,Paradas_Detalhadas!$A:$A,A1065,Paradas_Detalhadas!$B:$B,B1065,Paradas_Detalhadas!$C:$C,C1065,Paradas_Detalhadas!$D:$D,E1065))</f>
        <v/>
      </c>
      <c r="H1065" s="26" t="str">
        <f t="shared" si="80"/>
        <v/>
      </c>
      <c r="I1065" s="10"/>
      <c r="J1065" s="10"/>
      <c r="K1065" s="10" t="str">
        <f t="shared" si="81"/>
        <v/>
      </c>
      <c r="L1065" s="10" t="str">
        <f t="shared" si="82"/>
        <v/>
      </c>
      <c r="M1065" s="10" t="str">
        <f t="shared" si="83"/>
        <v/>
      </c>
      <c r="N1065" s="10" t="str">
        <f t="shared" si="84"/>
        <v/>
      </c>
      <c r="O1065" s="6"/>
      <c r="P1065" s="6"/>
    </row>
    <row r="1066" spans="1:16" x14ac:dyDescent="0.3">
      <c r="A1066" s="6"/>
      <c r="B1066" s="7"/>
      <c r="C1066" s="6"/>
      <c r="D1066" s="6"/>
      <c r="E1066" s="6"/>
      <c r="F1066" s="25"/>
      <c r="G1066" s="25" t="str">
        <f>IF(A1066="","",SUMIFS(Paradas_Detalhadas!$I:$I,Paradas_Detalhadas!$A:$A,A1066,Paradas_Detalhadas!$B:$B,B1066,Paradas_Detalhadas!$C:$C,C1066,Paradas_Detalhadas!$D:$D,E1066))</f>
        <v/>
      </c>
      <c r="H1066" s="26" t="str">
        <f t="shared" si="80"/>
        <v/>
      </c>
      <c r="I1066" s="10"/>
      <c r="J1066" s="10"/>
      <c r="K1066" s="10" t="str">
        <f t="shared" si="81"/>
        <v/>
      </c>
      <c r="L1066" s="10" t="str">
        <f t="shared" si="82"/>
        <v/>
      </c>
      <c r="M1066" s="10" t="str">
        <f t="shared" si="83"/>
        <v/>
      </c>
      <c r="N1066" s="10" t="str">
        <f t="shared" si="84"/>
        <v/>
      </c>
      <c r="O1066" s="6"/>
      <c r="P1066" s="6"/>
    </row>
    <row r="1067" spans="1:16" x14ac:dyDescent="0.3">
      <c r="A1067" s="6"/>
      <c r="B1067" s="7"/>
      <c r="C1067" s="6"/>
      <c r="D1067" s="6"/>
      <c r="E1067" s="6"/>
      <c r="F1067" s="25"/>
      <c r="G1067" s="25" t="str">
        <f>IF(A1067="","",SUMIFS(Paradas_Detalhadas!$I:$I,Paradas_Detalhadas!$A:$A,A1067,Paradas_Detalhadas!$B:$B,B1067,Paradas_Detalhadas!$C:$C,C1067,Paradas_Detalhadas!$D:$D,E1067))</f>
        <v/>
      </c>
      <c r="H1067" s="26" t="str">
        <f t="shared" si="80"/>
        <v/>
      </c>
      <c r="I1067" s="10"/>
      <c r="J1067" s="10"/>
      <c r="K1067" s="10" t="str">
        <f t="shared" si="81"/>
        <v/>
      </c>
      <c r="L1067" s="10" t="str">
        <f t="shared" si="82"/>
        <v/>
      </c>
      <c r="M1067" s="10" t="str">
        <f t="shared" si="83"/>
        <v/>
      </c>
      <c r="N1067" s="10" t="str">
        <f t="shared" si="84"/>
        <v/>
      </c>
      <c r="O1067" s="6"/>
      <c r="P1067" s="6"/>
    </row>
    <row r="1068" spans="1:16" x14ac:dyDescent="0.3">
      <c r="A1068" s="6"/>
      <c r="B1068" s="7"/>
      <c r="C1068" s="6"/>
      <c r="D1068" s="6"/>
      <c r="E1068" s="6"/>
      <c r="F1068" s="25"/>
      <c r="G1068" s="25" t="str">
        <f>IF(A1068="","",SUMIFS(Paradas_Detalhadas!$I:$I,Paradas_Detalhadas!$A:$A,A1068,Paradas_Detalhadas!$B:$B,B1068,Paradas_Detalhadas!$C:$C,C1068,Paradas_Detalhadas!$D:$D,E1068))</f>
        <v/>
      </c>
      <c r="H1068" s="26" t="str">
        <f t="shared" si="80"/>
        <v/>
      </c>
      <c r="I1068" s="10"/>
      <c r="J1068" s="10"/>
      <c r="K1068" s="10" t="str">
        <f t="shared" si="81"/>
        <v/>
      </c>
      <c r="L1068" s="10" t="str">
        <f t="shared" si="82"/>
        <v/>
      </c>
      <c r="M1068" s="10" t="str">
        <f t="shared" si="83"/>
        <v/>
      </c>
      <c r="N1068" s="10" t="str">
        <f t="shared" si="84"/>
        <v/>
      </c>
      <c r="O1068" s="6"/>
      <c r="P1068" s="6"/>
    </row>
    <row r="1069" spans="1:16" x14ac:dyDescent="0.3">
      <c r="A1069" s="6"/>
      <c r="B1069" s="7"/>
      <c r="C1069" s="6"/>
      <c r="D1069" s="6"/>
      <c r="E1069" s="6"/>
      <c r="F1069" s="25"/>
      <c r="G1069" s="25" t="str">
        <f>IF(A1069="","",SUMIFS(Paradas_Detalhadas!$I:$I,Paradas_Detalhadas!$A:$A,A1069,Paradas_Detalhadas!$B:$B,B1069,Paradas_Detalhadas!$C:$C,C1069,Paradas_Detalhadas!$D:$D,E1069))</f>
        <v/>
      </c>
      <c r="H1069" s="26" t="str">
        <f t="shared" si="80"/>
        <v/>
      </c>
      <c r="I1069" s="10"/>
      <c r="J1069" s="10"/>
      <c r="K1069" s="10" t="str">
        <f t="shared" si="81"/>
        <v/>
      </c>
      <c r="L1069" s="10" t="str">
        <f t="shared" si="82"/>
        <v/>
      </c>
      <c r="M1069" s="10" t="str">
        <f t="shared" si="83"/>
        <v/>
      </c>
      <c r="N1069" s="10" t="str">
        <f t="shared" si="84"/>
        <v/>
      </c>
      <c r="O1069" s="6"/>
      <c r="P1069" s="6"/>
    </row>
    <row r="1070" spans="1:16" x14ac:dyDescent="0.3">
      <c r="A1070" s="6"/>
      <c r="B1070" s="7"/>
      <c r="C1070" s="6"/>
      <c r="D1070" s="6"/>
      <c r="E1070" s="6"/>
      <c r="F1070" s="25"/>
      <c r="G1070" s="25" t="str">
        <f>IF(A1070="","",SUMIFS(Paradas_Detalhadas!$I:$I,Paradas_Detalhadas!$A:$A,A1070,Paradas_Detalhadas!$B:$B,B1070,Paradas_Detalhadas!$C:$C,C1070,Paradas_Detalhadas!$D:$D,E1070))</f>
        <v/>
      </c>
      <c r="H1070" s="26" t="str">
        <f t="shared" ref="H1070:H1133" si="85">IF(OR(F1070="",G1070=""),"",MAX(F1070-G1070,0))</f>
        <v/>
      </c>
      <c r="I1070" s="10"/>
      <c r="J1070" s="10"/>
      <c r="K1070" s="10" t="str">
        <f t="shared" ref="K1070:K1133" si="86">IF(AND(I1070="",J1070=""),"",SUM(I1070:J1070))</f>
        <v/>
      </c>
      <c r="L1070" s="10" t="str">
        <f t="shared" ref="L1070:L1133" si="87">IFERROR(K1070/H1070,"")</f>
        <v/>
      </c>
      <c r="M1070" s="10" t="str">
        <f t="shared" ref="M1070:M1133" si="88">IFERROR(I1070/H1070,"")</f>
        <v/>
      </c>
      <c r="N1070" s="10" t="str">
        <f t="shared" ref="N1070:N1133" si="89">IFERROR(J1070/H1070,"")</f>
        <v/>
      </c>
      <c r="O1070" s="6"/>
      <c r="P1070" s="6"/>
    </row>
    <row r="1071" spans="1:16" x14ac:dyDescent="0.3">
      <c r="A1071" s="6"/>
      <c r="B1071" s="7"/>
      <c r="C1071" s="6"/>
      <c r="D1071" s="6"/>
      <c r="E1071" s="6"/>
      <c r="F1071" s="25"/>
      <c r="G1071" s="25" t="str">
        <f>IF(A1071="","",SUMIFS(Paradas_Detalhadas!$I:$I,Paradas_Detalhadas!$A:$A,A1071,Paradas_Detalhadas!$B:$B,B1071,Paradas_Detalhadas!$C:$C,C1071,Paradas_Detalhadas!$D:$D,E1071))</f>
        <v/>
      </c>
      <c r="H1071" s="26" t="str">
        <f t="shared" si="85"/>
        <v/>
      </c>
      <c r="I1071" s="10"/>
      <c r="J1071" s="10"/>
      <c r="K1071" s="10" t="str">
        <f t="shared" si="86"/>
        <v/>
      </c>
      <c r="L1071" s="10" t="str">
        <f t="shared" si="87"/>
        <v/>
      </c>
      <c r="M1071" s="10" t="str">
        <f t="shared" si="88"/>
        <v/>
      </c>
      <c r="N1071" s="10" t="str">
        <f t="shared" si="89"/>
        <v/>
      </c>
      <c r="O1071" s="6"/>
      <c r="P1071" s="6"/>
    </row>
    <row r="1072" spans="1:16" x14ac:dyDescent="0.3">
      <c r="A1072" s="6"/>
      <c r="B1072" s="7"/>
      <c r="C1072" s="6"/>
      <c r="D1072" s="6"/>
      <c r="E1072" s="6"/>
      <c r="F1072" s="25"/>
      <c r="G1072" s="25" t="str">
        <f>IF(A1072="","",SUMIFS(Paradas_Detalhadas!$I:$I,Paradas_Detalhadas!$A:$A,A1072,Paradas_Detalhadas!$B:$B,B1072,Paradas_Detalhadas!$C:$C,C1072,Paradas_Detalhadas!$D:$D,E1072))</f>
        <v/>
      </c>
      <c r="H1072" s="26" t="str">
        <f t="shared" si="85"/>
        <v/>
      </c>
      <c r="I1072" s="10"/>
      <c r="J1072" s="10"/>
      <c r="K1072" s="10" t="str">
        <f t="shared" si="86"/>
        <v/>
      </c>
      <c r="L1072" s="10" t="str">
        <f t="shared" si="87"/>
        <v/>
      </c>
      <c r="M1072" s="10" t="str">
        <f t="shared" si="88"/>
        <v/>
      </c>
      <c r="N1072" s="10" t="str">
        <f t="shared" si="89"/>
        <v/>
      </c>
      <c r="O1072" s="6"/>
      <c r="P1072" s="6"/>
    </row>
    <row r="1073" spans="1:16" x14ac:dyDescent="0.3">
      <c r="A1073" s="6"/>
      <c r="B1073" s="7"/>
      <c r="C1073" s="6"/>
      <c r="D1073" s="6"/>
      <c r="E1073" s="6"/>
      <c r="F1073" s="25"/>
      <c r="G1073" s="25" t="str">
        <f>IF(A1073="","",SUMIFS(Paradas_Detalhadas!$I:$I,Paradas_Detalhadas!$A:$A,A1073,Paradas_Detalhadas!$B:$B,B1073,Paradas_Detalhadas!$C:$C,C1073,Paradas_Detalhadas!$D:$D,E1073))</f>
        <v/>
      </c>
      <c r="H1073" s="26" t="str">
        <f t="shared" si="85"/>
        <v/>
      </c>
      <c r="I1073" s="10"/>
      <c r="J1073" s="10"/>
      <c r="K1073" s="10" t="str">
        <f t="shared" si="86"/>
        <v/>
      </c>
      <c r="L1073" s="10" t="str">
        <f t="shared" si="87"/>
        <v/>
      </c>
      <c r="M1073" s="10" t="str">
        <f t="shared" si="88"/>
        <v/>
      </c>
      <c r="N1073" s="10" t="str">
        <f t="shared" si="89"/>
        <v/>
      </c>
      <c r="O1073" s="6"/>
      <c r="P1073" s="6"/>
    </row>
    <row r="1074" spans="1:16" x14ac:dyDescent="0.3">
      <c r="A1074" s="6"/>
      <c r="B1074" s="7"/>
      <c r="C1074" s="6"/>
      <c r="D1074" s="6"/>
      <c r="E1074" s="6"/>
      <c r="F1074" s="25"/>
      <c r="G1074" s="25" t="str">
        <f>IF(A1074="","",SUMIFS(Paradas_Detalhadas!$I:$I,Paradas_Detalhadas!$A:$A,A1074,Paradas_Detalhadas!$B:$B,B1074,Paradas_Detalhadas!$C:$C,C1074,Paradas_Detalhadas!$D:$D,E1074))</f>
        <v/>
      </c>
      <c r="H1074" s="26" t="str">
        <f t="shared" si="85"/>
        <v/>
      </c>
      <c r="I1074" s="10"/>
      <c r="J1074" s="10"/>
      <c r="K1074" s="10" t="str">
        <f t="shared" si="86"/>
        <v/>
      </c>
      <c r="L1074" s="10" t="str">
        <f t="shared" si="87"/>
        <v/>
      </c>
      <c r="M1074" s="10" t="str">
        <f t="shared" si="88"/>
        <v/>
      </c>
      <c r="N1074" s="10" t="str">
        <f t="shared" si="89"/>
        <v/>
      </c>
      <c r="O1074" s="6"/>
      <c r="P1074" s="6"/>
    </row>
    <row r="1075" spans="1:16" x14ac:dyDescent="0.3">
      <c r="A1075" s="6"/>
      <c r="B1075" s="7"/>
      <c r="C1075" s="6"/>
      <c r="D1075" s="6"/>
      <c r="E1075" s="6"/>
      <c r="F1075" s="25"/>
      <c r="G1075" s="25" t="str">
        <f>IF(A1075="","",SUMIFS(Paradas_Detalhadas!$I:$I,Paradas_Detalhadas!$A:$A,A1075,Paradas_Detalhadas!$B:$B,B1075,Paradas_Detalhadas!$C:$C,C1075,Paradas_Detalhadas!$D:$D,E1075))</f>
        <v/>
      </c>
      <c r="H1075" s="26" t="str">
        <f t="shared" si="85"/>
        <v/>
      </c>
      <c r="I1075" s="10"/>
      <c r="J1075" s="10"/>
      <c r="K1075" s="10" t="str">
        <f t="shared" si="86"/>
        <v/>
      </c>
      <c r="L1075" s="10" t="str">
        <f t="shared" si="87"/>
        <v/>
      </c>
      <c r="M1075" s="10" t="str">
        <f t="shared" si="88"/>
        <v/>
      </c>
      <c r="N1075" s="10" t="str">
        <f t="shared" si="89"/>
        <v/>
      </c>
      <c r="O1075" s="6"/>
      <c r="P1075" s="6"/>
    </row>
    <row r="1076" spans="1:16" x14ac:dyDescent="0.3">
      <c r="A1076" s="6"/>
      <c r="B1076" s="7"/>
      <c r="C1076" s="6"/>
      <c r="D1076" s="6"/>
      <c r="E1076" s="6"/>
      <c r="F1076" s="25"/>
      <c r="G1076" s="25" t="str">
        <f>IF(A1076="","",SUMIFS(Paradas_Detalhadas!$I:$I,Paradas_Detalhadas!$A:$A,A1076,Paradas_Detalhadas!$B:$B,B1076,Paradas_Detalhadas!$C:$C,C1076,Paradas_Detalhadas!$D:$D,E1076))</f>
        <v/>
      </c>
      <c r="H1076" s="26" t="str">
        <f t="shared" si="85"/>
        <v/>
      </c>
      <c r="I1076" s="10"/>
      <c r="J1076" s="10"/>
      <c r="K1076" s="10" t="str">
        <f t="shared" si="86"/>
        <v/>
      </c>
      <c r="L1076" s="10" t="str">
        <f t="shared" si="87"/>
        <v/>
      </c>
      <c r="M1076" s="10" t="str">
        <f t="shared" si="88"/>
        <v/>
      </c>
      <c r="N1076" s="10" t="str">
        <f t="shared" si="89"/>
        <v/>
      </c>
      <c r="O1076" s="6"/>
      <c r="P1076" s="6"/>
    </row>
    <row r="1077" spans="1:16" x14ac:dyDescent="0.3">
      <c r="A1077" s="6"/>
      <c r="B1077" s="7"/>
      <c r="C1077" s="6"/>
      <c r="D1077" s="6"/>
      <c r="E1077" s="6"/>
      <c r="F1077" s="25"/>
      <c r="G1077" s="25" t="str">
        <f>IF(A1077="","",SUMIFS(Paradas_Detalhadas!$I:$I,Paradas_Detalhadas!$A:$A,A1077,Paradas_Detalhadas!$B:$B,B1077,Paradas_Detalhadas!$C:$C,C1077,Paradas_Detalhadas!$D:$D,E1077))</f>
        <v/>
      </c>
      <c r="H1077" s="26" t="str">
        <f t="shared" si="85"/>
        <v/>
      </c>
      <c r="I1077" s="10"/>
      <c r="J1077" s="10"/>
      <c r="K1077" s="10" t="str">
        <f t="shared" si="86"/>
        <v/>
      </c>
      <c r="L1077" s="10" t="str">
        <f t="shared" si="87"/>
        <v/>
      </c>
      <c r="M1077" s="10" t="str">
        <f t="shared" si="88"/>
        <v/>
      </c>
      <c r="N1077" s="10" t="str">
        <f t="shared" si="89"/>
        <v/>
      </c>
      <c r="O1077" s="6"/>
      <c r="P1077" s="6"/>
    </row>
    <row r="1078" spans="1:16" x14ac:dyDescent="0.3">
      <c r="A1078" s="6"/>
      <c r="B1078" s="7"/>
      <c r="C1078" s="6"/>
      <c r="D1078" s="6"/>
      <c r="E1078" s="6"/>
      <c r="F1078" s="25"/>
      <c r="G1078" s="25" t="str">
        <f>IF(A1078="","",SUMIFS(Paradas_Detalhadas!$I:$I,Paradas_Detalhadas!$A:$A,A1078,Paradas_Detalhadas!$B:$B,B1078,Paradas_Detalhadas!$C:$C,C1078,Paradas_Detalhadas!$D:$D,E1078))</f>
        <v/>
      </c>
      <c r="H1078" s="26" t="str">
        <f t="shared" si="85"/>
        <v/>
      </c>
      <c r="I1078" s="10"/>
      <c r="J1078" s="10"/>
      <c r="K1078" s="10" t="str">
        <f t="shared" si="86"/>
        <v/>
      </c>
      <c r="L1078" s="10" t="str">
        <f t="shared" si="87"/>
        <v/>
      </c>
      <c r="M1078" s="10" t="str">
        <f t="shared" si="88"/>
        <v/>
      </c>
      <c r="N1078" s="10" t="str">
        <f t="shared" si="89"/>
        <v/>
      </c>
      <c r="O1078" s="6"/>
      <c r="P1078" s="6"/>
    </row>
    <row r="1079" spans="1:16" x14ac:dyDescent="0.3">
      <c r="A1079" s="6"/>
      <c r="B1079" s="7"/>
      <c r="C1079" s="6"/>
      <c r="D1079" s="6"/>
      <c r="E1079" s="6"/>
      <c r="F1079" s="25"/>
      <c r="G1079" s="25" t="str">
        <f>IF(A1079="","",SUMIFS(Paradas_Detalhadas!$I:$I,Paradas_Detalhadas!$A:$A,A1079,Paradas_Detalhadas!$B:$B,B1079,Paradas_Detalhadas!$C:$C,C1079,Paradas_Detalhadas!$D:$D,E1079))</f>
        <v/>
      </c>
      <c r="H1079" s="26" t="str">
        <f t="shared" si="85"/>
        <v/>
      </c>
      <c r="I1079" s="10"/>
      <c r="J1079" s="10"/>
      <c r="K1079" s="10" t="str">
        <f t="shared" si="86"/>
        <v/>
      </c>
      <c r="L1079" s="10" t="str">
        <f t="shared" si="87"/>
        <v/>
      </c>
      <c r="M1079" s="10" t="str">
        <f t="shared" si="88"/>
        <v/>
      </c>
      <c r="N1079" s="10" t="str">
        <f t="shared" si="89"/>
        <v/>
      </c>
      <c r="O1079" s="6"/>
      <c r="P1079" s="6"/>
    </row>
    <row r="1080" spans="1:16" x14ac:dyDescent="0.3">
      <c r="A1080" s="6"/>
      <c r="B1080" s="7"/>
      <c r="C1080" s="6"/>
      <c r="D1080" s="6"/>
      <c r="E1080" s="6"/>
      <c r="F1080" s="25"/>
      <c r="G1080" s="25" t="str">
        <f>IF(A1080="","",SUMIFS(Paradas_Detalhadas!$I:$I,Paradas_Detalhadas!$A:$A,A1080,Paradas_Detalhadas!$B:$B,B1080,Paradas_Detalhadas!$C:$C,C1080,Paradas_Detalhadas!$D:$D,E1080))</f>
        <v/>
      </c>
      <c r="H1080" s="26" t="str">
        <f t="shared" si="85"/>
        <v/>
      </c>
      <c r="I1080" s="10"/>
      <c r="J1080" s="10"/>
      <c r="K1080" s="10" t="str">
        <f t="shared" si="86"/>
        <v/>
      </c>
      <c r="L1080" s="10" t="str">
        <f t="shared" si="87"/>
        <v/>
      </c>
      <c r="M1080" s="10" t="str">
        <f t="shared" si="88"/>
        <v/>
      </c>
      <c r="N1080" s="10" t="str">
        <f t="shared" si="89"/>
        <v/>
      </c>
      <c r="O1080" s="6"/>
      <c r="P1080" s="6"/>
    </row>
    <row r="1081" spans="1:16" x14ac:dyDescent="0.3">
      <c r="A1081" s="6"/>
      <c r="B1081" s="7"/>
      <c r="C1081" s="6"/>
      <c r="D1081" s="6"/>
      <c r="E1081" s="6"/>
      <c r="F1081" s="25"/>
      <c r="G1081" s="25" t="str">
        <f>IF(A1081="","",SUMIFS(Paradas_Detalhadas!$I:$I,Paradas_Detalhadas!$A:$A,A1081,Paradas_Detalhadas!$B:$B,B1081,Paradas_Detalhadas!$C:$C,C1081,Paradas_Detalhadas!$D:$D,E1081))</f>
        <v/>
      </c>
      <c r="H1081" s="26" t="str">
        <f t="shared" si="85"/>
        <v/>
      </c>
      <c r="I1081" s="10"/>
      <c r="J1081" s="10"/>
      <c r="K1081" s="10" t="str">
        <f t="shared" si="86"/>
        <v/>
      </c>
      <c r="L1081" s="10" t="str">
        <f t="shared" si="87"/>
        <v/>
      </c>
      <c r="M1081" s="10" t="str">
        <f t="shared" si="88"/>
        <v/>
      </c>
      <c r="N1081" s="10" t="str">
        <f t="shared" si="89"/>
        <v/>
      </c>
      <c r="O1081" s="6"/>
      <c r="P1081" s="6"/>
    </row>
    <row r="1082" spans="1:16" x14ac:dyDescent="0.3">
      <c r="A1082" s="6"/>
      <c r="B1082" s="7"/>
      <c r="C1082" s="6"/>
      <c r="D1082" s="6"/>
      <c r="E1082" s="6"/>
      <c r="F1082" s="25"/>
      <c r="G1082" s="25" t="str">
        <f>IF(A1082="","",SUMIFS(Paradas_Detalhadas!$I:$I,Paradas_Detalhadas!$A:$A,A1082,Paradas_Detalhadas!$B:$B,B1082,Paradas_Detalhadas!$C:$C,C1082,Paradas_Detalhadas!$D:$D,E1082))</f>
        <v/>
      </c>
      <c r="H1082" s="26" t="str">
        <f t="shared" si="85"/>
        <v/>
      </c>
      <c r="I1082" s="10"/>
      <c r="J1082" s="10"/>
      <c r="K1082" s="10" t="str">
        <f t="shared" si="86"/>
        <v/>
      </c>
      <c r="L1082" s="10" t="str">
        <f t="shared" si="87"/>
        <v/>
      </c>
      <c r="M1082" s="10" t="str">
        <f t="shared" si="88"/>
        <v/>
      </c>
      <c r="N1082" s="10" t="str">
        <f t="shared" si="89"/>
        <v/>
      </c>
      <c r="O1082" s="6"/>
      <c r="P1082" s="6"/>
    </row>
    <row r="1083" spans="1:16" x14ac:dyDescent="0.3">
      <c r="A1083" s="6"/>
      <c r="B1083" s="7"/>
      <c r="C1083" s="6"/>
      <c r="D1083" s="6"/>
      <c r="E1083" s="6"/>
      <c r="F1083" s="25"/>
      <c r="G1083" s="25" t="str">
        <f>IF(A1083="","",SUMIFS(Paradas_Detalhadas!$I:$I,Paradas_Detalhadas!$A:$A,A1083,Paradas_Detalhadas!$B:$B,B1083,Paradas_Detalhadas!$C:$C,C1083,Paradas_Detalhadas!$D:$D,E1083))</f>
        <v/>
      </c>
      <c r="H1083" s="26" t="str">
        <f t="shared" si="85"/>
        <v/>
      </c>
      <c r="I1083" s="10"/>
      <c r="J1083" s="10"/>
      <c r="K1083" s="10" t="str">
        <f t="shared" si="86"/>
        <v/>
      </c>
      <c r="L1083" s="10" t="str">
        <f t="shared" si="87"/>
        <v/>
      </c>
      <c r="M1083" s="10" t="str">
        <f t="shared" si="88"/>
        <v/>
      </c>
      <c r="N1083" s="10" t="str">
        <f t="shared" si="89"/>
        <v/>
      </c>
      <c r="O1083" s="6"/>
      <c r="P1083" s="6"/>
    </row>
    <row r="1084" spans="1:16" x14ac:dyDescent="0.3">
      <c r="A1084" s="6"/>
      <c r="B1084" s="7"/>
      <c r="C1084" s="6"/>
      <c r="D1084" s="6"/>
      <c r="E1084" s="6"/>
      <c r="F1084" s="25"/>
      <c r="G1084" s="25" t="str">
        <f>IF(A1084="","",SUMIFS(Paradas_Detalhadas!$I:$I,Paradas_Detalhadas!$A:$A,A1084,Paradas_Detalhadas!$B:$B,B1084,Paradas_Detalhadas!$C:$C,C1084,Paradas_Detalhadas!$D:$D,E1084))</f>
        <v/>
      </c>
      <c r="H1084" s="26" t="str">
        <f t="shared" si="85"/>
        <v/>
      </c>
      <c r="I1084" s="10"/>
      <c r="J1084" s="10"/>
      <c r="K1084" s="10" t="str">
        <f t="shared" si="86"/>
        <v/>
      </c>
      <c r="L1084" s="10" t="str">
        <f t="shared" si="87"/>
        <v/>
      </c>
      <c r="M1084" s="10" t="str">
        <f t="shared" si="88"/>
        <v/>
      </c>
      <c r="N1084" s="10" t="str">
        <f t="shared" si="89"/>
        <v/>
      </c>
      <c r="O1084" s="6"/>
      <c r="P1084" s="6"/>
    </row>
    <row r="1085" spans="1:16" x14ac:dyDescent="0.3">
      <c r="A1085" s="6"/>
      <c r="B1085" s="7"/>
      <c r="C1085" s="6"/>
      <c r="D1085" s="6"/>
      <c r="E1085" s="6"/>
      <c r="F1085" s="25"/>
      <c r="G1085" s="25" t="str">
        <f>IF(A1085="","",SUMIFS(Paradas_Detalhadas!$I:$I,Paradas_Detalhadas!$A:$A,A1085,Paradas_Detalhadas!$B:$B,B1085,Paradas_Detalhadas!$C:$C,C1085,Paradas_Detalhadas!$D:$D,E1085))</f>
        <v/>
      </c>
      <c r="H1085" s="26" t="str">
        <f t="shared" si="85"/>
        <v/>
      </c>
      <c r="I1085" s="10"/>
      <c r="J1085" s="10"/>
      <c r="K1085" s="10" t="str">
        <f t="shared" si="86"/>
        <v/>
      </c>
      <c r="L1085" s="10" t="str">
        <f t="shared" si="87"/>
        <v/>
      </c>
      <c r="M1085" s="10" t="str">
        <f t="shared" si="88"/>
        <v/>
      </c>
      <c r="N1085" s="10" t="str">
        <f t="shared" si="89"/>
        <v/>
      </c>
      <c r="O1085" s="6"/>
      <c r="P1085" s="6"/>
    </row>
    <row r="1086" spans="1:16" x14ac:dyDescent="0.3">
      <c r="A1086" s="6"/>
      <c r="B1086" s="7"/>
      <c r="C1086" s="6"/>
      <c r="D1086" s="6"/>
      <c r="E1086" s="6"/>
      <c r="F1086" s="25"/>
      <c r="G1086" s="25" t="str">
        <f>IF(A1086="","",SUMIFS(Paradas_Detalhadas!$I:$I,Paradas_Detalhadas!$A:$A,A1086,Paradas_Detalhadas!$B:$B,B1086,Paradas_Detalhadas!$C:$C,C1086,Paradas_Detalhadas!$D:$D,E1086))</f>
        <v/>
      </c>
      <c r="H1086" s="26" t="str">
        <f t="shared" si="85"/>
        <v/>
      </c>
      <c r="I1086" s="10"/>
      <c r="J1086" s="10"/>
      <c r="K1086" s="10" t="str">
        <f t="shared" si="86"/>
        <v/>
      </c>
      <c r="L1086" s="10" t="str">
        <f t="shared" si="87"/>
        <v/>
      </c>
      <c r="M1086" s="10" t="str">
        <f t="shared" si="88"/>
        <v/>
      </c>
      <c r="N1086" s="10" t="str">
        <f t="shared" si="89"/>
        <v/>
      </c>
      <c r="O1086" s="6"/>
      <c r="P1086" s="6"/>
    </row>
    <row r="1087" spans="1:16" x14ac:dyDescent="0.3">
      <c r="A1087" s="6"/>
      <c r="B1087" s="7"/>
      <c r="C1087" s="6"/>
      <c r="D1087" s="6"/>
      <c r="E1087" s="6"/>
      <c r="F1087" s="25"/>
      <c r="G1087" s="25" t="str">
        <f>IF(A1087="","",SUMIFS(Paradas_Detalhadas!$I:$I,Paradas_Detalhadas!$A:$A,A1087,Paradas_Detalhadas!$B:$B,B1087,Paradas_Detalhadas!$C:$C,C1087,Paradas_Detalhadas!$D:$D,E1087))</f>
        <v/>
      </c>
      <c r="H1087" s="26" t="str">
        <f t="shared" si="85"/>
        <v/>
      </c>
      <c r="I1087" s="10"/>
      <c r="J1087" s="10"/>
      <c r="K1087" s="10" t="str">
        <f t="shared" si="86"/>
        <v/>
      </c>
      <c r="L1087" s="10" t="str">
        <f t="shared" si="87"/>
        <v/>
      </c>
      <c r="M1087" s="10" t="str">
        <f t="shared" si="88"/>
        <v/>
      </c>
      <c r="N1087" s="10" t="str">
        <f t="shared" si="89"/>
        <v/>
      </c>
      <c r="O1087" s="6"/>
      <c r="P1087" s="6"/>
    </row>
    <row r="1088" spans="1:16" x14ac:dyDescent="0.3">
      <c r="A1088" s="6"/>
      <c r="B1088" s="7"/>
      <c r="C1088" s="6"/>
      <c r="D1088" s="6"/>
      <c r="E1088" s="6"/>
      <c r="F1088" s="25"/>
      <c r="G1088" s="25" t="str">
        <f>IF(A1088="","",SUMIFS(Paradas_Detalhadas!$I:$I,Paradas_Detalhadas!$A:$A,A1088,Paradas_Detalhadas!$B:$B,B1088,Paradas_Detalhadas!$C:$C,C1088,Paradas_Detalhadas!$D:$D,E1088))</f>
        <v/>
      </c>
      <c r="H1088" s="26" t="str">
        <f t="shared" si="85"/>
        <v/>
      </c>
      <c r="I1088" s="10"/>
      <c r="J1088" s="10"/>
      <c r="K1088" s="10" t="str">
        <f t="shared" si="86"/>
        <v/>
      </c>
      <c r="L1088" s="10" t="str">
        <f t="shared" si="87"/>
        <v/>
      </c>
      <c r="M1088" s="10" t="str">
        <f t="shared" si="88"/>
        <v/>
      </c>
      <c r="N1088" s="10" t="str">
        <f t="shared" si="89"/>
        <v/>
      </c>
      <c r="O1088" s="6"/>
      <c r="P1088" s="6"/>
    </row>
    <row r="1089" spans="1:16" x14ac:dyDescent="0.3">
      <c r="A1089" s="6"/>
      <c r="B1089" s="7"/>
      <c r="C1089" s="6"/>
      <c r="D1089" s="6"/>
      <c r="E1089" s="6"/>
      <c r="F1089" s="25"/>
      <c r="G1089" s="25" t="str">
        <f>IF(A1089="","",SUMIFS(Paradas_Detalhadas!$I:$I,Paradas_Detalhadas!$A:$A,A1089,Paradas_Detalhadas!$B:$B,B1089,Paradas_Detalhadas!$C:$C,C1089,Paradas_Detalhadas!$D:$D,E1089))</f>
        <v/>
      </c>
      <c r="H1089" s="26" t="str">
        <f t="shared" si="85"/>
        <v/>
      </c>
      <c r="I1089" s="10"/>
      <c r="J1089" s="10"/>
      <c r="K1089" s="10" t="str">
        <f t="shared" si="86"/>
        <v/>
      </c>
      <c r="L1089" s="10" t="str">
        <f t="shared" si="87"/>
        <v/>
      </c>
      <c r="M1089" s="10" t="str">
        <f t="shared" si="88"/>
        <v/>
      </c>
      <c r="N1089" s="10" t="str">
        <f t="shared" si="89"/>
        <v/>
      </c>
      <c r="O1089" s="6"/>
      <c r="P1089" s="6"/>
    </row>
    <row r="1090" spans="1:16" x14ac:dyDescent="0.3">
      <c r="A1090" s="6"/>
      <c r="B1090" s="7"/>
      <c r="C1090" s="6"/>
      <c r="D1090" s="6"/>
      <c r="E1090" s="6"/>
      <c r="F1090" s="25"/>
      <c r="G1090" s="25" t="str">
        <f>IF(A1090="","",SUMIFS(Paradas_Detalhadas!$I:$I,Paradas_Detalhadas!$A:$A,A1090,Paradas_Detalhadas!$B:$B,B1090,Paradas_Detalhadas!$C:$C,C1090,Paradas_Detalhadas!$D:$D,E1090))</f>
        <v/>
      </c>
      <c r="H1090" s="26" t="str">
        <f t="shared" si="85"/>
        <v/>
      </c>
      <c r="I1090" s="10"/>
      <c r="J1090" s="10"/>
      <c r="K1090" s="10" t="str">
        <f t="shared" si="86"/>
        <v/>
      </c>
      <c r="L1090" s="10" t="str">
        <f t="shared" si="87"/>
        <v/>
      </c>
      <c r="M1090" s="10" t="str">
        <f t="shared" si="88"/>
        <v/>
      </c>
      <c r="N1090" s="10" t="str">
        <f t="shared" si="89"/>
        <v/>
      </c>
      <c r="O1090" s="6"/>
      <c r="P1090" s="6"/>
    </row>
    <row r="1091" spans="1:16" x14ac:dyDescent="0.3">
      <c r="A1091" s="6"/>
      <c r="B1091" s="7"/>
      <c r="C1091" s="6"/>
      <c r="D1091" s="6"/>
      <c r="E1091" s="6"/>
      <c r="F1091" s="25"/>
      <c r="G1091" s="25" t="str">
        <f>IF(A1091="","",SUMIFS(Paradas_Detalhadas!$I:$I,Paradas_Detalhadas!$A:$A,A1091,Paradas_Detalhadas!$B:$B,B1091,Paradas_Detalhadas!$C:$C,C1091,Paradas_Detalhadas!$D:$D,E1091))</f>
        <v/>
      </c>
      <c r="H1091" s="26" t="str">
        <f t="shared" si="85"/>
        <v/>
      </c>
      <c r="I1091" s="10"/>
      <c r="J1091" s="10"/>
      <c r="K1091" s="10" t="str">
        <f t="shared" si="86"/>
        <v/>
      </c>
      <c r="L1091" s="10" t="str">
        <f t="shared" si="87"/>
        <v/>
      </c>
      <c r="M1091" s="10" t="str">
        <f t="shared" si="88"/>
        <v/>
      </c>
      <c r="N1091" s="10" t="str">
        <f t="shared" si="89"/>
        <v/>
      </c>
      <c r="O1091" s="6"/>
      <c r="P1091" s="6"/>
    </row>
    <row r="1092" spans="1:16" x14ac:dyDescent="0.3">
      <c r="A1092" s="6"/>
      <c r="B1092" s="7"/>
      <c r="C1092" s="6"/>
      <c r="D1092" s="6"/>
      <c r="E1092" s="6"/>
      <c r="F1092" s="25"/>
      <c r="G1092" s="25" t="str">
        <f>IF(A1092="","",SUMIFS(Paradas_Detalhadas!$I:$I,Paradas_Detalhadas!$A:$A,A1092,Paradas_Detalhadas!$B:$B,B1092,Paradas_Detalhadas!$C:$C,C1092,Paradas_Detalhadas!$D:$D,E1092))</f>
        <v/>
      </c>
      <c r="H1092" s="26" t="str">
        <f t="shared" si="85"/>
        <v/>
      </c>
      <c r="I1092" s="10"/>
      <c r="J1092" s="10"/>
      <c r="K1092" s="10" t="str">
        <f t="shared" si="86"/>
        <v/>
      </c>
      <c r="L1092" s="10" t="str">
        <f t="shared" si="87"/>
        <v/>
      </c>
      <c r="M1092" s="10" t="str">
        <f t="shared" si="88"/>
        <v/>
      </c>
      <c r="N1092" s="10" t="str">
        <f t="shared" si="89"/>
        <v/>
      </c>
      <c r="O1092" s="6"/>
      <c r="P1092" s="6"/>
    </row>
    <row r="1093" spans="1:16" x14ac:dyDescent="0.3">
      <c r="A1093" s="6"/>
      <c r="B1093" s="7"/>
      <c r="C1093" s="6"/>
      <c r="D1093" s="6"/>
      <c r="E1093" s="6"/>
      <c r="F1093" s="25"/>
      <c r="G1093" s="25" t="str">
        <f>IF(A1093="","",SUMIFS(Paradas_Detalhadas!$I:$I,Paradas_Detalhadas!$A:$A,A1093,Paradas_Detalhadas!$B:$B,B1093,Paradas_Detalhadas!$C:$C,C1093,Paradas_Detalhadas!$D:$D,E1093))</f>
        <v/>
      </c>
      <c r="H1093" s="26" t="str">
        <f t="shared" si="85"/>
        <v/>
      </c>
      <c r="I1093" s="10"/>
      <c r="J1093" s="10"/>
      <c r="K1093" s="10" t="str">
        <f t="shared" si="86"/>
        <v/>
      </c>
      <c r="L1093" s="10" t="str">
        <f t="shared" si="87"/>
        <v/>
      </c>
      <c r="M1093" s="10" t="str">
        <f t="shared" si="88"/>
        <v/>
      </c>
      <c r="N1093" s="10" t="str">
        <f t="shared" si="89"/>
        <v/>
      </c>
      <c r="O1093" s="6"/>
      <c r="P1093" s="6"/>
    </row>
    <row r="1094" spans="1:16" x14ac:dyDescent="0.3">
      <c r="A1094" s="6"/>
      <c r="B1094" s="7"/>
      <c r="C1094" s="6"/>
      <c r="D1094" s="6"/>
      <c r="E1094" s="6"/>
      <c r="F1094" s="25"/>
      <c r="G1094" s="25" t="str">
        <f>IF(A1094="","",SUMIFS(Paradas_Detalhadas!$I:$I,Paradas_Detalhadas!$A:$A,A1094,Paradas_Detalhadas!$B:$B,B1094,Paradas_Detalhadas!$C:$C,C1094,Paradas_Detalhadas!$D:$D,E1094))</f>
        <v/>
      </c>
      <c r="H1094" s="26" t="str">
        <f t="shared" si="85"/>
        <v/>
      </c>
      <c r="I1094" s="10"/>
      <c r="J1094" s="10"/>
      <c r="K1094" s="10" t="str">
        <f t="shared" si="86"/>
        <v/>
      </c>
      <c r="L1094" s="10" t="str">
        <f t="shared" si="87"/>
        <v/>
      </c>
      <c r="M1094" s="10" t="str">
        <f t="shared" si="88"/>
        <v/>
      </c>
      <c r="N1094" s="10" t="str">
        <f t="shared" si="89"/>
        <v/>
      </c>
      <c r="O1094" s="6"/>
      <c r="P1094" s="6"/>
    </row>
    <row r="1095" spans="1:16" x14ac:dyDescent="0.3">
      <c r="A1095" s="6"/>
      <c r="B1095" s="7"/>
      <c r="C1095" s="6"/>
      <c r="D1095" s="6"/>
      <c r="E1095" s="6"/>
      <c r="F1095" s="25"/>
      <c r="G1095" s="25" t="str">
        <f>IF(A1095="","",SUMIFS(Paradas_Detalhadas!$I:$I,Paradas_Detalhadas!$A:$A,A1095,Paradas_Detalhadas!$B:$B,B1095,Paradas_Detalhadas!$C:$C,C1095,Paradas_Detalhadas!$D:$D,E1095))</f>
        <v/>
      </c>
      <c r="H1095" s="26" t="str">
        <f t="shared" si="85"/>
        <v/>
      </c>
      <c r="I1095" s="10"/>
      <c r="J1095" s="10"/>
      <c r="K1095" s="10" t="str">
        <f t="shared" si="86"/>
        <v/>
      </c>
      <c r="L1095" s="10" t="str">
        <f t="shared" si="87"/>
        <v/>
      </c>
      <c r="M1095" s="10" t="str">
        <f t="shared" si="88"/>
        <v/>
      </c>
      <c r="N1095" s="10" t="str">
        <f t="shared" si="89"/>
        <v/>
      </c>
      <c r="O1095" s="6"/>
      <c r="P1095" s="6"/>
    </row>
    <row r="1096" spans="1:16" x14ac:dyDescent="0.3">
      <c r="A1096" s="6"/>
      <c r="B1096" s="7"/>
      <c r="C1096" s="6"/>
      <c r="D1096" s="6"/>
      <c r="E1096" s="6"/>
      <c r="F1096" s="25"/>
      <c r="G1096" s="25" t="str">
        <f>IF(A1096="","",SUMIFS(Paradas_Detalhadas!$I:$I,Paradas_Detalhadas!$A:$A,A1096,Paradas_Detalhadas!$B:$B,B1096,Paradas_Detalhadas!$C:$C,C1096,Paradas_Detalhadas!$D:$D,E1096))</f>
        <v/>
      </c>
      <c r="H1096" s="26" t="str">
        <f t="shared" si="85"/>
        <v/>
      </c>
      <c r="I1096" s="10"/>
      <c r="J1096" s="10"/>
      <c r="K1096" s="10" t="str">
        <f t="shared" si="86"/>
        <v/>
      </c>
      <c r="L1096" s="10" t="str">
        <f t="shared" si="87"/>
        <v/>
      </c>
      <c r="M1096" s="10" t="str">
        <f t="shared" si="88"/>
        <v/>
      </c>
      <c r="N1096" s="10" t="str">
        <f t="shared" si="89"/>
        <v/>
      </c>
      <c r="O1096" s="6"/>
      <c r="P1096" s="6"/>
    </row>
    <row r="1097" spans="1:16" x14ac:dyDescent="0.3">
      <c r="A1097" s="6"/>
      <c r="B1097" s="7"/>
      <c r="C1097" s="6"/>
      <c r="D1097" s="6"/>
      <c r="E1097" s="6"/>
      <c r="F1097" s="25"/>
      <c r="G1097" s="25" t="str">
        <f>IF(A1097="","",SUMIFS(Paradas_Detalhadas!$I:$I,Paradas_Detalhadas!$A:$A,A1097,Paradas_Detalhadas!$B:$B,B1097,Paradas_Detalhadas!$C:$C,C1097,Paradas_Detalhadas!$D:$D,E1097))</f>
        <v/>
      </c>
      <c r="H1097" s="26" t="str">
        <f t="shared" si="85"/>
        <v/>
      </c>
      <c r="I1097" s="10"/>
      <c r="J1097" s="10"/>
      <c r="K1097" s="10" t="str">
        <f t="shared" si="86"/>
        <v/>
      </c>
      <c r="L1097" s="10" t="str">
        <f t="shared" si="87"/>
        <v/>
      </c>
      <c r="M1097" s="10" t="str">
        <f t="shared" si="88"/>
        <v/>
      </c>
      <c r="N1097" s="10" t="str">
        <f t="shared" si="89"/>
        <v/>
      </c>
      <c r="O1097" s="6"/>
      <c r="P1097" s="6"/>
    </row>
    <row r="1098" spans="1:16" x14ac:dyDescent="0.3">
      <c r="A1098" s="6"/>
      <c r="B1098" s="7"/>
      <c r="C1098" s="6"/>
      <c r="D1098" s="6"/>
      <c r="E1098" s="6"/>
      <c r="F1098" s="25"/>
      <c r="G1098" s="25" t="str">
        <f>IF(A1098="","",SUMIFS(Paradas_Detalhadas!$I:$I,Paradas_Detalhadas!$A:$A,A1098,Paradas_Detalhadas!$B:$B,B1098,Paradas_Detalhadas!$C:$C,C1098,Paradas_Detalhadas!$D:$D,E1098))</f>
        <v/>
      </c>
      <c r="H1098" s="26" t="str">
        <f t="shared" si="85"/>
        <v/>
      </c>
      <c r="I1098" s="10"/>
      <c r="J1098" s="10"/>
      <c r="K1098" s="10" t="str">
        <f t="shared" si="86"/>
        <v/>
      </c>
      <c r="L1098" s="10" t="str">
        <f t="shared" si="87"/>
        <v/>
      </c>
      <c r="M1098" s="10" t="str">
        <f t="shared" si="88"/>
        <v/>
      </c>
      <c r="N1098" s="10" t="str">
        <f t="shared" si="89"/>
        <v/>
      </c>
      <c r="O1098" s="6"/>
      <c r="P1098" s="6"/>
    </row>
    <row r="1099" spans="1:16" x14ac:dyDescent="0.3">
      <c r="A1099" s="6"/>
      <c r="B1099" s="7"/>
      <c r="C1099" s="6"/>
      <c r="D1099" s="6"/>
      <c r="E1099" s="6"/>
      <c r="F1099" s="25"/>
      <c r="G1099" s="25" t="str">
        <f>IF(A1099="","",SUMIFS(Paradas_Detalhadas!$I:$I,Paradas_Detalhadas!$A:$A,A1099,Paradas_Detalhadas!$B:$B,B1099,Paradas_Detalhadas!$C:$C,C1099,Paradas_Detalhadas!$D:$D,E1099))</f>
        <v/>
      </c>
      <c r="H1099" s="26" t="str">
        <f t="shared" si="85"/>
        <v/>
      </c>
      <c r="I1099" s="10"/>
      <c r="J1099" s="10"/>
      <c r="K1099" s="10" t="str">
        <f t="shared" si="86"/>
        <v/>
      </c>
      <c r="L1099" s="10" t="str">
        <f t="shared" si="87"/>
        <v/>
      </c>
      <c r="M1099" s="10" t="str">
        <f t="shared" si="88"/>
        <v/>
      </c>
      <c r="N1099" s="10" t="str">
        <f t="shared" si="89"/>
        <v/>
      </c>
      <c r="O1099" s="6"/>
      <c r="P1099" s="6"/>
    </row>
    <row r="1100" spans="1:16" x14ac:dyDescent="0.3">
      <c r="A1100" s="6"/>
      <c r="B1100" s="7"/>
      <c r="C1100" s="6"/>
      <c r="D1100" s="6"/>
      <c r="E1100" s="6"/>
      <c r="F1100" s="25"/>
      <c r="G1100" s="25" t="str">
        <f>IF(A1100="","",SUMIFS(Paradas_Detalhadas!$I:$I,Paradas_Detalhadas!$A:$A,A1100,Paradas_Detalhadas!$B:$B,B1100,Paradas_Detalhadas!$C:$C,C1100,Paradas_Detalhadas!$D:$D,E1100))</f>
        <v/>
      </c>
      <c r="H1100" s="26" t="str">
        <f t="shared" si="85"/>
        <v/>
      </c>
      <c r="I1100" s="10"/>
      <c r="J1100" s="10"/>
      <c r="K1100" s="10" t="str">
        <f t="shared" si="86"/>
        <v/>
      </c>
      <c r="L1100" s="10" t="str">
        <f t="shared" si="87"/>
        <v/>
      </c>
      <c r="M1100" s="10" t="str">
        <f t="shared" si="88"/>
        <v/>
      </c>
      <c r="N1100" s="10" t="str">
        <f t="shared" si="89"/>
        <v/>
      </c>
      <c r="O1100" s="6"/>
      <c r="P1100" s="6"/>
    </row>
    <row r="1101" spans="1:16" x14ac:dyDescent="0.3">
      <c r="A1101" s="6"/>
      <c r="B1101" s="7"/>
      <c r="C1101" s="6"/>
      <c r="D1101" s="6"/>
      <c r="E1101" s="6"/>
      <c r="F1101" s="25"/>
      <c r="G1101" s="25" t="str">
        <f>IF(A1101="","",SUMIFS(Paradas_Detalhadas!$I:$I,Paradas_Detalhadas!$A:$A,A1101,Paradas_Detalhadas!$B:$B,B1101,Paradas_Detalhadas!$C:$C,C1101,Paradas_Detalhadas!$D:$D,E1101))</f>
        <v/>
      </c>
      <c r="H1101" s="26" t="str">
        <f t="shared" si="85"/>
        <v/>
      </c>
      <c r="I1101" s="10"/>
      <c r="J1101" s="10"/>
      <c r="K1101" s="10" t="str">
        <f t="shared" si="86"/>
        <v/>
      </c>
      <c r="L1101" s="10" t="str">
        <f t="shared" si="87"/>
        <v/>
      </c>
      <c r="M1101" s="10" t="str">
        <f t="shared" si="88"/>
        <v/>
      </c>
      <c r="N1101" s="10" t="str">
        <f t="shared" si="89"/>
        <v/>
      </c>
      <c r="O1101" s="6"/>
      <c r="P1101" s="6"/>
    </row>
    <row r="1102" spans="1:16" x14ac:dyDescent="0.3">
      <c r="A1102" s="6"/>
      <c r="B1102" s="7"/>
      <c r="C1102" s="6"/>
      <c r="D1102" s="6"/>
      <c r="E1102" s="6"/>
      <c r="F1102" s="25"/>
      <c r="G1102" s="25" t="str">
        <f>IF(A1102="","",SUMIFS(Paradas_Detalhadas!$I:$I,Paradas_Detalhadas!$A:$A,A1102,Paradas_Detalhadas!$B:$B,B1102,Paradas_Detalhadas!$C:$C,C1102,Paradas_Detalhadas!$D:$D,E1102))</f>
        <v/>
      </c>
      <c r="H1102" s="26" t="str">
        <f t="shared" si="85"/>
        <v/>
      </c>
      <c r="I1102" s="10"/>
      <c r="J1102" s="10"/>
      <c r="K1102" s="10" t="str">
        <f t="shared" si="86"/>
        <v/>
      </c>
      <c r="L1102" s="10" t="str">
        <f t="shared" si="87"/>
        <v/>
      </c>
      <c r="M1102" s="10" t="str">
        <f t="shared" si="88"/>
        <v/>
      </c>
      <c r="N1102" s="10" t="str">
        <f t="shared" si="89"/>
        <v/>
      </c>
      <c r="O1102" s="6"/>
      <c r="P1102" s="6"/>
    </row>
    <row r="1103" spans="1:16" x14ac:dyDescent="0.3">
      <c r="A1103" s="6"/>
      <c r="B1103" s="7"/>
      <c r="C1103" s="6"/>
      <c r="D1103" s="6"/>
      <c r="E1103" s="6"/>
      <c r="F1103" s="25"/>
      <c r="G1103" s="25" t="str">
        <f>IF(A1103="","",SUMIFS(Paradas_Detalhadas!$I:$I,Paradas_Detalhadas!$A:$A,A1103,Paradas_Detalhadas!$B:$B,B1103,Paradas_Detalhadas!$C:$C,C1103,Paradas_Detalhadas!$D:$D,E1103))</f>
        <v/>
      </c>
      <c r="H1103" s="26" t="str">
        <f t="shared" si="85"/>
        <v/>
      </c>
      <c r="I1103" s="10"/>
      <c r="J1103" s="10"/>
      <c r="K1103" s="10" t="str">
        <f t="shared" si="86"/>
        <v/>
      </c>
      <c r="L1103" s="10" t="str">
        <f t="shared" si="87"/>
        <v/>
      </c>
      <c r="M1103" s="10" t="str">
        <f t="shared" si="88"/>
        <v/>
      </c>
      <c r="N1103" s="10" t="str">
        <f t="shared" si="89"/>
        <v/>
      </c>
      <c r="O1103" s="6"/>
      <c r="P1103" s="6"/>
    </row>
    <row r="1104" spans="1:16" x14ac:dyDescent="0.3">
      <c r="A1104" s="6"/>
      <c r="B1104" s="7"/>
      <c r="C1104" s="6"/>
      <c r="D1104" s="6"/>
      <c r="E1104" s="6"/>
      <c r="F1104" s="25"/>
      <c r="G1104" s="25" t="str">
        <f>IF(A1104="","",SUMIFS(Paradas_Detalhadas!$I:$I,Paradas_Detalhadas!$A:$A,A1104,Paradas_Detalhadas!$B:$B,B1104,Paradas_Detalhadas!$C:$C,C1104,Paradas_Detalhadas!$D:$D,E1104))</f>
        <v/>
      </c>
      <c r="H1104" s="26" t="str">
        <f t="shared" si="85"/>
        <v/>
      </c>
      <c r="I1104" s="10"/>
      <c r="J1104" s="10"/>
      <c r="K1104" s="10" t="str">
        <f t="shared" si="86"/>
        <v/>
      </c>
      <c r="L1104" s="10" t="str">
        <f t="shared" si="87"/>
        <v/>
      </c>
      <c r="M1104" s="10" t="str">
        <f t="shared" si="88"/>
        <v/>
      </c>
      <c r="N1104" s="10" t="str">
        <f t="shared" si="89"/>
        <v/>
      </c>
      <c r="O1104" s="6"/>
      <c r="P1104" s="6"/>
    </row>
    <row r="1105" spans="1:16" x14ac:dyDescent="0.3">
      <c r="A1105" s="6"/>
      <c r="B1105" s="7"/>
      <c r="C1105" s="6"/>
      <c r="D1105" s="6"/>
      <c r="E1105" s="6"/>
      <c r="F1105" s="25"/>
      <c r="G1105" s="25" t="str">
        <f>IF(A1105="","",SUMIFS(Paradas_Detalhadas!$I:$I,Paradas_Detalhadas!$A:$A,A1105,Paradas_Detalhadas!$B:$B,B1105,Paradas_Detalhadas!$C:$C,C1105,Paradas_Detalhadas!$D:$D,E1105))</f>
        <v/>
      </c>
      <c r="H1105" s="26" t="str">
        <f t="shared" si="85"/>
        <v/>
      </c>
      <c r="I1105" s="10"/>
      <c r="J1105" s="10"/>
      <c r="K1105" s="10" t="str">
        <f t="shared" si="86"/>
        <v/>
      </c>
      <c r="L1105" s="10" t="str">
        <f t="shared" si="87"/>
        <v/>
      </c>
      <c r="M1105" s="10" t="str">
        <f t="shared" si="88"/>
        <v/>
      </c>
      <c r="N1105" s="10" t="str">
        <f t="shared" si="89"/>
        <v/>
      </c>
      <c r="O1105" s="6"/>
      <c r="P1105" s="6"/>
    </row>
    <row r="1106" spans="1:16" x14ac:dyDescent="0.3">
      <c r="A1106" s="6"/>
      <c r="B1106" s="7"/>
      <c r="C1106" s="6"/>
      <c r="D1106" s="6"/>
      <c r="E1106" s="6"/>
      <c r="F1106" s="25"/>
      <c r="G1106" s="25" t="str">
        <f>IF(A1106="","",SUMIFS(Paradas_Detalhadas!$I:$I,Paradas_Detalhadas!$A:$A,A1106,Paradas_Detalhadas!$B:$B,B1106,Paradas_Detalhadas!$C:$C,C1106,Paradas_Detalhadas!$D:$D,E1106))</f>
        <v/>
      </c>
      <c r="H1106" s="26" t="str">
        <f t="shared" si="85"/>
        <v/>
      </c>
      <c r="I1106" s="10"/>
      <c r="J1106" s="10"/>
      <c r="K1106" s="10" t="str">
        <f t="shared" si="86"/>
        <v/>
      </c>
      <c r="L1106" s="10" t="str">
        <f t="shared" si="87"/>
        <v/>
      </c>
      <c r="M1106" s="10" t="str">
        <f t="shared" si="88"/>
        <v/>
      </c>
      <c r="N1106" s="10" t="str">
        <f t="shared" si="89"/>
        <v/>
      </c>
      <c r="O1106" s="6"/>
      <c r="P1106" s="6"/>
    </row>
    <row r="1107" spans="1:16" x14ac:dyDescent="0.3">
      <c r="A1107" s="6"/>
      <c r="B1107" s="7"/>
      <c r="C1107" s="6"/>
      <c r="D1107" s="6"/>
      <c r="E1107" s="6"/>
      <c r="F1107" s="25"/>
      <c r="G1107" s="25" t="str">
        <f>IF(A1107="","",SUMIFS(Paradas_Detalhadas!$I:$I,Paradas_Detalhadas!$A:$A,A1107,Paradas_Detalhadas!$B:$B,B1107,Paradas_Detalhadas!$C:$C,C1107,Paradas_Detalhadas!$D:$D,E1107))</f>
        <v/>
      </c>
      <c r="H1107" s="26" t="str">
        <f t="shared" si="85"/>
        <v/>
      </c>
      <c r="I1107" s="10"/>
      <c r="J1107" s="10"/>
      <c r="K1107" s="10" t="str">
        <f t="shared" si="86"/>
        <v/>
      </c>
      <c r="L1107" s="10" t="str">
        <f t="shared" si="87"/>
        <v/>
      </c>
      <c r="M1107" s="10" t="str">
        <f t="shared" si="88"/>
        <v/>
      </c>
      <c r="N1107" s="10" t="str">
        <f t="shared" si="89"/>
        <v/>
      </c>
      <c r="O1107" s="6"/>
      <c r="P1107" s="6"/>
    </row>
    <row r="1108" spans="1:16" x14ac:dyDescent="0.3">
      <c r="A1108" s="6"/>
      <c r="B1108" s="7"/>
      <c r="C1108" s="6"/>
      <c r="D1108" s="6"/>
      <c r="E1108" s="6"/>
      <c r="F1108" s="25"/>
      <c r="G1108" s="25" t="str">
        <f>IF(A1108="","",SUMIFS(Paradas_Detalhadas!$I:$I,Paradas_Detalhadas!$A:$A,A1108,Paradas_Detalhadas!$B:$B,B1108,Paradas_Detalhadas!$C:$C,C1108,Paradas_Detalhadas!$D:$D,E1108))</f>
        <v/>
      </c>
      <c r="H1108" s="26" t="str">
        <f t="shared" si="85"/>
        <v/>
      </c>
      <c r="I1108" s="10"/>
      <c r="J1108" s="10"/>
      <c r="K1108" s="10" t="str">
        <f t="shared" si="86"/>
        <v/>
      </c>
      <c r="L1108" s="10" t="str">
        <f t="shared" si="87"/>
        <v/>
      </c>
      <c r="M1108" s="10" t="str">
        <f t="shared" si="88"/>
        <v/>
      </c>
      <c r="N1108" s="10" t="str">
        <f t="shared" si="89"/>
        <v/>
      </c>
      <c r="O1108" s="6"/>
      <c r="P1108" s="6"/>
    </row>
    <row r="1109" spans="1:16" x14ac:dyDescent="0.3">
      <c r="A1109" s="6"/>
      <c r="B1109" s="7"/>
      <c r="C1109" s="6"/>
      <c r="D1109" s="6"/>
      <c r="E1109" s="6"/>
      <c r="F1109" s="25"/>
      <c r="G1109" s="25" t="str">
        <f>IF(A1109="","",SUMIFS(Paradas_Detalhadas!$I:$I,Paradas_Detalhadas!$A:$A,A1109,Paradas_Detalhadas!$B:$B,B1109,Paradas_Detalhadas!$C:$C,C1109,Paradas_Detalhadas!$D:$D,E1109))</f>
        <v/>
      </c>
      <c r="H1109" s="26" t="str">
        <f t="shared" si="85"/>
        <v/>
      </c>
      <c r="I1109" s="10"/>
      <c r="J1109" s="10"/>
      <c r="K1109" s="10" t="str">
        <f t="shared" si="86"/>
        <v/>
      </c>
      <c r="L1109" s="10" t="str">
        <f t="shared" si="87"/>
        <v/>
      </c>
      <c r="M1109" s="10" t="str">
        <f t="shared" si="88"/>
        <v/>
      </c>
      <c r="N1109" s="10" t="str">
        <f t="shared" si="89"/>
        <v/>
      </c>
      <c r="O1109" s="6"/>
      <c r="P1109" s="6"/>
    </row>
    <row r="1110" spans="1:16" x14ac:dyDescent="0.3">
      <c r="A1110" s="6"/>
      <c r="B1110" s="7"/>
      <c r="C1110" s="6"/>
      <c r="D1110" s="6"/>
      <c r="E1110" s="6"/>
      <c r="F1110" s="25"/>
      <c r="G1110" s="25" t="str">
        <f>IF(A1110="","",SUMIFS(Paradas_Detalhadas!$I:$I,Paradas_Detalhadas!$A:$A,A1110,Paradas_Detalhadas!$B:$B,B1110,Paradas_Detalhadas!$C:$C,C1110,Paradas_Detalhadas!$D:$D,E1110))</f>
        <v/>
      </c>
      <c r="H1110" s="26" t="str">
        <f t="shared" si="85"/>
        <v/>
      </c>
      <c r="I1110" s="10"/>
      <c r="J1110" s="10"/>
      <c r="K1110" s="10" t="str">
        <f t="shared" si="86"/>
        <v/>
      </c>
      <c r="L1110" s="10" t="str">
        <f t="shared" si="87"/>
        <v/>
      </c>
      <c r="M1110" s="10" t="str">
        <f t="shared" si="88"/>
        <v/>
      </c>
      <c r="N1110" s="10" t="str">
        <f t="shared" si="89"/>
        <v/>
      </c>
      <c r="O1110" s="6"/>
      <c r="P1110" s="6"/>
    </row>
    <row r="1111" spans="1:16" x14ac:dyDescent="0.3">
      <c r="A1111" s="6"/>
      <c r="B1111" s="7"/>
      <c r="C1111" s="6"/>
      <c r="D1111" s="6"/>
      <c r="E1111" s="6"/>
      <c r="F1111" s="25"/>
      <c r="G1111" s="25" t="str">
        <f>IF(A1111="","",SUMIFS(Paradas_Detalhadas!$I:$I,Paradas_Detalhadas!$A:$A,A1111,Paradas_Detalhadas!$B:$B,B1111,Paradas_Detalhadas!$C:$C,C1111,Paradas_Detalhadas!$D:$D,E1111))</f>
        <v/>
      </c>
      <c r="H1111" s="26" t="str">
        <f t="shared" si="85"/>
        <v/>
      </c>
      <c r="I1111" s="10"/>
      <c r="J1111" s="10"/>
      <c r="K1111" s="10" t="str">
        <f t="shared" si="86"/>
        <v/>
      </c>
      <c r="L1111" s="10" t="str">
        <f t="shared" si="87"/>
        <v/>
      </c>
      <c r="M1111" s="10" t="str">
        <f t="shared" si="88"/>
        <v/>
      </c>
      <c r="N1111" s="10" t="str">
        <f t="shared" si="89"/>
        <v/>
      </c>
      <c r="O1111" s="6"/>
      <c r="P1111" s="6"/>
    </row>
    <row r="1112" spans="1:16" x14ac:dyDescent="0.3">
      <c r="A1112" s="6"/>
      <c r="B1112" s="7"/>
      <c r="C1112" s="6"/>
      <c r="D1112" s="6"/>
      <c r="E1112" s="6"/>
      <c r="F1112" s="25"/>
      <c r="G1112" s="25" t="str">
        <f>IF(A1112="","",SUMIFS(Paradas_Detalhadas!$I:$I,Paradas_Detalhadas!$A:$A,A1112,Paradas_Detalhadas!$B:$B,B1112,Paradas_Detalhadas!$C:$C,C1112,Paradas_Detalhadas!$D:$D,E1112))</f>
        <v/>
      </c>
      <c r="H1112" s="26" t="str">
        <f t="shared" si="85"/>
        <v/>
      </c>
      <c r="I1112" s="10"/>
      <c r="J1112" s="10"/>
      <c r="K1112" s="10" t="str">
        <f t="shared" si="86"/>
        <v/>
      </c>
      <c r="L1112" s="10" t="str">
        <f t="shared" si="87"/>
        <v/>
      </c>
      <c r="M1112" s="10" t="str">
        <f t="shared" si="88"/>
        <v/>
      </c>
      <c r="N1112" s="10" t="str">
        <f t="shared" si="89"/>
        <v/>
      </c>
      <c r="O1112" s="6"/>
      <c r="P1112" s="6"/>
    </row>
    <row r="1113" spans="1:16" x14ac:dyDescent="0.3">
      <c r="A1113" s="6"/>
      <c r="B1113" s="7"/>
      <c r="C1113" s="6"/>
      <c r="D1113" s="6"/>
      <c r="E1113" s="6"/>
      <c r="F1113" s="25"/>
      <c r="G1113" s="25" t="str">
        <f>IF(A1113="","",SUMIFS(Paradas_Detalhadas!$I:$I,Paradas_Detalhadas!$A:$A,A1113,Paradas_Detalhadas!$B:$B,B1113,Paradas_Detalhadas!$C:$C,C1113,Paradas_Detalhadas!$D:$D,E1113))</f>
        <v/>
      </c>
      <c r="H1113" s="26" t="str">
        <f t="shared" si="85"/>
        <v/>
      </c>
      <c r="I1113" s="10"/>
      <c r="J1113" s="10"/>
      <c r="K1113" s="10" t="str">
        <f t="shared" si="86"/>
        <v/>
      </c>
      <c r="L1113" s="10" t="str">
        <f t="shared" si="87"/>
        <v/>
      </c>
      <c r="M1113" s="10" t="str">
        <f t="shared" si="88"/>
        <v/>
      </c>
      <c r="N1113" s="10" t="str">
        <f t="shared" si="89"/>
        <v/>
      </c>
      <c r="O1113" s="6"/>
      <c r="P1113" s="6"/>
    </row>
    <row r="1114" spans="1:16" x14ac:dyDescent="0.3">
      <c r="A1114" s="6"/>
      <c r="B1114" s="7"/>
      <c r="C1114" s="6"/>
      <c r="D1114" s="6"/>
      <c r="E1114" s="6"/>
      <c r="F1114" s="25"/>
      <c r="G1114" s="25" t="str">
        <f>IF(A1114="","",SUMIFS(Paradas_Detalhadas!$I:$I,Paradas_Detalhadas!$A:$A,A1114,Paradas_Detalhadas!$B:$B,B1114,Paradas_Detalhadas!$C:$C,C1114,Paradas_Detalhadas!$D:$D,E1114))</f>
        <v/>
      </c>
      <c r="H1114" s="26" t="str">
        <f t="shared" si="85"/>
        <v/>
      </c>
      <c r="I1114" s="10"/>
      <c r="J1114" s="10"/>
      <c r="K1114" s="10" t="str">
        <f t="shared" si="86"/>
        <v/>
      </c>
      <c r="L1114" s="10" t="str">
        <f t="shared" si="87"/>
        <v/>
      </c>
      <c r="M1114" s="10" t="str">
        <f t="shared" si="88"/>
        <v/>
      </c>
      <c r="N1114" s="10" t="str">
        <f t="shared" si="89"/>
        <v/>
      </c>
      <c r="O1114" s="6"/>
      <c r="P1114" s="6"/>
    </row>
    <row r="1115" spans="1:16" x14ac:dyDescent="0.3">
      <c r="A1115" s="6"/>
      <c r="B1115" s="7"/>
      <c r="C1115" s="6"/>
      <c r="D1115" s="6"/>
      <c r="E1115" s="6"/>
      <c r="F1115" s="25"/>
      <c r="G1115" s="25" t="str">
        <f>IF(A1115="","",SUMIFS(Paradas_Detalhadas!$I:$I,Paradas_Detalhadas!$A:$A,A1115,Paradas_Detalhadas!$B:$B,B1115,Paradas_Detalhadas!$C:$C,C1115,Paradas_Detalhadas!$D:$D,E1115))</f>
        <v/>
      </c>
      <c r="H1115" s="26" t="str">
        <f t="shared" si="85"/>
        <v/>
      </c>
      <c r="I1115" s="10"/>
      <c r="J1115" s="10"/>
      <c r="K1115" s="10" t="str">
        <f t="shared" si="86"/>
        <v/>
      </c>
      <c r="L1115" s="10" t="str">
        <f t="shared" si="87"/>
        <v/>
      </c>
      <c r="M1115" s="10" t="str">
        <f t="shared" si="88"/>
        <v/>
      </c>
      <c r="N1115" s="10" t="str">
        <f t="shared" si="89"/>
        <v/>
      </c>
      <c r="O1115" s="6"/>
      <c r="P1115" s="6"/>
    </row>
    <row r="1116" spans="1:16" x14ac:dyDescent="0.3">
      <c r="A1116" s="6"/>
      <c r="B1116" s="7"/>
      <c r="C1116" s="6"/>
      <c r="D1116" s="6"/>
      <c r="E1116" s="6"/>
      <c r="F1116" s="25"/>
      <c r="G1116" s="25" t="str">
        <f>IF(A1116="","",SUMIFS(Paradas_Detalhadas!$I:$I,Paradas_Detalhadas!$A:$A,A1116,Paradas_Detalhadas!$B:$B,B1116,Paradas_Detalhadas!$C:$C,C1116,Paradas_Detalhadas!$D:$D,E1116))</f>
        <v/>
      </c>
      <c r="H1116" s="26" t="str">
        <f t="shared" si="85"/>
        <v/>
      </c>
      <c r="I1116" s="10"/>
      <c r="J1116" s="10"/>
      <c r="K1116" s="10" t="str">
        <f t="shared" si="86"/>
        <v/>
      </c>
      <c r="L1116" s="10" t="str">
        <f t="shared" si="87"/>
        <v/>
      </c>
      <c r="M1116" s="10" t="str">
        <f t="shared" si="88"/>
        <v/>
      </c>
      <c r="N1116" s="10" t="str">
        <f t="shared" si="89"/>
        <v/>
      </c>
      <c r="O1116" s="6"/>
      <c r="P1116" s="6"/>
    </row>
    <row r="1117" spans="1:16" x14ac:dyDescent="0.3">
      <c r="A1117" s="6"/>
      <c r="B1117" s="7"/>
      <c r="C1117" s="6"/>
      <c r="D1117" s="6"/>
      <c r="E1117" s="6"/>
      <c r="F1117" s="25"/>
      <c r="G1117" s="25" t="str">
        <f>IF(A1117="","",SUMIFS(Paradas_Detalhadas!$I:$I,Paradas_Detalhadas!$A:$A,A1117,Paradas_Detalhadas!$B:$B,B1117,Paradas_Detalhadas!$C:$C,C1117,Paradas_Detalhadas!$D:$D,E1117))</f>
        <v/>
      </c>
      <c r="H1117" s="26" t="str">
        <f t="shared" si="85"/>
        <v/>
      </c>
      <c r="I1117" s="10"/>
      <c r="J1117" s="10"/>
      <c r="K1117" s="10" t="str">
        <f t="shared" si="86"/>
        <v/>
      </c>
      <c r="L1117" s="10" t="str">
        <f t="shared" si="87"/>
        <v/>
      </c>
      <c r="M1117" s="10" t="str">
        <f t="shared" si="88"/>
        <v/>
      </c>
      <c r="N1117" s="10" t="str">
        <f t="shared" si="89"/>
        <v/>
      </c>
      <c r="O1117" s="6"/>
      <c r="P1117" s="6"/>
    </row>
    <row r="1118" spans="1:16" x14ac:dyDescent="0.3">
      <c r="A1118" s="6"/>
      <c r="B1118" s="7"/>
      <c r="C1118" s="6"/>
      <c r="D1118" s="6"/>
      <c r="E1118" s="6"/>
      <c r="F1118" s="25"/>
      <c r="G1118" s="25" t="str">
        <f>IF(A1118="","",SUMIFS(Paradas_Detalhadas!$I:$I,Paradas_Detalhadas!$A:$A,A1118,Paradas_Detalhadas!$B:$B,B1118,Paradas_Detalhadas!$C:$C,C1118,Paradas_Detalhadas!$D:$D,E1118))</f>
        <v/>
      </c>
      <c r="H1118" s="26" t="str">
        <f t="shared" si="85"/>
        <v/>
      </c>
      <c r="I1118" s="10"/>
      <c r="J1118" s="10"/>
      <c r="K1118" s="10" t="str">
        <f t="shared" si="86"/>
        <v/>
      </c>
      <c r="L1118" s="10" t="str">
        <f t="shared" si="87"/>
        <v/>
      </c>
      <c r="M1118" s="10" t="str">
        <f t="shared" si="88"/>
        <v/>
      </c>
      <c r="N1118" s="10" t="str">
        <f t="shared" si="89"/>
        <v/>
      </c>
      <c r="O1118" s="6"/>
      <c r="P1118" s="6"/>
    </row>
    <row r="1119" spans="1:16" x14ac:dyDescent="0.3">
      <c r="A1119" s="6"/>
      <c r="B1119" s="7"/>
      <c r="C1119" s="6"/>
      <c r="D1119" s="6"/>
      <c r="E1119" s="6"/>
      <c r="F1119" s="25"/>
      <c r="G1119" s="25" t="str">
        <f>IF(A1119="","",SUMIFS(Paradas_Detalhadas!$I:$I,Paradas_Detalhadas!$A:$A,A1119,Paradas_Detalhadas!$B:$B,B1119,Paradas_Detalhadas!$C:$C,C1119,Paradas_Detalhadas!$D:$D,E1119))</f>
        <v/>
      </c>
      <c r="H1119" s="26" t="str">
        <f t="shared" si="85"/>
        <v/>
      </c>
      <c r="I1119" s="10"/>
      <c r="J1119" s="10"/>
      <c r="K1119" s="10" t="str">
        <f t="shared" si="86"/>
        <v/>
      </c>
      <c r="L1119" s="10" t="str">
        <f t="shared" si="87"/>
        <v/>
      </c>
      <c r="M1119" s="10" t="str">
        <f t="shared" si="88"/>
        <v/>
      </c>
      <c r="N1119" s="10" t="str">
        <f t="shared" si="89"/>
        <v/>
      </c>
      <c r="O1119" s="6"/>
      <c r="P1119" s="6"/>
    </row>
    <row r="1120" spans="1:16" x14ac:dyDescent="0.3">
      <c r="A1120" s="6"/>
      <c r="B1120" s="7"/>
      <c r="C1120" s="6"/>
      <c r="D1120" s="6"/>
      <c r="E1120" s="6"/>
      <c r="F1120" s="25"/>
      <c r="G1120" s="25" t="str">
        <f>IF(A1120="","",SUMIFS(Paradas_Detalhadas!$I:$I,Paradas_Detalhadas!$A:$A,A1120,Paradas_Detalhadas!$B:$B,B1120,Paradas_Detalhadas!$C:$C,C1120,Paradas_Detalhadas!$D:$D,E1120))</f>
        <v/>
      </c>
      <c r="H1120" s="26" t="str">
        <f t="shared" si="85"/>
        <v/>
      </c>
      <c r="I1120" s="10"/>
      <c r="J1120" s="10"/>
      <c r="K1120" s="10" t="str">
        <f t="shared" si="86"/>
        <v/>
      </c>
      <c r="L1120" s="10" t="str">
        <f t="shared" si="87"/>
        <v/>
      </c>
      <c r="M1120" s="10" t="str">
        <f t="shared" si="88"/>
        <v/>
      </c>
      <c r="N1120" s="10" t="str">
        <f t="shared" si="89"/>
        <v/>
      </c>
      <c r="O1120" s="6"/>
      <c r="P1120" s="6"/>
    </row>
    <row r="1121" spans="1:16" x14ac:dyDescent="0.3">
      <c r="A1121" s="6"/>
      <c r="B1121" s="7"/>
      <c r="C1121" s="6"/>
      <c r="D1121" s="6"/>
      <c r="E1121" s="6"/>
      <c r="F1121" s="25"/>
      <c r="G1121" s="25" t="str">
        <f>IF(A1121="","",SUMIFS(Paradas_Detalhadas!$I:$I,Paradas_Detalhadas!$A:$A,A1121,Paradas_Detalhadas!$B:$B,B1121,Paradas_Detalhadas!$C:$C,C1121,Paradas_Detalhadas!$D:$D,E1121))</f>
        <v/>
      </c>
      <c r="H1121" s="26" t="str">
        <f t="shared" si="85"/>
        <v/>
      </c>
      <c r="I1121" s="10"/>
      <c r="J1121" s="10"/>
      <c r="K1121" s="10" t="str">
        <f t="shared" si="86"/>
        <v/>
      </c>
      <c r="L1121" s="10" t="str">
        <f t="shared" si="87"/>
        <v/>
      </c>
      <c r="M1121" s="10" t="str">
        <f t="shared" si="88"/>
        <v/>
      </c>
      <c r="N1121" s="10" t="str">
        <f t="shared" si="89"/>
        <v/>
      </c>
      <c r="O1121" s="6"/>
      <c r="P1121" s="6"/>
    </row>
    <row r="1122" spans="1:16" x14ac:dyDescent="0.3">
      <c r="A1122" s="6"/>
      <c r="B1122" s="7"/>
      <c r="C1122" s="6"/>
      <c r="D1122" s="6"/>
      <c r="E1122" s="6"/>
      <c r="F1122" s="25"/>
      <c r="G1122" s="25" t="str">
        <f>IF(A1122="","",SUMIFS(Paradas_Detalhadas!$I:$I,Paradas_Detalhadas!$A:$A,A1122,Paradas_Detalhadas!$B:$B,B1122,Paradas_Detalhadas!$C:$C,C1122,Paradas_Detalhadas!$D:$D,E1122))</f>
        <v/>
      </c>
      <c r="H1122" s="26" t="str">
        <f t="shared" si="85"/>
        <v/>
      </c>
      <c r="I1122" s="10"/>
      <c r="J1122" s="10"/>
      <c r="K1122" s="10" t="str">
        <f t="shared" si="86"/>
        <v/>
      </c>
      <c r="L1122" s="10" t="str">
        <f t="shared" si="87"/>
        <v/>
      </c>
      <c r="M1122" s="10" t="str">
        <f t="shared" si="88"/>
        <v/>
      </c>
      <c r="N1122" s="10" t="str">
        <f t="shared" si="89"/>
        <v/>
      </c>
      <c r="O1122" s="6"/>
      <c r="P1122" s="6"/>
    </row>
    <row r="1123" spans="1:16" x14ac:dyDescent="0.3">
      <c r="A1123" s="6"/>
      <c r="B1123" s="7"/>
      <c r="C1123" s="6"/>
      <c r="D1123" s="6"/>
      <c r="E1123" s="6"/>
      <c r="F1123" s="25"/>
      <c r="G1123" s="25" t="str">
        <f>IF(A1123="","",SUMIFS(Paradas_Detalhadas!$I:$I,Paradas_Detalhadas!$A:$A,A1123,Paradas_Detalhadas!$B:$B,B1123,Paradas_Detalhadas!$C:$C,C1123,Paradas_Detalhadas!$D:$D,E1123))</f>
        <v/>
      </c>
      <c r="H1123" s="26" t="str">
        <f t="shared" si="85"/>
        <v/>
      </c>
      <c r="I1123" s="10"/>
      <c r="J1123" s="10"/>
      <c r="K1123" s="10" t="str">
        <f t="shared" si="86"/>
        <v/>
      </c>
      <c r="L1123" s="10" t="str">
        <f t="shared" si="87"/>
        <v/>
      </c>
      <c r="M1123" s="10" t="str">
        <f t="shared" si="88"/>
        <v/>
      </c>
      <c r="N1123" s="10" t="str">
        <f t="shared" si="89"/>
        <v/>
      </c>
      <c r="O1123" s="6"/>
      <c r="P1123" s="6"/>
    </row>
    <row r="1124" spans="1:16" x14ac:dyDescent="0.3">
      <c r="A1124" s="6"/>
      <c r="B1124" s="7"/>
      <c r="C1124" s="6"/>
      <c r="D1124" s="6"/>
      <c r="E1124" s="6"/>
      <c r="F1124" s="25"/>
      <c r="G1124" s="25" t="str">
        <f>IF(A1124="","",SUMIFS(Paradas_Detalhadas!$I:$I,Paradas_Detalhadas!$A:$A,A1124,Paradas_Detalhadas!$B:$B,B1124,Paradas_Detalhadas!$C:$C,C1124,Paradas_Detalhadas!$D:$D,E1124))</f>
        <v/>
      </c>
      <c r="H1124" s="26" t="str">
        <f t="shared" si="85"/>
        <v/>
      </c>
      <c r="I1124" s="10"/>
      <c r="J1124" s="10"/>
      <c r="K1124" s="10" t="str">
        <f t="shared" si="86"/>
        <v/>
      </c>
      <c r="L1124" s="10" t="str">
        <f t="shared" si="87"/>
        <v/>
      </c>
      <c r="M1124" s="10" t="str">
        <f t="shared" si="88"/>
        <v/>
      </c>
      <c r="N1124" s="10" t="str">
        <f t="shared" si="89"/>
        <v/>
      </c>
      <c r="O1124" s="6"/>
      <c r="P1124" s="6"/>
    </row>
    <row r="1125" spans="1:16" x14ac:dyDescent="0.3">
      <c r="A1125" s="6"/>
      <c r="B1125" s="7"/>
      <c r="C1125" s="6"/>
      <c r="D1125" s="6"/>
      <c r="E1125" s="6"/>
      <c r="F1125" s="25"/>
      <c r="G1125" s="25" t="str">
        <f>IF(A1125="","",SUMIFS(Paradas_Detalhadas!$I:$I,Paradas_Detalhadas!$A:$A,A1125,Paradas_Detalhadas!$B:$B,B1125,Paradas_Detalhadas!$C:$C,C1125,Paradas_Detalhadas!$D:$D,E1125))</f>
        <v/>
      </c>
      <c r="H1125" s="26" t="str">
        <f t="shared" si="85"/>
        <v/>
      </c>
      <c r="I1125" s="10"/>
      <c r="J1125" s="10"/>
      <c r="K1125" s="10" t="str">
        <f t="shared" si="86"/>
        <v/>
      </c>
      <c r="L1125" s="10" t="str">
        <f t="shared" si="87"/>
        <v/>
      </c>
      <c r="M1125" s="10" t="str">
        <f t="shared" si="88"/>
        <v/>
      </c>
      <c r="N1125" s="10" t="str">
        <f t="shared" si="89"/>
        <v/>
      </c>
      <c r="O1125" s="6"/>
      <c r="P1125" s="6"/>
    </row>
    <row r="1126" spans="1:16" x14ac:dyDescent="0.3">
      <c r="A1126" s="6"/>
      <c r="B1126" s="7"/>
      <c r="C1126" s="6"/>
      <c r="D1126" s="6"/>
      <c r="E1126" s="6"/>
      <c r="F1126" s="25"/>
      <c r="G1126" s="25" t="str">
        <f>IF(A1126="","",SUMIFS(Paradas_Detalhadas!$I:$I,Paradas_Detalhadas!$A:$A,A1126,Paradas_Detalhadas!$B:$B,B1126,Paradas_Detalhadas!$C:$C,C1126,Paradas_Detalhadas!$D:$D,E1126))</f>
        <v/>
      </c>
      <c r="H1126" s="26" t="str">
        <f t="shared" si="85"/>
        <v/>
      </c>
      <c r="I1126" s="10"/>
      <c r="J1126" s="10"/>
      <c r="K1126" s="10" t="str">
        <f t="shared" si="86"/>
        <v/>
      </c>
      <c r="L1126" s="10" t="str">
        <f t="shared" si="87"/>
        <v/>
      </c>
      <c r="M1126" s="10" t="str">
        <f t="shared" si="88"/>
        <v/>
      </c>
      <c r="N1126" s="10" t="str">
        <f t="shared" si="89"/>
        <v/>
      </c>
      <c r="O1126" s="6"/>
      <c r="P1126" s="6"/>
    </row>
    <row r="1127" spans="1:16" x14ac:dyDescent="0.3">
      <c r="A1127" s="6"/>
      <c r="B1127" s="7"/>
      <c r="C1127" s="6"/>
      <c r="D1127" s="6"/>
      <c r="E1127" s="6"/>
      <c r="F1127" s="25"/>
      <c r="G1127" s="25" t="str">
        <f>IF(A1127="","",SUMIFS(Paradas_Detalhadas!$I:$I,Paradas_Detalhadas!$A:$A,A1127,Paradas_Detalhadas!$B:$B,B1127,Paradas_Detalhadas!$C:$C,C1127,Paradas_Detalhadas!$D:$D,E1127))</f>
        <v/>
      </c>
      <c r="H1127" s="26" t="str">
        <f t="shared" si="85"/>
        <v/>
      </c>
      <c r="I1127" s="10"/>
      <c r="J1127" s="10"/>
      <c r="K1127" s="10" t="str">
        <f t="shared" si="86"/>
        <v/>
      </c>
      <c r="L1127" s="10" t="str">
        <f t="shared" si="87"/>
        <v/>
      </c>
      <c r="M1127" s="10" t="str">
        <f t="shared" si="88"/>
        <v/>
      </c>
      <c r="N1127" s="10" t="str">
        <f t="shared" si="89"/>
        <v/>
      </c>
      <c r="O1127" s="6"/>
      <c r="P1127" s="6"/>
    </row>
    <row r="1128" spans="1:16" x14ac:dyDescent="0.3">
      <c r="A1128" s="6"/>
      <c r="B1128" s="7"/>
      <c r="C1128" s="6"/>
      <c r="D1128" s="6"/>
      <c r="E1128" s="6"/>
      <c r="F1128" s="25"/>
      <c r="G1128" s="25" t="str">
        <f>IF(A1128="","",SUMIFS(Paradas_Detalhadas!$I:$I,Paradas_Detalhadas!$A:$A,A1128,Paradas_Detalhadas!$B:$B,B1128,Paradas_Detalhadas!$C:$C,C1128,Paradas_Detalhadas!$D:$D,E1128))</f>
        <v/>
      </c>
      <c r="H1128" s="26" t="str">
        <f t="shared" si="85"/>
        <v/>
      </c>
      <c r="I1128" s="10"/>
      <c r="J1128" s="10"/>
      <c r="K1128" s="10" t="str">
        <f t="shared" si="86"/>
        <v/>
      </c>
      <c r="L1128" s="10" t="str">
        <f t="shared" si="87"/>
        <v/>
      </c>
      <c r="M1128" s="10" t="str">
        <f t="shared" si="88"/>
        <v/>
      </c>
      <c r="N1128" s="10" t="str">
        <f t="shared" si="89"/>
        <v/>
      </c>
      <c r="O1128" s="6"/>
      <c r="P1128" s="6"/>
    </row>
    <row r="1129" spans="1:16" x14ac:dyDescent="0.3">
      <c r="A1129" s="6"/>
      <c r="B1129" s="7"/>
      <c r="C1129" s="6"/>
      <c r="D1129" s="6"/>
      <c r="E1129" s="6"/>
      <c r="F1129" s="25"/>
      <c r="G1129" s="25" t="str">
        <f>IF(A1129="","",SUMIFS(Paradas_Detalhadas!$I:$I,Paradas_Detalhadas!$A:$A,A1129,Paradas_Detalhadas!$B:$B,B1129,Paradas_Detalhadas!$C:$C,C1129,Paradas_Detalhadas!$D:$D,E1129))</f>
        <v/>
      </c>
      <c r="H1129" s="26" t="str">
        <f t="shared" si="85"/>
        <v/>
      </c>
      <c r="I1129" s="10"/>
      <c r="J1129" s="10"/>
      <c r="K1129" s="10" t="str">
        <f t="shared" si="86"/>
        <v/>
      </c>
      <c r="L1129" s="10" t="str">
        <f t="shared" si="87"/>
        <v/>
      </c>
      <c r="M1129" s="10" t="str">
        <f t="shared" si="88"/>
        <v/>
      </c>
      <c r="N1129" s="10" t="str">
        <f t="shared" si="89"/>
        <v/>
      </c>
      <c r="O1129" s="6"/>
      <c r="P1129" s="6"/>
    </row>
    <row r="1130" spans="1:16" x14ac:dyDescent="0.3">
      <c r="A1130" s="6"/>
      <c r="B1130" s="7"/>
      <c r="C1130" s="6"/>
      <c r="D1130" s="6"/>
      <c r="E1130" s="6"/>
      <c r="F1130" s="25"/>
      <c r="G1130" s="25" t="str">
        <f>IF(A1130="","",SUMIFS(Paradas_Detalhadas!$I:$I,Paradas_Detalhadas!$A:$A,A1130,Paradas_Detalhadas!$B:$B,B1130,Paradas_Detalhadas!$C:$C,C1130,Paradas_Detalhadas!$D:$D,E1130))</f>
        <v/>
      </c>
      <c r="H1130" s="26" t="str">
        <f t="shared" si="85"/>
        <v/>
      </c>
      <c r="I1130" s="10"/>
      <c r="J1130" s="10"/>
      <c r="K1130" s="10" t="str">
        <f t="shared" si="86"/>
        <v/>
      </c>
      <c r="L1130" s="10" t="str">
        <f t="shared" si="87"/>
        <v/>
      </c>
      <c r="M1130" s="10" t="str">
        <f t="shared" si="88"/>
        <v/>
      </c>
      <c r="N1130" s="10" t="str">
        <f t="shared" si="89"/>
        <v/>
      </c>
      <c r="O1130" s="6"/>
      <c r="P1130" s="6"/>
    </row>
    <row r="1131" spans="1:16" x14ac:dyDescent="0.3">
      <c r="A1131" s="6"/>
      <c r="B1131" s="7"/>
      <c r="C1131" s="6"/>
      <c r="D1131" s="6"/>
      <c r="E1131" s="6"/>
      <c r="F1131" s="25"/>
      <c r="G1131" s="25" t="str">
        <f>IF(A1131="","",SUMIFS(Paradas_Detalhadas!$I:$I,Paradas_Detalhadas!$A:$A,A1131,Paradas_Detalhadas!$B:$B,B1131,Paradas_Detalhadas!$C:$C,C1131,Paradas_Detalhadas!$D:$D,E1131))</f>
        <v/>
      </c>
      <c r="H1131" s="26" t="str">
        <f t="shared" si="85"/>
        <v/>
      </c>
      <c r="I1131" s="10"/>
      <c r="J1131" s="10"/>
      <c r="K1131" s="10" t="str">
        <f t="shared" si="86"/>
        <v/>
      </c>
      <c r="L1131" s="10" t="str">
        <f t="shared" si="87"/>
        <v/>
      </c>
      <c r="M1131" s="10" t="str">
        <f t="shared" si="88"/>
        <v/>
      </c>
      <c r="N1131" s="10" t="str">
        <f t="shared" si="89"/>
        <v/>
      </c>
      <c r="O1131" s="6"/>
      <c r="P1131" s="6"/>
    </row>
    <row r="1132" spans="1:16" x14ac:dyDescent="0.3">
      <c r="A1132" s="6"/>
      <c r="B1132" s="7"/>
      <c r="C1132" s="6"/>
      <c r="D1132" s="6"/>
      <c r="E1132" s="6"/>
      <c r="F1132" s="25"/>
      <c r="G1132" s="25" t="str">
        <f>IF(A1132="","",SUMIFS(Paradas_Detalhadas!$I:$I,Paradas_Detalhadas!$A:$A,A1132,Paradas_Detalhadas!$B:$B,B1132,Paradas_Detalhadas!$C:$C,C1132,Paradas_Detalhadas!$D:$D,E1132))</f>
        <v/>
      </c>
      <c r="H1132" s="26" t="str">
        <f t="shared" si="85"/>
        <v/>
      </c>
      <c r="I1132" s="10"/>
      <c r="J1132" s="10"/>
      <c r="K1132" s="10" t="str">
        <f t="shared" si="86"/>
        <v/>
      </c>
      <c r="L1132" s="10" t="str">
        <f t="shared" si="87"/>
        <v/>
      </c>
      <c r="M1132" s="10" t="str">
        <f t="shared" si="88"/>
        <v/>
      </c>
      <c r="N1132" s="10" t="str">
        <f t="shared" si="89"/>
        <v/>
      </c>
      <c r="O1132" s="6"/>
      <c r="P1132" s="6"/>
    </row>
    <row r="1133" spans="1:16" x14ac:dyDescent="0.3">
      <c r="A1133" s="6"/>
      <c r="B1133" s="7"/>
      <c r="C1133" s="6"/>
      <c r="D1133" s="6"/>
      <c r="E1133" s="6"/>
      <c r="F1133" s="25"/>
      <c r="G1133" s="25" t="str">
        <f>IF(A1133="","",SUMIFS(Paradas_Detalhadas!$I:$I,Paradas_Detalhadas!$A:$A,A1133,Paradas_Detalhadas!$B:$B,B1133,Paradas_Detalhadas!$C:$C,C1133,Paradas_Detalhadas!$D:$D,E1133))</f>
        <v/>
      </c>
      <c r="H1133" s="26" t="str">
        <f t="shared" si="85"/>
        <v/>
      </c>
      <c r="I1133" s="10"/>
      <c r="J1133" s="10"/>
      <c r="K1133" s="10" t="str">
        <f t="shared" si="86"/>
        <v/>
      </c>
      <c r="L1133" s="10" t="str">
        <f t="shared" si="87"/>
        <v/>
      </c>
      <c r="M1133" s="10" t="str">
        <f t="shared" si="88"/>
        <v/>
      </c>
      <c r="N1133" s="10" t="str">
        <f t="shared" si="89"/>
        <v/>
      </c>
      <c r="O1133" s="6"/>
      <c r="P1133" s="6"/>
    </row>
    <row r="1134" spans="1:16" x14ac:dyDescent="0.3">
      <c r="A1134" s="6"/>
      <c r="B1134" s="7"/>
      <c r="C1134" s="6"/>
      <c r="D1134" s="6"/>
      <c r="E1134" s="6"/>
      <c r="F1134" s="25"/>
      <c r="G1134" s="25" t="str">
        <f>IF(A1134="","",SUMIFS(Paradas_Detalhadas!$I:$I,Paradas_Detalhadas!$A:$A,A1134,Paradas_Detalhadas!$B:$B,B1134,Paradas_Detalhadas!$C:$C,C1134,Paradas_Detalhadas!$D:$D,E1134))</f>
        <v/>
      </c>
      <c r="H1134" s="26" t="str">
        <f t="shared" ref="H1134:H1197" si="90">IF(OR(F1134="",G1134=""),"",MAX(F1134-G1134,0))</f>
        <v/>
      </c>
      <c r="I1134" s="10"/>
      <c r="J1134" s="10"/>
      <c r="K1134" s="10" t="str">
        <f t="shared" ref="K1134:K1197" si="91">IF(AND(I1134="",J1134=""),"",SUM(I1134:J1134))</f>
        <v/>
      </c>
      <c r="L1134" s="10" t="str">
        <f t="shared" ref="L1134:L1197" si="92">IFERROR(K1134/H1134,"")</f>
        <v/>
      </c>
      <c r="M1134" s="10" t="str">
        <f t="shared" ref="M1134:M1197" si="93">IFERROR(I1134/H1134,"")</f>
        <v/>
      </c>
      <c r="N1134" s="10" t="str">
        <f t="shared" ref="N1134:N1197" si="94">IFERROR(J1134/H1134,"")</f>
        <v/>
      </c>
      <c r="O1134" s="6"/>
      <c r="P1134" s="6"/>
    </row>
    <row r="1135" spans="1:16" x14ac:dyDescent="0.3">
      <c r="A1135" s="6"/>
      <c r="B1135" s="7"/>
      <c r="C1135" s="6"/>
      <c r="D1135" s="6"/>
      <c r="E1135" s="6"/>
      <c r="F1135" s="25"/>
      <c r="G1135" s="25" t="str">
        <f>IF(A1135="","",SUMIFS(Paradas_Detalhadas!$I:$I,Paradas_Detalhadas!$A:$A,A1135,Paradas_Detalhadas!$B:$B,B1135,Paradas_Detalhadas!$C:$C,C1135,Paradas_Detalhadas!$D:$D,E1135))</f>
        <v/>
      </c>
      <c r="H1135" s="26" t="str">
        <f t="shared" si="90"/>
        <v/>
      </c>
      <c r="I1135" s="10"/>
      <c r="J1135" s="10"/>
      <c r="K1135" s="10" t="str">
        <f t="shared" si="91"/>
        <v/>
      </c>
      <c r="L1135" s="10" t="str">
        <f t="shared" si="92"/>
        <v/>
      </c>
      <c r="M1135" s="10" t="str">
        <f t="shared" si="93"/>
        <v/>
      </c>
      <c r="N1135" s="10" t="str">
        <f t="shared" si="94"/>
        <v/>
      </c>
      <c r="O1135" s="6"/>
      <c r="P1135" s="6"/>
    </row>
    <row r="1136" spans="1:16" x14ac:dyDescent="0.3">
      <c r="A1136" s="6"/>
      <c r="B1136" s="7"/>
      <c r="C1136" s="6"/>
      <c r="D1136" s="6"/>
      <c r="E1136" s="6"/>
      <c r="F1136" s="25"/>
      <c r="G1136" s="25" t="str">
        <f>IF(A1136="","",SUMIFS(Paradas_Detalhadas!$I:$I,Paradas_Detalhadas!$A:$A,A1136,Paradas_Detalhadas!$B:$B,B1136,Paradas_Detalhadas!$C:$C,C1136,Paradas_Detalhadas!$D:$D,E1136))</f>
        <v/>
      </c>
      <c r="H1136" s="26" t="str">
        <f t="shared" si="90"/>
        <v/>
      </c>
      <c r="I1136" s="10"/>
      <c r="J1136" s="10"/>
      <c r="K1136" s="10" t="str">
        <f t="shared" si="91"/>
        <v/>
      </c>
      <c r="L1136" s="10" t="str">
        <f t="shared" si="92"/>
        <v/>
      </c>
      <c r="M1136" s="10" t="str">
        <f t="shared" si="93"/>
        <v/>
      </c>
      <c r="N1136" s="10" t="str">
        <f t="shared" si="94"/>
        <v/>
      </c>
      <c r="O1136" s="6"/>
      <c r="P1136" s="6"/>
    </row>
    <row r="1137" spans="1:16" x14ac:dyDescent="0.3">
      <c r="A1137" s="6"/>
      <c r="B1137" s="7"/>
      <c r="C1137" s="6"/>
      <c r="D1137" s="6"/>
      <c r="E1137" s="6"/>
      <c r="F1137" s="25"/>
      <c r="G1137" s="25" t="str">
        <f>IF(A1137="","",SUMIFS(Paradas_Detalhadas!$I:$I,Paradas_Detalhadas!$A:$A,A1137,Paradas_Detalhadas!$B:$B,B1137,Paradas_Detalhadas!$C:$C,C1137,Paradas_Detalhadas!$D:$D,E1137))</f>
        <v/>
      </c>
      <c r="H1137" s="26" t="str">
        <f t="shared" si="90"/>
        <v/>
      </c>
      <c r="I1137" s="10"/>
      <c r="J1137" s="10"/>
      <c r="K1137" s="10" t="str">
        <f t="shared" si="91"/>
        <v/>
      </c>
      <c r="L1137" s="10" t="str">
        <f t="shared" si="92"/>
        <v/>
      </c>
      <c r="M1137" s="10" t="str">
        <f t="shared" si="93"/>
        <v/>
      </c>
      <c r="N1137" s="10" t="str">
        <f t="shared" si="94"/>
        <v/>
      </c>
      <c r="O1137" s="6"/>
      <c r="P1137" s="6"/>
    </row>
    <row r="1138" spans="1:16" x14ac:dyDescent="0.3">
      <c r="A1138" s="6"/>
      <c r="B1138" s="7"/>
      <c r="C1138" s="6"/>
      <c r="D1138" s="6"/>
      <c r="E1138" s="6"/>
      <c r="F1138" s="25"/>
      <c r="G1138" s="25" t="str">
        <f>IF(A1138="","",SUMIFS(Paradas_Detalhadas!$I:$I,Paradas_Detalhadas!$A:$A,A1138,Paradas_Detalhadas!$B:$B,B1138,Paradas_Detalhadas!$C:$C,C1138,Paradas_Detalhadas!$D:$D,E1138))</f>
        <v/>
      </c>
      <c r="H1138" s="26" t="str">
        <f t="shared" si="90"/>
        <v/>
      </c>
      <c r="I1138" s="10"/>
      <c r="J1138" s="10"/>
      <c r="K1138" s="10" t="str">
        <f t="shared" si="91"/>
        <v/>
      </c>
      <c r="L1138" s="10" t="str">
        <f t="shared" si="92"/>
        <v/>
      </c>
      <c r="M1138" s="10" t="str">
        <f t="shared" si="93"/>
        <v/>
      </c>
      <c r="N1138" s="10" t="str">
        <f t="shared" si="94"/>
        <v/>
      </c>
      <c r="O1138" s="6"/>
      <c r="P1138" s="6"/>
    </row>
    <row r="1139" spans="1:16" x14ac:dyDescent="0.3">
      <c r="A1139" s="6"/>
      <c r="B1139" s="7"/>
      <c r="C1139" s="6"/>
      <c r="D1139" s="6"/>
      <c r="E1139" s="6"/>
      <c r="F1139" s="25"/>
      <c r="G1139" s="25" t="str">
        <f>IF(A1139="","",SUMIFS(Paradas_Detalhadas!$I:$I,Paradas_Detalhadas!$A:$A,A1139,Paradas_Detalhadas!$B:$B,B1139,Paradas_Detalhadas!$C:$C,C1139,Paradas_Detalhadas!$D:$D,E1139))</f>
        <v/>
      </c>
      <c r="H1139" s="26" t="str">
        <f t="shared" si="90"/>
        <v/>
      </c>
      <c r="I1139" s="10"/>
      <c r="J1139" s="10"/>
      <c r="K1139" s="10" t="str">
        <f t="shared" si="91"/>
        <v/>
      </c>
      <c r="L1139" s="10" t="str">
        <f t="shared" si="92"/>
        <v/>
      </c>
      <c r="M1139" s="10" t="str">
        <f t="shared" si="93"/>
        <v/>
      </c>
      <c r="N1139" s="10" t="str">
        <f t="shared" si="94"/>
        <v/>
      </c>
      <c r="O1139" s="6"/>
      <c r="P1139" s="6"/>
    </row>
    <row r="1140" spans="1:16" x14ac:dyDescent="0.3">
      <c r="A1140" s="6"/>
      <c r="B1140" s="7"/>
      <c r="C1140" s="6"/>
      <c r="D1140" s="6"/>
      <c r="E1140" s="6"/>
      <c r="F1140" s="25"/>
      <c r="G1140" s="25" t="str">
        <f>IF(A1140="","",SUMIFS(Paradas_Detalhadas!$I:$I,Paradas_Detalhadas!$A:$A,A1140,Paradas_Detalhadas!$B:$B,B1140,Paradas_Detalhadas!$C:$C,C1140,Paradas_Detalhadas!$D:$D,E1140))</f>
        <v/>
      </c>
      <c r="H1140" s="26" t="str">
        <f t="shared" si="90"/>
        <v/>
      </c>
      <c r="I1140" s="10"/>
      <c r="J1140" s="10"/>
      <c r="K1140" s="10" t="str">
        <f t="shared" si="91"/>
        <v/>
      </c>
      <c r="L1140" s="10" t="str">
        <f t="shared" si="92"/>
        <v/>
      </c>
      <c r="M1140" s="10" t="str">
        <f t="shared" si="93"/>
        <v/>
      </c>
      <c r="N1140" s="10" t="str">
        <f t="shared" si="94"/>
        <v/>
      </c>
      <c r="O1140" s="6"/>
      <c r="P1140" s="6"/>
    </row>
    <row r="1141" spans="1:16" x14ac:dyDescent="0.3">
      <c r="A1141" s="6"/>
      <c r="B1141" s="7"/>
      <c r="C1141" s="6"/>
      <c r="D1141" s="6"/>
      <c r="E1141" s="6"/>
      <c r="F1141" s="25"/>
      <c r="G1141" s="25" t="str">
        <f>IF(A1141="","",SUMIFS(Paradas_Detalhadas!$I:$I,Paradas_Detalhadas!$A:$A,A1141,Paradas_Detalhadas!$B:$B,B1141,Paradas_Detalhadas!$C:$C,C1141,Paradas_Detalhadas!$D:$D,E1141))</f>
        <v/>
      </c>
      <c r="H1141" s="26" t="str">
        <f t="shared" si="90"/>
        <v/>
      </c>
      <c r="I1141" s="10"/>
      <c r="J1141" s="10"/>
      <c r="K1141" s="10" t="str">
        <f t="shared" si="91"/>
        <v/>
      </c>
      <c r="L1141" s="10" t="str">
        <f t="shared" si="92"/>
        <v/>
      </c>
      <c r="M1141" s="10" t="str">
        <f t="shared" si="93"/>
        <v/>
      </c>
      <c r="N1141" s="10" t="str">
        <f t="shared" si="94"/>
        <v/>
      </c>
      <c r="O1141" s="6"/>
      <c r="P1141" s="6"/>
    </row>
    <row r="1142" spans="1:16" x14ac:dyDescent="0.3">
      <c r="A1142" s="6"/>
      <c r="B1142" s="7"/>
      <c r="C1142" s="6"/>
      <c r="D1142" s="6"/>
      <c r="E1142" s="6"/>
      <c r="F1142" s="25"/>
      <c r="G1142" s="25" t="str">
        <f>IF(A1142="","",SUMIFS(Paradas_Detalhadas!$I:$I,Paradas_Detalhadas!$A:$A,A1142,Paradas_Detalhadas!$B:$B,B1142,Paradas_Detalhadas!$C:$C,C1142,Paradas_Detalhadas!$D:$D,E1142))</f>
        <v/>
      </c>
      <c r="H1142" s="26" t="str">
        <f t="shared" si="90"/>
        <v/>
      </c>
      <c r="I1142" s="10"/>
      <c r="J1142" s="10"/>
      <c r="K1142" s="10" t="str">
        <f t="shared" si="91"/>
        <v/>
      </c>
      <c r="L1142" s="10" t="str">
        <f t="shared" si="92"/>
        <v/>
      </c>
      <c r="M1142" s="10" t="str">
        <f t="shared" si="93"/>
        <v/>
      </c>
      <c r="N1142" s="10" t="str">
        <f t="shared" si="94"/>
        <v/>
      </c>
      <c r="O1142" s="6"/>
      <c r="P1142" s="6"/>
    </row>
    <row r="1143" spans="1:16" x14ac:dyDescent="0.3">
      <c r="A1143" s="6"/>
      <c r="B1143" s="7"/>
      <c r="C1143" s="6"/>
      <c r="D1143" s="6"/>
      <c r="E1143" s="6"/>
      <c r="F1143" s="25"/>
      <c r="G1143" s="25" t="str">
        <f>IF(A1143="","",SUMIFS(Paradas_Detalhadas!$I:$I,Paradas_Detalhadas!$A:$A,A1143,Paradas_Detalhadas!$B:$B,B1143,Paradas_Detalhadas!$C:$C,C1143,Paradas_Detalhadas!$D:$D,E1143))</f>
        <v/>
      </c>
      <c r="H1143" s="26" t="str">
        <f t="shared" si="90"/>
        <v/>
      </c>
      <c r="I1143" s="10"/>
      <c r="J1143" s="10"/>
      <c r="K1143" s="10" t="str">
        <f t="shared" si="91"/>
        <v/>
      </c>
      <c r="L1143" s="10" t="str">
        <f t="shared" si="92"/>
        <v/>
      </c>
      <c r="M1143" s="10" t="str">
        <f t="shared" si="93"/>
        <v/>
      </c>
      <c r="N1143" s="10" t="str">
        <f t="shared" si="94"/>
        <v/>
      </c>
      <c r="O1143" s="6"/>
      <c r="P1143" s="6"/>
    </row>
    <row r="1144" spans="1:16" x14ac:dyDescent="0.3">
      <c r="A1144" s="6"/>
      <c r="B1144" s="7"/>
      <c r="C1144" s="6"/>
      <c r="D1144" s="6"/>
      <c r="E1144" s="6"/>
      <c r="F1144" s="25"/>
      <c r="G1144" s="25" t="str">
        <f>IF(A1144="","",SUMIFS(Paradas_Detalhadas!$I:$I,Paradas_Detalhadas!$A:$A,A1144,Paradas_Detalhadas!$B:$B,B1144,Paradas_Detalhadas!$C:$C,C1144,Paradas_Detalhadas!$D:$D,E1144))</f>
        <v/>
      </c>
      <c r="H1144" s="26" t="str">
        <f t="shared" si="90"/>
        <v/>
      </c>
      <c r="I1144" s="10"/>
      <c r="J1144" s="10"/>
      <c r="K1144" s="10" t="str">
        <f t="shared" si="91"/>
        <v/>
      </c>
      <c r="L1144" s="10" t="str">
        <f t="shared" si="92"/>
        <v/>
      </c>
      <c r="M1144" s="10" t="str">
        <f t="shared" si="93"/>
        <v/>
      </c>
      <c r="N1144" s="10" t="str">
        <f t="shared" si="94"/>
        <v/>
      </c>
      <c r="O1144" s="6"/>
      <c r="P1144" s="6"/>
    </row>
    <row r="1145" spans="1:16" x14ac:dyDescent="0.3">
      <c r="A1145" s="6"/>
      <c r="B1145" s="7"/>
      <c r="C1145" s="6"/>
      <c r="D1145" s="6"/>
      <c r="E1145" s="6"/>
      <c r="F1145" s="25"/>
      <c r="G1145" s="25" t="str">
        <f>IF(A1145="","",SUMIFS(Paradas_Detalhadas!$I:$I,Paradas_Detalhadas!$A:$A,A1145,Paradas_Detalhadas!$B:$B,B1145,Paradas_Detalhadas!$C:$C,C1145,Paradas_Detalhadas!$D:$D,E1145))</f>
        <v/>
      </c>
      <c r="H1145" s="26" t="str">
        <f t="shared" si="90"/>
        <v/>
      </c>
      <c r="I1145" s="10"/>
      <c r="J1145" s="10"/>
      <c r="K1145" s="10" t="str">
        <f t="shared" si="91"/>
        <v/>
      </c>
      <c r="L1145" s="10" t="str">
        <f t="shared" si="92"/>
        <v/>
      </c>
      <c r="M1145" s="10" t="str">
        <f t="shared" si="93"/>
        <v/>
      </c>
      <c r="N1145" s="10" t="str">
        <f t="shared" si="94"/>
        <v/>
      </c>
      <c r="O1145" s="6"/>
      <c r="P1145" s="6"/>
    </row>
    <row r="1146" spans="1:16" x14ac:dyDescent="0.3">
      <c r="A1146" s="6"/>
      <c r="B1146" s="7"/>
      <c r="C1146" s="6"/>
      <c r="D1146" s="6"/>
      <c r="E1146" s="6"/>
      <c r="F1146" s="25"/>
      <c r="G1146" s="25" t="str">
        <f>IF(A1146="","",SUMIFS(Paradas_Detalhadas!$I:$I,Paradas_Detalhadas!$A:$A,A1146,Paradas_Detalhadas!$B:$B,B1146,Paradas_Detalhadas!$C:$C,C1146,Paradas_Detalhadas!$D:$D,E1146))</f>
        <v/>
      </c>
      <c r="H1146" s="26" t="str">
        <f t="shared" si="90"/>
        <v/>
      </c>
      <c r="I1146" s="10"/>
      <c r="J1146" s="10"/>
      <c r="K1146" s="10" t="str">
        <f t="shared" si="91"/>
        <v/>
      </c>
      <c r="L1146" s="10" t="str">
        <f t="shared" si="92"/>
        <v/>
      </c>
      <c r="M1146" s="10" t="str">
        <f t="shared" si="93"/>
        <v/>
      </c>
      <c r="N1146" s="10" t="str">
        <f t="shared" si="94"/>
        <v/>
      </c>
      <c r="O1146" s="6"/>
      <c r="P1146" s="6"/>
    </row>
    <row r="1147" spans="1:16" x14ac:dyDescent="0.3">
      <c r="A1147" s="6"/>
      <c r="B1147" s="7"/>
      <c r="C1147" s="6"/>
      <c r="D1147" s="6"/>
      <c r="E1147" s="6"/>
      <c r="F1147" s="25"/>
      <c r="G1147" s="25" t="str">
        <f>IF(A1147="","",SUMIFS(Paradas_Detalhadas!$I:$I,Paradas_Detalhadas!$A:$A,A1147,Paradas_Detalhadas!$B:$B,B1147,Paradas_Detalhadas!$C:$C,C1147,Paradas_Detalhadas!$D:$D,E1147))</f>
        <v/>
      </c>
      <c r="H1147" s="26" t="str">
        <f t="shared" si="90"/>
        <v/>
      </c>
      <c r="I1147" s="10"/>
      <c r="J1147" s="10"/>
      <c r="K1147" s="10" t="str">
        <f t="shared" si="91"/>
        <v/>
      </c>
      <c r="L1147" s="10" t="str">
        <f t="shared" si="92"/>
        <v/>
      </c>
      <c r="M1147" s="10" t="str">
        <f t="shared" si="93"/>
        <v/>
      </c>
      <c r="N1147" s="10" t="str">
        <f t="shared" si="94"/>
        <v/>
      </c>
      <c r="O1147" s="6"/>
      <c r="P1147" s="6"/>
    </row>
    <row r="1148" spans="1:16" x14ac:dyDescent="0.3">
      <c r="A1148" s="6"/>
      <c r="B1148" s="7"/>
      <c r="C1148" s="6"/>
      <c r="D1148" s="6"/>
      <c r="E1148" s="6"/>
      <c r="F1148" s="25"/>
      <c r="G1148" s="25" t="str">
        <f>IF(A1148="","",SUMIFS(Paradas_Detalhadas!$I:$I,Paradas_Detalhadas!$A:$A,A1148,Paradas_Detalhadas!$B:$B,B1148,Paradas_Detalhadas!$C:$C,C1148,Paradas_Detalhadas!$D:$D,E1148))</f>
        <v/>
      </c>
      <c r="H1148" s="26" t="str">
        <f t="shared" si="90"/>
        <v/>
      </c>
      <c r="I1148" s="10"/>
      <c r="J1148" s="10"/>
      <c r="K1148" s="10" t="str">
        <f t="shared" si="91"/>
        <v/>
      </c>
      <c r="L1148" s="10" t="str">
        <f t="shared" si="92"/>
        <v/>
      </c>
      <c r="M1148" s="10" t="str">
        <f t="shared" si="93"/>
        <v/>
      </c>
      <c r="N1148" s="10" t="str">
        <f t="shared" si="94"/>
        <v/>
      </c>
      <c r="O1148" s="6"/>
      <c r="P1148" s="6"/>
    </row>
    <row r="1149" spans="1:16" x14ac:dyDescent="0.3">
      <c r="A1149" s="6"/>
      <c r="B1149" s="7"/>
      <c r="C1149" s="6"/>
      <c r="D1149" s="6"/>
      <c r="E1149" s="6"/>
      <c r="F1149" s="25"/>
      <c r="G1149" s="25" t="str">
        <f>IF(A1149="","",SUMIFS(Paradas_Detalhadas!$I:$I,Paradas_Detalhadas!$A:$A,A1149,Paradas_Detalhadas!$B:$B,B1149,Paradas_Detalhadas!$C:$C,C1149,Paradas_Detalhadas!$D:$D,E1149))</f>
        <v/>
      </c>
      <c r="H1149" s="26" t="str">
        <f t="shared" si="90"/>
        <v/>
      </c>
      <c r="I1149" s="10"/>
      <c r="J1149" s="10"/>
      <c r="K1149" s="10" t="str">
        <f t="shared" si="91"/>
        <v/>
      </c>
      <c r="L1149" s="10" t="str">
        <f t="shared" si="92"/>
        <v/>
      </c>
      <c r="M1149" s="10" t="str">
        <f t="shared" si="93"/>
        <v/>
      </c>
      <c r="N1149" s="10" t="str">
        <f t="shared" si="94"/>
        <v/>
      </c>
      <c r="O1149" s="6"/>
      <c r="P1149" s="6"/>
    </row>
    <row r="1150" spans="1:16" x14ac:dyDescent="0.3">
      <c r="A1150" s="6"/>
      <c r="B1150" s="7"/>
      <c r="C1150" s="6"/>
      <c r="D1150" s="6"/>
      <c r="E1150" s="6"/>
      <c r="F1150" s="25"/>
      <c r="G1150" s="25" t="str">
        <f>IF(A1150="","",SUMIFS(Paradas_Detalhadas!$I:$I,Paradas_Detalhadas!$A:$A,A1150,Paradas_Detalhadas!$B:$B,B1150,Paradas_Detalhadas!$C:$C,C1150,Paradas_Detalhadas!$D:$D,E1150))</f>
        <v/>
      </c>
      <c r="H1150" s="26" t="str">
        <f t="shared" si="90"/>
        <v/>
      </c>
      <c r="I1150" s="10"/>
      <c r="J1150" s="10"/>
      <c r="K1150" s="10" t="str">
        <f t="shared" si="91"/>
        <v/>
      </c>
      <c r="L1150" s="10" t="str">
        <f t="shared" si="92"/>
        <v/>
      </c>
      <c r="M1150" s="10" t="str">
        <f t="shared" si="93"/>
        <v/>
      </c>
      <c r="N1150" s="10" t="str">
        <f t="shared" si="94"/>
        <v/>
      </c>
      <c r="O1150" s="6"/>
      <c r="P1150" s="6"/>
    </row>
    <row r="1151" spans="1:16" x14ac:dyDescent="0.3">
      <c r="A1151" s="6"/>
      <c r="B1151" s="7"/>
      <c r="C1151" s="6"/>
      <c r="D1151" s="6"/>
      <c r="E1151" s="6"/>
      <c r="F1151" s="25"/>
      <c r="G1151" s="25" t="str">
        <f>IF(A1151="","",SUMIFS(Paradas_Detalhadas!$I:$I,Paradas_Detalhadas!$A:$A,A1151,Paradas_Detalhadas!$B:$B,B1151,Paradas_Detalhadas!$C:$C,C1151,Paradas_Detalhadas!$D:$D,E1151))</f>
        <v/>
      </c>
      <c r="H1151" s="26" t="str">
        <f t="shared" si="90"/>
        <v/>
      </c>
      <c r="I1151" s="10"/>
      <c r="J1151" s="10"/>
      <c r="K1151" s="10" t="str">
        <f t="shared" si="91"/>
        <v/>
      </c>
      <c r="L1151" s="10" t="str">
        <f t="shared" si="92"/>
        <v/>
      </c>
      <c r="M1151" s="10" t="str">
        <f t="shared" si="93"/>
        <v/>
      </c>
      <c r="N1151" s="10" t="str">
        <f t="shared" si="94"/>
        <v/>
      </c>
      <c r="O1151" s="6"/>
      <c r="P1151" s="6"/>
    </row>
    <row r="1152" spans="1:16" x14ac:dyDescent="0.3">
      <c r="A1152" s="6"/>
      <c r="B1152" s="7"/>
      <c r="C1152" s="6"/>
      <c r="D1152" s="6"/>
      <c r="E1152" s="6"/>
      <c r="F1152" s="25"/>
      <c r="G1152" s="25" t="str">
        <f>IF(A1152="","",SUMIFS(Paradas_Detalhadas!$I:$I,Paradas_Detalhadas!$A:$A,A1152,Paradas_Detalhadas!$B:$B,B1152,Paradas_Detalhadas!$C:$C,C1152,Paradas_Detalhadas!$D:$D,E1152))</f>
        <v/>
      </c>
      <c r="H1152" s="26" t="str">
        <f t="shared" si="90"/>
        <v/>
      </c>
      <c r="I1152" s="10"/>
      <c r="J1152" s="10"/>
      <c r="K1152" s="10" t="str">
        <f t="shared" si="91"/>
        <v/>
      </c>
      <c r="L1152" s="10" t="str">
        <f t="shared" si="92"/>
        <v/>
      </c>
      <c r="M1152" s="10" t="str">
        <f t="shared" si="93"/>
        <v/>
      </c>
      <c r="N1152" s="10" t="str">
        <f t="shared" si="94"/>
        <v/>
      </c>
      <c r="O1152" s="6"/>
      <c r="P1152" s="6"/>
    </row>
    <row r="1153" spans="1:16" x14ac:dyDescent="0.3">
      <c r="A1153" s="6"/>
      <c r="B1153" s="7"/>
      <c r="C1153" s="6"/>
      <c r="D1153" s="6"/>
      <c r="E1153" s="6"/>
      <c r="F1153" s="25"/>
      <c r="G1153" s="25" t="str">
        <f>IF(A1153="","",SUMIFS(Paradas_Detalhadas!$I:$I,Paradas_Detalhadas!$A:$A,A1153,Paradas_Detalhadas!$B:$B,B1153,Paradas_Detalhadas!$C:$C,C1153,Paradas_Detalhadas!$D:$D,E1153))</f>
        <v/>
      </c>
      <c r="H1153" s="26" t="str">
        <f t="shared" si="90"/>
        <v/>
      </c>
      <c r="I1153" s="10"/>
      <c r="J1153" s="10"/>
      <c r="K1153" s="10" t="str">
        <f t="shared" si="91"/>
        <v/>
      </c>
      <c r="L1153" s="10" t="str">
        <f t="shared" si="92"/>
        <v/>
      </c>
      <c r="M1153" s="10" t="str">
        <f t="shared" si="93"/>
        <v/>
      </c>
      <c r="N1153" s="10" t="str">
        <f t="shared" si="94"/>
        <v/>
      </c>
      <c r="O1153" s="6"/>
      <c r="P1153" s="6"/>
    </row>
    <row r="1154" spans="1:16" x14ac:dyDescent="0.3">
      <c r="A1154" s="6"/>
      <c r="B1154" s="7"/>
      <c r="C1154" s="6"/>
      <c r="D1154" s="6"/>
      <c r="E1154" s="6"/>
      <c r="F1154" s="25"/>
      <c r="G1154" s="25" t="str">
        <f>IF(A1154="","",SUMIFS(Paradas_Detalhadas!$I:$I,Paradas_Detalhadas!$A:$A,A1154,Paradas_Detalhadas!$B:$B,B1154,Paradas_Detalhadas!$C:$C,C1154,Paradas_Detalhadas!$D:$D,E1154))</f>
        <v/>
      </c>
      <c r="H1154" s="26" t="str">
        <f t="shared" si="90"/>
        <v/>
      </c>
      <c r="I1154" s="10"/>
      <c r="J1154" s="10"/>
      <c r="K1154" s="10" t="str">
        <f t="shared" si="91"/>
        <v/>
      </c>
      <c r="L1154" s="10" t="str">
        <f t="shared" si="92"/>
        <v/>
      </c>
      <c r="M1154" s="10" t="str">
        <f t="shared" si="93"/>
        <v/>
      </c>
      <c r="N1154" s="10" t="str">
        <f t="shared" si="94"/>
        <v/>
      </c>
      <c r="O1154" s="6"/>
      <c r="P1154" s="6"/>
    </row>
    <row r="1155" spans="1:16" x14ac:dyDescent="0.3">
      <c r="A1155" s="6"/>
      <c r="B1155" s="7"/>
      <c r="C1155" s="6"/>
      <c r="D1155" s="6"/>
      <c r="E1155" s="6"/>
      <c r="F1155" s="25"/>
      <c r="G1155" s="25" t="str">
        <f>IF(A1155="","",SUMIFS(Paradas_Detalhadas!$I:$I,Paradas_Detalhadas!$A:$A,A1155,Paradas_Detalhadas!$B:$B,B1155,Paradas_Detalhadas!$C:$C,C1155,Paradas_Detalhadas!$D:$D,E1155))</f>
        <v/>
      </c>
      <c r="H1155" s="26" t="str">
        <f t="shared" si="90"/>
        <v/>
      </c>
      <c r="I1155" s="10"/>
      <c r="J1155" s="10"/>
      <c r="K1155" s="10" t="str">
        <f t="shared" si="91"/>
        <v/>
      </c>
      <c r="L1155" s="10" t="str">
        <f t="shared" si="92"/>
        <v/>
      </c>
      <c r="M1155" s="10" t="str">
        <f t="shared" si="93"/>
        <v/>
      </c>
      <c r="N1155" s="10" t="str">
        <f t="shared" si="94"/>
        <v/>
      </c>
      <c r="O1155" s="6"/>
      <c r="P1155" s="6"/>
    </row>
    <row r="1156" spans="1:16" x14ac:dyDescent="0.3">
      <c r="A1156" s="6"/>
      <c r="B1156" s="7"/>
      <c r="C1156" s="6"/>
      <c r="D1156" s="6"/>
      <c r="E1156" s="6"/>
      <c r="F1156" s="25"/>
      <c r="G1156" s="25" t="str">
        <f>IF(A1156="","",SUMIFS(Paradas_Detalhadas!$I:$I,Paradas_Detalhadas!$A:$A,A1156,Paradas_Detalhadas!$B:$B,B1156,Paradas_Detalhadas!$C:$C,C1156,Paradas_Detalhadas!$D:$D,E1156))</f>
        <v/>
      </c>
      <c r="H1156" s="26" t="str">
        <f t="shared" si="90"/>
        <v/>
      </c>
      <c r="I1156" s="10"/>
      <c r="J1156" s="10"/>
      <c r="K1156" s="10" t="str">
        <f t="shared" si="91"/>
        <v/>
      </c>
      <c r="L1156" s="10" t="str">
        <f t="shared" si="92"/>
        <v/>
      </c>
      <c r="M1156" s="10" t="str">
        <f t="shared" si="93"/>
        <v/>
      </c>
      <c r="N1156" s="10" t="str">
        <f t="shared" si="94"/>
        <v/>
      </c>
      <c r="O1156" s="6"/>
      <c r="P1156" s="6"/>
    </row>
    <row r="1157" spans="1:16" x14ac:dyDescent="0.3">
      <c r="A1157" s="6"/>
      <c r="B1157" s="7"/>
      <c r="C1157" s="6"/>
      <c r="D1157" s="6"/>
      <c r="E1157" s="6"/>
      <c r="F1157" s="25"/>
      <c r="G1157" s="25" t="str">
        <f>IF(A1157="","",SUMIFS(Paradas_Detalhadas!$I:$I,Paradas_Detalhadas!$A:$A,A1157,Paradas_Detalhadas!$B:$B,B1157,Paradas_Detalhadas!$C:$C,C1157,Paradas_Detalhadas!$D:$D,E1157))</f>
        <v/>
      </c>
      <c r="H1157" s="26" t="str">
        <f t="shared" si="90"/>
        <v/>
      </c>
      <c r="I1157" s="10"/>
      <c r="J1157" s="10"/>
      <c r="K1157" s="10" t="str">
        <f t="shared" si="91"/>
        <v/>
      </c>
      <c r="L1157" s="10" t="str">
        <f t="shared" si="92"/>
        <v/>
      </c>
      <c r="M1157" s="10" t="str">
        <f t="shared" si="93"/>
        <v/>
      </c>
      <c r="N1157" s="10" t="str">
        <f t="shared" si="94"/>
        <v/>
      </c>
      <c r="O1157" s="6"/>
      <c r="P1157" s="6"/>
    </row>
    <row r="1158" spans="1:16" x14ac:dyDescent="0.3">
      <c r="A1158" s="6"/>
      <c r="B1158" s="7"/>
      <c r="C1158" s="6"/>
      <c r="D1158" s="6"/>
      <c r="E1158" s="6"/>
      <c r="F1158" s="25"/>
      <c r="G1158" s="25" t="str">
        <f>IF(A1158="","",SUMIFS(Paradas_Detalhadas!$I:$I,Paradas_Detalhadas!$A:$A,A1158,Paradas_Detalhadas!$B:$B,B1158,Paradas_Detalhadas!$C:$C,C1158,Paradas_Detalhadas!$D:$D,E1158))</f>
        <v/>
      </c>
      <c r="H1158" s="26" t="str">
        <f t="shared" si="90"/>
        <v/>
      </c>
      <c r="I1158" s="10"/>
      <c r="J1158" s="10"/>
      <c r="K1158" s="10" t="str">
        <f t="shared" si="91"/>
        <v/>
      </c>
      <c r="L1158" s="10" t="str">
        <f t="shared" si="92"/>
        <v/>
      </c>
      <c r="M1158" s="10" t="str">
        <f t="shared" si="93"/>
        <v/>
      </c>
      <c r="N1158" s="10" t="str">
        <f t="shared" si="94"/>
        <v/>
      </c>
      <c r="O1158" s="6"/>
      <c r="P1158" s="6"/>
    </row>
    <row r="1159" spans="1:16" x14ac:dyDescent="0.3">
      <c r="A1159" s="6"/>
      <c r="B1159" s="7"/>
      <c r="C1159" s="6"/>
      <c r="D1159" s="6"/>
      <c r="E1159" s="6"/>
      <c r="F1159" s="25"/>
      <c r="G1159" s="25" t="str">
        <f>IF(A1159="","",SUMIFS(Paradas_Detalhadas!$I:$I,Paradas_Detalhadas!$A:$A,A1159,Paradas_Detalhadas!$B:$B,B1159,Paradas_Detalhadas!$C:$C,C1159,Paradas_Detalhadas!$D:$D,E1159))</f>
        <v/>
      </c>
      <c r="H1159" s="26" t="str">
        <f t="shared" si="90"/>
        <v/>
      </c>
      <c r="I1159" s="10"/>
      <c r="J1159" s="10"/>
      <c r="K1159" s="10" t="str">
        <f t="shared" si="91"/>
        <v/>
      </c>
      <c r="L1159" s="10" t="str">
        <f t="shared" si="92"/>
        <v/>
      </c>
      <c r="M1159" s="10" t="str">
        <f t="shared" si="93"/>
        <v/>
      </c>
      <c r="N1159" s="10" t="str">
        <f t="shared" si="94"/>
        <v/>
      </c>
      <c r="O1159" s="6"/>
      <c r="P1159" s="6"/>
    </row>
    <row r="1160" spans="1:16" x14ac:dyDescent="0.3">
      <c r="A1160" s="6"/>
      <c r="B1160" s="7"/>
      <c r="C1160" s="6"/>
      <c r="D1160" s="6"/>
      <c r="E1160" s="6"/>
      <c r="F1160" s="25"/>
      <c r="G1160" s="25" t="str">
        <f>IF(A1160="","",SUMIFS(Paradas_Detalhadas!$I:$I,Paradas_Detalhadas!$A:$A,A1160,Paradas_Detalhadas!$B:$B,B1160,Paradas_Detalhadas!$C:$C,C1160,Paradas_Detalhadas!$D:$D,E1160))</f>
        <v/>
      </c>
      <c r="H1160" s="26" t="str">
        <f t="shared" si="90"/>
        <v/>
      </c>
      <c r="I1160" s="10"/>
      <c r="J1160" s="10"/>
      <c r="K1160" s="10" t="str">
        <f t="shared" si="91"/>
        <v/>
      </c>
      <c r="L1160" s="10" t="str">
        <f t="shared" si="92"/>
        <v/>
      </c>
      <c r="M1160" s="10" t="str">
        <f t="shared" si="93"/>
        <v/>
      </c>
      <c r="N1160" s="10" t="str">
        <f t="shared" si="94"/>
        <v/>
      </c>
      <c r="O1160" s="6"/>
      <c r="P1160" s="6"/>
    </row>
    <row r="1161" spans="1:16" x14ac:dyDescent="0.3">
      <c r="A1161" s="6"/>
      <c r="B1161" s="7"/>
      <c r="C1161" s="6"/>
      <c r="D1161" s="6"/>
      <c r="E1161" s="6"/>
      <c r="F1161" s="25"/>
      <c r="G1161" s="25" t="str">
        <f>IF(A1161="","",SUMIFS(Paradas_Detalhadas!$I:$I,Paradas_Detalhadas!$A:$A,A1161,Paradas_Detalhadas!$B:$B,B1161,Paradas_Detalhadas!$C:$C,C1161,Paradas_Detalhadas!$D:$D,E1161))</f>
        <v/>
      </c>
      <c r="H1161" s="26" t="str">
        <f t="shared" si="90"/>
        <v/>
      </c>
      <c r="I1161" s="10"/>
      <c r="J1161" s="10"/>
      <c r="K1161" s="10" t="str">
        <f t="shared" si="91"/>
        <v/>
      </c>
      <c r="L1161" s="10" t="str">
        <f t="shared" si="92"/>
        <v/>
      </c>
      <c r="M1161" s="10" t="str">
        <f t="shared" si="93"/>
        <v/>
      </c>
      <c r="N1161" s="10" t="str">
        <f t="shared" si="94"/>
        <v/>
      </c>
      <c r="O1161" s="6"/>
      <c r="P1161" s="6"/>
    </row>
    <row r="1162" spans="1:16" x14ac:dyDescent="0.3">
      <c r="A1162" s="6"/>
      <c r="B1162" s="7"/>
      <c r="C1162" s="6"/>
      <c r="D1162" s="6"/>
      <c r="E1162" s="6"/>
      <c r="F1162" s="25"/>
      <c r="G1162" s="25" t="str">
        <f>IF(A1162="","",SUMIFS(Paradas_Detalhadas!$I:$I,Paradas_Detalhadas!$A:$A,A1162,Paradas_Detalhadas!$B:$B,B1162,Paradas_Detalhadas!$C:$C,C1162,Paradas_Detalhadas!$D:$D,E1162))</f>
        <v/>
      </c>
      <c r="H1162" s="26" t="str">
        <f t="shared" si="90"/>
        <v/>
      </c>
      <c r="I1162" s="10"/>
      <c r="J1162" s="10"/>
      <c r="K1162" s="10" t="str">
        <f t="shared" si="91"/>
        <v/>
      </c>
      <c r="L1162" s="10" t="str">
        <f t="shared" si="92"/>
        <v/>
      </c>
      <c r="M1162" s="10" t="str">
        <f t="shared" si="93"/>
        <v/>
      </c>
      <c r="N1162" s="10" t="str">
        <f t="shared" si="94"/>
        <v/>
      </c>
      <c r="O1162" s="6"/>
      <c r="P1162" s="6"/>
    </row>
    <row r="1163" spans="1:16" x14ac:dyDescent="0.3">
      <c r="A1163" s="6"/>
      <c r="B1163" s="7"/>
      <c r="C1163" s="6"/>
      <c r="D1163" s="6"/>
      <c r="E1163" s="6"/>
      <c r="F1163" s="25"/>
      <c r="G1163" s="25" t="str">
        <f>IF(A1163="","",SUMIFS(Paradas_Detalhadas!$I:$I,Paradas_Detalhadas!$A:$A,A1163,Paradas_Detalhadas!$B:$B,B1163,Paradas_Detalhadas!$C:$C,C1163,Paradas_Detalhadas!$D:$D,E1163))</f>
        <v/>
      </c>
      <c r="H1163" s="26" t="str">
        <f t="shared" si="90"/>
        <v/>
      </c>
      <c r="I1163" s="10"/>
      <c r="J1163" s="10"/>
      <c r="K1163" s="10" t="str">
        <f t="shared" si="91"/>
        <v/>
      </c>
      <c r="L1163" s="10" t="str">
        <f t="shared" si="92"/>
        <v/>
      </c>
      <c r="M1163" s="10" t="str">
        <f t="shared" si="93"/>
        <v/>
      </c>
      <c r="N1163" s="10" t="str">
        <f t="shared" si="94"/>
        <v/>
      </c>
      <c r="O1163" s="6"/>
      <c r="P1163" s="6"/>
    </row>
    <row r="1164" spans="1:16" x14ac:dyDescent="0.3">
      <c r="A1164" s="6"/>
      <c r="B1164" s="7"/>
      <c r="C1164" s="6"/>
      <c r="D1164" s="6"/>
      <c r="E1164" s="6"/>
      <c r="F1164" s="25"/>
      <c r="G1164" s="25" t="str">
        <f>IF(A1164="","",SUMIFS(Paradas_Detalhadas!$I:$I,Paradas_Detalhadas!$A:$A,A1164,Paradas_Detalhadas!$B:$B,B1164,Paradas_Detalhadas!$C:$C,C1164,Paradas_Detalhadas!$D:$D,E1164))</f>
        <v/>
      </c>
      <c r="H1164" s="26" t="str">
        <f t="shared" si="90"/>
        <v/>
      </c>
      <c r="I1164" s="10"/>
      <c r="J1164" s="10"/>
      <c r="K1164" s="10" t="str">
        <f t="shared" si="91"/>
        <v/>
      </c>
      <c r="L1164" s="10" t="str">
        <f t="shared" si="92"/>
        <v/>
      </c>
      <c r="M1164" s="10" t="str">
        <f t="shared" si="93"/>
        <v/>
      </c>
      <c r="N1164" s="10" t="str">
        <f t="shared" si="94"/>
        <v/>
      </c>
      <c r="O1164" s="6"/>
      <c r="P1164" s="6"/>
    </row>
    <row r="1165" spans="1:16" x14ac:dyDescent="0.3">
      <c r="A1165" s="6"/>
      <c r="B1165" s="7"/>
      <c r="C1165" s="6"/>
      <c r="D1165" s="6"/>
      <c r="E1165" s="6"/>
      <c r="F1165" s="25"/>
      <c r="G1165" s="25" t="str">
        <f>IF(A1165="","",SUMIFS(Paradas_Detalhadas!$I:$I,Paradas_Detalhadas!$A:$A,A1165,Paradas_Detalhadas!$B:$B,B1165,Paradas_Detalhadas!$C:$C,C1165,Paradas_Detalhadas!$D:$D,E1165))</f>
        <v/>
      </c>
      <c r="H1165" s="26" t="str">
        <f t="shared" si="90"/>
        <v/>
      </c>
      <c r="I1165" s="10"/>
      <c r="J1165" s="10"/>
      <c r="K1165" s="10" t="str">
        <f t="shared" si="91"/>
        <v/>
      </c>
      <c r="L1165" s="10" t="str">
        <f t="shared" si="92"/>
        <v/>
      </c>
      <c r="M1165" s="10" t="str">
        <f t="shared" si="93"/>
        <v/>
      </c>
      <c r="N1165" s="10" t="str">
        <f t="shared" si="94"/>
        <v/>
      </c>
      <c r="O1165" s="6"/>
      <c r="P1165" s="6"/>
    </row>
    <row r="1166" spans="1:16" x14ac:dyDescent="0.3">
      <c r="A1166" s="6"/>
      <c r="B1166" s="7"/>
      <c r="C1166" s="6"/>
      <c r="D1166" s="6"/>
      <c r="E1166" s="6"/>
      <c r="F1166" s="25"/>
      <c r="G1166" s="25" t="str">
        <f>IF(A1166="","",SUMIFS(Paradas_Detalhadas!$I:$I,Paradas_Detalhadas!$A:$A,A1166,Paradas_Detalhadas!$B:$B,B1166,Paradas_Detalhadas!$C:$C,C1166,Paradas_Detalhadas!$D:$D,E1166))</f>
        <v/>
      </c>
      <c r="H1166" s="26" t="str">
        <f t="shared" si="90"/>
        <v/>
      </c>
      <c r="I1166" s="10"/>
      <c r="J1166" s="10"/>
      <c r="K1166" s="10" t="str">
        <f t="shared" si="91"/>
        <v/>
      </c>
      <c r="L1166" s="10" t="str">
        <f t="shared" si="92"/>
        <v/>
      </c>
      <c r="M1166" s="10" t="str">
        <f t="shared" si="93"/>
        <v/>
      </c>
      <c r="N1166" s="10" t="str">
        <f t="shared" si="94"/>
        <v/>
      </c>
      <c r="O1166" s="6"/>
      <c r="P1166" s="6"/>
    </row>
    <row r="1167" spans="1:16" x14ac:dyDescent="0.3">
      <c r="A1167" s="6"/>
      <c r="B1167" s="7"/>
      <c r="C1167" s="6"/>
      <c r="D1167" s="6"/>
      <c r="E1167" s="6"/>
      <c r="F1167" s="25"/>
      <c r="G1167" s="25" t="str">
        <f>IF(A1167="","",SUMIFS(Paradas_Detalhadas!$I:$I,Paradas_Detalhadas!$A:$A,A1167,Paradas_Detalhadas!$B:$B,B1167,Paradas_Detalhadas!$C:$C,C1167,Paradas_Detalhadas!$D:$D,E1167))</f>
        <v/>
      </c>
      <c r="H1167" s="26" t="str">
        <f t="shared" si="90"/>
        <v/>
      </c>
      <c r="I1167" s="10"/>
      <c r="J1167" s="10"/>
      <c r="K1167" s="10" t="str">
        <f t="shared" si="91"/>
        <v/>
      </c>
      <c r="L1167" s="10" t="str">
        <f t="shared" si="92"/>
        <v/>
      </c>
      <c r="M1167" s="10" t="str">
        <f t="shared" si="93"/>
        <v/>
      </c>
      <c r="N1167" s="10" t="str">
        <f t="shared" si="94"/>
        <v/>
      </c>
      <c r="O1167" s="6"/>
      <c r="P1167" s="6"/>
    </row>
    <row r="1168" spans="1:16" x14ac:dyDescent="0.3">
      <c r="A1168" s="6"/>
      <c r="B1168" s="7"/>
      <c r="C1168" s="6"/>
      <c r="D1168" s="6"/>
      <c r="E1168" s="6"/>
      <c r="F1168" s="25"/>
      <c r="G1168" s="25" t="str">
        <f>IF(A1168="","",SUMIFS(Paradas_Detalhadas!$I:$I,Paradas_Detalhadas!$A:$A,A1168,Paradas_Detalhadas!$B:$B,B1168,Paradas_Detalhadas!$C:$C,C1168,Paradas_Detalhadas!$D:$D,E1168))</f>
        <v/>
      </c>
      <c r="H1168" s="26" t="str">
        <f t="shared" si="90"/>
        <v/>
      </c>
      <c r="I1168" s="10"/>
      <c r="J1168" s="10"/>
      <c r="K1168" s="10" t="str">
        <f t="shared" si="91"/>
        <v/>
      </c>
      <c r="L1168" s="10" t="str">
        <f t="shared" si="92"/>
        <v/>
      </c>
      <c r="M1168" s="10" t="str">
        <f t="shared" si="93"/>
        <v/>
      </c>
      <c r="N1168" s="10" t="str">
        <f t="shared" si="94"/>
        <v/>
      </c>
      <c r="O1168" s="6"/>
      <c r="P1168" s="6"/>
    </row>
    <row r="1169" spans="1:16" x14ac:dyDescent="0.3">
      <c r="A1169" s="6"/>
      <c r="B1169" s="7"/>
      <c r="C1169" s="6"/>
      <c r="D1169" s="6"/>
      <c r="E1169" s="6"/>
      <c r="F1169" s="25"/>
      <c r="G1169" s="25" t="str">
        <f>IF(A1169="","",SUMIFS(Paradas_Detalhadas!$I:$I,Paradas_Detalhadas!$A:$A,A1169,Paradas_Detalhadas!$B:$B,B1169,Paradas_Detalhadas!$C:$C,C1169,Paradas_Detalhadas!$D:$D,E1169))</f>
        <v/>
      </c>
      <c r="H1169" s="26" t="str">
        <f t="shared" si="90"/>
        <v/>
      </c>
      <c r="I1169" s="10"/>
      <c r="J1169" s="10"/>
      <c r="K1169" s="10" t="str">
        <f t="shared" si="91"/>
        <v/>
      </c>
      <c r="L1169" s="10" t="str">
        <f t="shared" si="92"/>
        <v/>
      </c>
      <c r="M1169" s="10" t="str">
        <f t="shared" si="93"/>
        <v/>
      </c>
      <c r="N1169" s="10" t="str">
        <f t="shared" si="94"/>
        <v/>
      </c>
      <c r="O1169" s="6"/>
      <c r="P1169" s="6"/>
    </row>
    <row r="1170" spans="1:16" x14ac:dyDescent="0.3">
      <c r="A1170" s="6"/>
      <c r="B1170" s="7"/>
      <c r="C1170" s="6"/>
      <c r="D1170" s="6"/>
      <c r="E1170" s="6"/>
      <c r="F1170" s="25"/>
      <c r="G1170" s="25" t="str">
        <f>IF(A1170="","",SUMIFS(Paradas_Detalhadas!$I:$I,Paradas_Detalhadas!$A:$A,A1170,Paradas_Detalhadas!$B:$B,B1170,Paradas_Detalhadas!$C:$C,C1170,Paradas_Detalhadas!$D:$D,E1170))</f>
        <v/>
      </c>
      <c r="H1170" s="26" t="str">
        <f t="shared" si="90"/>
        <v/>
      </c>
      <c r="I1170" s="10"/>
      <c r="J1170" s="10"/>
      <c r="K1170" s="10" t="str">
        <f t="shared" si="91"/>
        <v/>
      </c>
      <c r="L1170" s="10" t="str">
        <f t="shared" si="92"/>
        <v/>
      </c>
      <c r="M1170" s="10" t="str">
        <f t="shared" si="93"/>
        <v/>
      </c>
      <c r="N1170" s="10" t="str">
        <f t="shared" si="94"/>
        <v/>
      </c>
      <c r="O1170" s="6"/>
      <c r="P1170" s="6"/>
    </row>
    <row r="1171" spans="1:16" x14ac:dyDescent="0.3">
      <c r="A1171" s="6"/>
      <c r="B1171" s="7"/>
      <c r="C1171" s="6"/>
      <c r="D1171" s="6"/>
      <c r="E1171" s="6"/>
      <c r="F1171" s="25"/>
      <c r="G1171" s="25" t="str">
        <f>IF(A1171="","",SUMIFS(Paradas_Detalhadas!$I:$I,Paradas_Detalhadas!$A:$A,A1171,Paradas_Detalhadas!$B:$B,B1171,Paradas_Detalhadas!$C:$C,C1171,Paradas_Detalhadas!$D:$D,E1171))</f>
        <v/>
      </c>
      <c r="H1171" s="26" t="str">
        <f t="shared" si="90"/>
        <v/>
      </c>
      <c r="I1171" s="10"/>
      <c r="J1171" s="10"/>
      <c r="K1171" s="10" t="str">
        <f t="shared" si="91"/>
        <v/>
      </c>
      <c r="L1171" s="10" t="str">
        <f t="shared" si="92"/>
        <v/>
      </c>
      <c r="M1171" s="10" t="str">
        <f t="shared" si="93"/>
        <v/>
      </c>
      <c r="N1171" s="10" t="str">
        <f t="shared" si="94"/>
        <v/>
      </c>
      <c r="O1171" s="6"/>
      <c r="P1171" s="6"/>
    </row>
    <row r="1172" spans="1:16" x14ac:dyDescent="0.3">
      <c r="A1172" s="6"/>
      <c r="B1172" s="7"/>
      <c r="C1172" s="6"/>
      <c r="D1172" s="6"/>
      <c r="E1172" s="6"/>
      <c r="F1172" s="25"/>
      <c r="G1172" s="25" t="str">
        <f>IF(A1172="","",SUMIFS(Paradas_Detalhadas!$I:$I,Paradas_Detalhadas!$A:$A,A1172,Paradas_Detalhadas!$B:$B,B1172,Paradas_Detalhadas!$C:$C,C1172,Paradas_Detalhadas!$D:$D,E1172))</f>
        <v/>
      </c>
      <c r="H1172" s="26" t="str">
        <f t="shared" si="90"/>
        <v/>
      </c>
      <c r="I1172" s="10"/>
      <c r="J1172" s="10"/>
      <c r="K1172" s="10" t="str">
        <f t="shared" si="91"/>
        <v/>
      </c>
      <c r="L1172" s="10" t="str">
        <f t="shared" si="92"/>
        <v/>
      </c>
      <c r="M1172" s="10" t="str">
        <f t="shared" si="93"/>
        <v/>
      </c>
      <c r="N1172" s="10" t="str">
        <f t="shared" si="94"/>
        <v/>
      </c>
      <c r="O1172" s="6"/>
      <c r="P1172" s="6"/>
    </row>
    <row r="1173" spans="1:16" x14ac:dyDescent="0.3">
      <c r="A1173" s="6"/>
      <c r="B1173" s="7"/>
      <c r="C1173" s="6"/>
      <c r="D1173" s="6"/>
      <c r="E1173" s="6"/>
      <c r="F1173" s="25"/>
      <c r="G1173" s="25" t="str">
        <f>IF(A1173="","",SUMIFS(Paradas_Detalhadas!$I:$I,Paradas_Detalhadas!$A:$A,A1173,Paradas_Detalhadas!$B:$B,B1173,Paradas_Detalhadas!$C:$C,C1173,Paradas_Detalhadas!$D:$D,E1173))</f>
        <v/>
      </c>
      <c r="H1173" s="26" t="str">
        <f t="shared" si="90"/>
        <v/>
      </c>
      <c r="I1173" s="10"/>
      <c r="J1173" s="10"/>
      <c r="K1173" s="10" t="str">
        <f t="shared" si="91"/>
        <v/>
      </c>
      <c r="L1173" s="10" t="str">
        <f t="shared" si="92"/>
        <v/>
      </c>
      <c r="M1173" s="10" t="str">
        <f t="shared" si="93"/>
        <v/>
      </c>
      <c r="N1173" s="10" t="str">
        <f t="shared" si="94"/>
        <v/>
      </c>
      <c r="O1173" s="6"/>
      <c r="P1173" s="6"/>
    </row>
    <row r="1174" spans="1:16" x14ac:dyDescent="0.3">
      <c r="A1174" s="6"/>
      <c r="B1174" s="7"/>
      <c r="C1174" s="6"/>
      <c r="D1174" s="6"/>
      <c r="E1174" s="6"/>
      <c r="F1174" s="25"/>
      <c r="G1174" s="25" t="str">
        <f>IF(A1174="","",SUMIFS(Paradas_Detalhadas!$I:$I,Paradas_Detalhadas!$A:$A,A1174,Paradas_Detalhadas!$B:$B,B1174,Paradas_Detalhadas!$C:$C,C1174,Paradas_Detalhadas!$D:$D,E1174))</f>
        <v/>
      </c>
      <c r="H1174" s="26" t="str">
        <f t="shared" si="90"/>
        <v/>
      </c>
      <c r="I1174" s="10"/>
      <c r="J1174" s="10"/>
      <c r="K1174" s="10" t="str">
        <f t="shared" si="91"/>
        <v/>
      </c>
      <c r="L1174" s="10" t="str">
        <f t="shared" si="92"/>
        <v/>
      </c>
      <c r="M1174" s="10" t="str">
        <f t="shared" si="93"/>
        <v/>
      </c>
      <c r="N1174" s="10" t="str">
        <f t="shared" si="94"/>
        <v/>
      </c>
      <c r="O1174" s="6"/>
      <c r="P1174" s="6"/>
    </row>
    <row r="1175" spans="1:16" x14ac:dyDescent="0.3">
      <c r="A1175" s="6"/>
      <c r="B1175" s="7"/>
      <c r="C1175" s="6"/>
      <c r="D1175" s="6"/>
      <c r="E1175" s="6"/>
      <c r="F1175" s="25"/>
      <c r="G1175" s="25" t="str">
        <f>IF(A1175="","",SUMIFS(Paradas_Detalhadas!$I:$I,Paradas_Detalhadas!$A:$A,A1175,Paradas_Detalhadas!$B:$B,B1175,Paradas_Detalhadas!$C:$C,C1175,Paradas_Detalhadas!$D:$D,E1175))</f>
        <v/>
      </c>
      <c r="H1175" s="26" t="str">
        <f t="shared" si="90"/>
        <v/>
      </c>
      <c r="I1175" s="10"/>
      <c r="J1175" s="10"/>
      <c r="K1175" s="10" t="str">
        <f t="shared" si="91"/>
        <v/>
      </c>
      <c r="L1175" s="10" t="str">
        <f t="shared" si="92"/>
        <v/>
      </c>
      <c r="M1175" s="10" t="str">
        <f t="shared" si="93"/>
        <v/>
      </c>
      <c r="N1175" s="10" t="str">
        <f t="shared" si="94"/>
        <v/>
      </c>
      <c r="O1175" s="6"/>
      <c r="P1175" s="6"/>
    </row>
    <row r="1176" spans="1:16" x14ac:dyDescent="0.3">
      <c r="A1176" s="6"/>
      <c r="B1176" s="7"/>
      <c r="C1176" s="6"/>
      <c r="D1176" s="6"/>
      <c r="E1176" s="6"/>
      <c r="F1176" s="25"/>
      <c r="G1176" s="25" t="str">
        <f>IF(A1176="","",SUMIFS(Paradas_Detalhadas!$I:$I,Paradas_Detalhadas!$A:$A,A1176,Paradas_Detalhadas!$B:$B,B1176,Paradas_Detalhadas!$C:$C,C1176,Paradas_Detalhadas!$D:$D,E1176))</f>
        <v/>
      </c>
      <c r="H1176" s="26" t="str">
        <f t="shared" si="90"/>
        <v/>
      </c>
      <c r="I1176" s="10"/>
      <c r="J1176" s="10"/>
      <c r="K1176" s="10" t="str">
        <f t="shared" si="91"/>
        <v/>
      </c>
      <c r="L1176" s="10" t="str">
        <f t="shared" si="92"/>
        <v/>
      </c>
      <c r="M1176" s="10" t="str">
        <f t="shared" si="93"/>
        <v/>
      </c>
      <c r="N1176" s="10" t="str">
        <f t="shared" si="94"/>
        <v/>
      </c>
      <c r="O1176" s="6"/>
      <c r="P1176" s="6"/>
    </row>
    <row r="1177" spans="1:16" x14ac:dyDescent="0.3">
      <c r="A1177" s="6"/>
      <c r="B1177" s="7"/>
      <c r="C1177" s="6"/>
      <c r="D1177" s="6"/>
      <c r="E1177" s="6"/>
      <c r="F1177" s="25"/>
      <c r="G1177" s="25" t="str">
        <f>IF(A1177="","",SUMIFS(Paradas_Detalhadas!$I:$I,Paradas_Detalhadas!$A:$A,A1177,Paradas_Detalhadas!$B:$B,B1177,Paradas_Detalhadas!$C:$C,C1177,Paradas_Detalhadas!$D:$D,E1177))</f>
        <v/>
      </c>
      <c r="H1177" s="26" t="str">
        <f t="shared" si="90"/>
        <v/>
      </c>
      <c r="I1177" s="10"/>
      <c r="J1177" s="10"/>
      <c r="K1177" s="10" t="str">
        <f t="shared" si="91"/>
        <v/>
      </c>
      <c r="L1177" s="10" t="str">
        <f t="shared" si="92"/>
        <v/>
      </c>
      <c r="M1177" s="10" t="str">
        <f t="shared" si="93"/>
        <v/>
      </c>
      <c r="N1177" s="10" t="str">
        <f t="shared" si="94"/>
        <v/>
      </c>
      <c r="O1177" s="6"/>
      <c r="P1177" s="6"/>
    </row>
    <row r="1178" spans="1:16" x14ac:dyDescent="0.3">
      <c r="A1178" s="6"/>
      <c r="B1178" s="7"/>
      <c r="C1178" s="6"/>
      <c r="D1178" s="6"/>
      <c r="E1178" s="6"/>
      <c r="F1178" s="25"/>
      <c r="G1178" s="25" t="str">
        <f>IF(A1178="","",SUMIFS(Paradas_Detalhadas!$I:$I,Paradas_Detalhadas!$A:$A,A1178,Paradas_Detalhadas!$B:$B,B1178,Paradas_Detalhadas!$C:$C,C1178,Paradas_Detalhadas!$D:$D,E1178))</f>
        <v/>
      </c>
      <c r="H1178" s="26" t="str">
        <f t="shared" si="90"/>
        <v/>
      </c>
      <c r="I1178" s="10"/>
      <c r="J1178" s="10"/>
      <c r="K1178" s="10" t="str">
        <f t="shared" si="91"/>
        <v/>
      </c>
      <c r="L1178" s="10" t="str">
        <f t="shared" si="92"/>
        <v/>
      </c>
      <c r="M1178" s="10" t="str">
        <f t="shared" si="93"/>
        <v/>
      </c>
      <c r="N1178" s="10" t="str">
        <f t="shared" si="94"/>
        <v/>
      </c>
      <c r="O1178" s="6"/>
      <c r="P1178" s="6"/>
    </row>
    <row r="1179" spans="1:16" x14ac:dyDescent="0.3">
      <c r="A1179" s="6"/>
      <c r="B1179" s="7"/>
      <c r="C1179" s="6"/>
      <c r="D1179" s="6"/>
      <c r="E1179" s="6"/>
      <c r="F1179" s="25"/>
      <c r="G1179" s="25" t="str">
        <f>IF(A1179="","",SUMIFS(Paradas_Detalhadas!$I:$I,Paradas_Detalhadas!$A:$A,A1179,Paradas_Detalhadas!$B:$B,B1179,Paradas_Detalhadas!$C:$C,C1179,Paradas_Detalhadas!$D:$D,E1179))</f>
        <v/>
      </c>
      <c r="H1179" s="26" t="str">
        <f t="shared" si="90"/>
        <v/>
      </c>
      <c r="I1179" s="10"/>
      <c r="J1179" s="10"/>
      <c r="K1179" s="10" t="str">
        <f t="shared" si="91"/>
        <v/>
      </c>
      <c r="L1179" s="10" t="str">
        <f t="shared" si="92"/>
        <v/>
      </c>
      <c r="M1179" s="10" t="str">
        <f t="shared" si="93"/>
        <v/>
      </c>
      <c r="N1179" s="10" t="str">
        <f t="shared" si="94"/>
        <v/>
      </c>
      <c r="O1179" s="6"/>
      <c r="P1179" s="6"/>
    </row>
    <row r="1180" spans="1:16" x14ac:dyDescent="0.3">
      <c r="A1180" s="6"/>
      <c r="B1180" s="7"/>
      <c r="C1180" s="6"/>
      <c r="D1180" s="6"/>
      <c r="E1180" s="6"/>
      <c r="F1180" s="25"/>
      <c r="G1180" s="25" t="str">
        <f>IF(A1180="","",SUMIFS(Paradas_Detalhadas!$I:$I,Paradas_Detalhadas!$A:$A,A1180,Paradas_Detalhadas!$B:$B,B1180,Paradas_Detalhadas!$C:$C,C1180,Paradas_Detalhadas!$D:$D,E1180))</f>
        <v/>
      </c>
      <c r="H1180" s="26" t="str">
        <f t="shared" si="90"/>
        <v/>
      </c>
      <c r="I1180" s="10"/>
      <c r="J1180" s="10"/>
      <c r="K1180" s="10" t="str">
        <f t="shared" si="91"/>
        <v/>
      </c>
      <c r="L1180" s="10" t="str">
        <f t="shared" si="92"/>
        <v/>
      </c>
      <c r="M1180" s="10" t="str">
        <f t="shared" si="93"/>
        <v/>
      </c>
      <c r="N1180" s="10" t="str">
        <f t="shared" si="94"/>
        <v/>
      </c>
      <c r="O1180" s="6"/>
      <c r="P1180" s="6"/>
    </row>
    <row r="1181" spans="1:16" x14ac:dyDescent="0.3">
      <c r="A1181" s="6"/>
      <c r="B1181" s="7"/>
      <c r="C1181" s="6"/>
      <c r="D1181" s="6"/>
      <c r="E1181" s="6"/>
      <c r="F1181" s="25"/>
      <c r="G1181" s="25" t="str">
        <f>IF(A1181="","",SUMIFS(Paradas_Detalhadas!$I:$I,Paradas_Detalhadas!$A:$A,A1181,Paradas_Detalhadas!$B:$B,B1181,Paradas_Detalhadas!$C:$C,C1181,Paradas_Detalhadas!$D:$D,E1181))</f>
        <v/>
      </c>
      <c r="H1181" s="26" t="str">
        <f t="shared" si="90"/>
        <v/>
      </c>
      <c r="I1181" s="10"/>
      <c r="J1181" s="10"/>
      <c r="K1181" s="10" t="str">
        <f t="shared" si="91"/>
        <v/>
      </c>
      <c r="L1181" s="10" t="str">
        <f t="shared" si="92"/>
        <v/>
      </c>
      <c r="M1181" s="10" t="str">
        <f t="shared" si="93"/>
        <v/>
      </c>
      <c r="N1181" s="10" t="str">
        <f t="shared" si="94"/>
        <v/>
      </c>
      <c r="O1181" s="6"/>
      <c r="P1181" s="6"/>
    </row>
    <row r="1182" spans="1:16" x14ac:dyDescent="0.3">
      <c r="A1182" s="6"/>
      <c r="B1182" s="7"/>
      <c r="C1182" s="6"/>
      <c r="D1182" s="6"/>
      <c r="E1182" s="6"/>
      <c r="F1182" s="25"/>
      <c r="G1182" s="25" t="str">
        <f>IF(A1182="","",SUMIFS(Paradas_Detalhadas!$I:$I,Paradas_Detalhadas!$A:$A,A1182,Paradas_Detalhadas!$B:$B,B1182,Paradas_Detalhadas!$C:$C,C1182,Paradas_Detalhadas!$D:$D,E1182))</f>
        <v/>
      </c>
      <c r="H1182" s="26" t="str">
        <f t="shared" si="90"/>
        <v/>
      </c>
      <c r="I1182" s="10"/>
      <c r="J1182" s="10"/>
      <c r="K1182" s="10" t="str">
        <f t="shared" si="91"/>
        <v/>
      </c>
      <c r="L1182" s="10" t="str">
        <f t="shared" si="92"/>
        <v/>
      </c>
      <c r="M1182" s="10" t="str">
        <f t="shared" si="93"/>
        <v/>
      </c>
      <c r="N1182" s="10" t="str">
        <f t="shared" si="94"/>
        <v/>
      </c>
      <c r="O1182" s="6"/>
      <c r="P1182" s="6"/>
    </row>
    <row r="1183" spans="1:16" x14ac:dyDescent="0.3">
      <c r="A1183" s="6"/>
      <c r="B1183" s="7"/>
      <c r="C1183" s="6"/>
      <c r="D1183" s="6"/>
      <c r="E1183" s="6"/>
      <c r="F1183" s="25"/>
      <c r="G1183" s="25" t="str">
        <f>IF(A1183="","",SUMIFS(Paradas_Detalhadas!$I:$I,Paradas_Detalhadas!$A:$A,A1183,Paradas_Detalhadas!$B:$B,B1183,Paradas_Detalhadas!$C:$C,C1183,Paradas_Detalhadas!$D:$D,E1183))</f>
        <v/>
      </c>
      <c r="H1183" s="26" t="str">
        <f t="shared" si="90"/>
        <v/>
      </c>
      <c r="I1183" s="10"/>
      <c r="J1183" s="10"/>
      <c r="K1183" s="10" t="str">
        <f t="shared" si="91"/>
        <v/>
      </c>
      <c r="L1183" s="10" t="str">
        <f t="shared" si="92"/>
        <v/>
      </c>
      <c r="M1183" s="10" t="str">
        <f t="shared" si="93"/>
        <v/>
      </c>
      <c r="N1183" s="10" t="str">
        <f t="shared" si="94"/>
        <v/>
      </c>
      <c r="O1183" s="6"/>
      <c r="P1183" s="6"/>
    </row>
    <row r="1184" spans="1:16" x14ac:dyDescent="0.3">
      <c r="A1184" s="6"/>
      <c r="B1184" s="7"/>
      <c r="C1184" s="6"/>
      <c r="D1184" s="6"/>
      <c r="E1184" s="6"/>
      <c r="F1184" s="25"/>
      <c r="G1184" s="25" t="str">
        <f>IF(A1184="","",SUMIFS(Paradas_Detalhadas!$I:$I,Paradas_Detalhadas!$A:$A,A1184,Paradas_Detalhadas!$B:$B,B1184,Paradas_Detalhadas!$C:$C,C1184,Paradas_Detalhadas!$D:$D,E1184))</f>
        <v/>
      </c>
      <c r="H1184" s="26" t="str">
        <f t="shared" si="90"/>
        <v/>
      </c>
      <c r="I1184" s="10"/>
      <c r="J1184" s="10"/>
      <c r="K1184" s="10" t="str">
        <f t="shared" si="91"/>
        <v/>
      </c>
      <c r="L1184" s="10" t="str">
        <f t="shared" si="92"/>
        <v/>
      </c>
      <c r="M1184" s="10" t="str">
        <f t="shared" si="93"/>
        <v/>
      </c>
      <c r="N1184" s="10" t="str">
        <f t="shared" si="94"/>
        <v/>
      </c>
      <c r="O1184" s="6"/>
      <c r="P1184" s="6"/>
    </row>
    <row r="1185" spans="1:16" x14ac:dyDescent="0.3">
      <c r="A1185" s="6"/>
      <c r="B1185" s="7"/>
      <c r="C1185" s="6"/>
      <c r="D1185" s="6"/>
      <c r="E1185" s="6"/>
      <c r="F1185" s="25"/>
      <c r="G1185" s="25" t="str">
        <f>IF(A1185="","",SUMIFS(Paradas_Detalhadas!$I:$I,Paradas_Detalhadas!$A:$A,A1185,Paradas_Detalhadas!$B:$B,B1185,Paradas_Detalhadas!$C:$C,C1185,Paradas_Detalhadas!$D:$D,E1185))</f>
        <v/>
      </c>
      <c r="H1185" s="26" t="str">
        <f t="shared" si="90"/>
        <v/>
      </c>
      <c r="I1185" s="10"/>
      <c r="J1185" s="10"/>
      <c r="K1185" s="10" t="str">
        <f t="shared" si="91"/>
        <v/>
      </c>
      <c r="L1185" s="10" t="str">
        <f t="shared" si="92"/>
        <v/>
      </c>
      <c r="M1185" s="10" t="str">
        <f t="shared" si="93"/>
        <v/>
      </c>
      <c r="N1185" s="10" t="str">
        <f t="shared" si="94"/>
        <v/>
      </c>
      <c r="O1185" s="6"/>
      <c r="P1185" s="6"/>
    </row>
    <row r="1186" spans="1:16" x14ac:dyDescent="0.3">
      <c r="A1186" s="6"/>
      <c r="B1186" s="7"/>
      <c r="C1186" s="6"/>
      <c r="D1186" s="6"/>
      <c r="E1186" s="6"/>
      <c r="F1186" s="25"/>
      <c r="G1186" s="25" t="str">
        <f>IF(A1186="","",SUMIFS(Paradas_Detalhadas!$I:$I,Paradas_Detalhadas!$A:$A,A1186,Paradas_Detalhadas!$B:$B,B1186,Paradas_Detalhadas!$C:$C,C1186,Paradas_Detalhadas!$D:$D,E1186))</f>
        <v/>
      </c>
      <c r="H1186" s="26" t="str">
        <f t="shared" si="90"/>
        <v/>
      </c>
      <c r="I1186" s="10"/>
      <c r="J1186" s="10"/>
      <c r="K1186" s="10" t="str">
        <f t="shared" si="91"/>
        <v/>
      </c>
      <c r="L1186" s="10" t="str">
        <f t="shared" si="92"/>
        <v/>
      </c>
      <c r="M1186" s="10" t="str">
        <f t="shared" si="93"/>
        <v/>
      </c>
      <c r="N1186" s="10" t="str">
        <f t="shared" si="94"/>
        <v/>
      </c>
      <c r="O1186" s="6"/>
      <c r="P1186" s="6"/>
    </row>
    <row r="1187" spans="1:16" x14ac:dyDescent="0.3">
      <c r="A1187" s="6"/>
      <c r="B1187" s="7"/>
      <c r="C1187" s="6"/>
      <c r="D1187" s="6"/>
      <c r="E1187" s="6"/>
      <c r="F1187" s="25"/>
      <c r="G1187" s="25" t="str">
        <f>IF(A1187="","",SUMIFS(Paradas_Detalhadas!$I:$I,Paradas_Detalhadas!$A:$A,A1187,Paradas_Detalhadas!$B:$B,B1187,Paradas_Detalhadas!$C:$C,C1187,Paradas_Detalhadas!$D:$D,E1187))</f>
        <v/>
      </c>
      <c r="H1187" s="26" t="str">
        <f t="shared" si="90"/>
        <v/>
      </c>
      <c r="I1187" s="10"/>
      <c r="J1187" s="10"/>
      <c r="K1187" s="10" t="str">
        <f t="shared" si="91"/>
        <v/>
      </c>
      <c r="L1187" s="10" t="str">
        <f t="shared" si="92"/>
        <v/>
      </c>
      <c r="M1187" s="10" t="str">
        <f t="shared" si="93"/>
        <v/>
      </c>
      <c r="N1187" s="10" t="str">
        <f t="shared" si="94"/>
        <v/>
      </c>
      <c r="O1187" s="6"/>
      <c r="P1187" s="6"/>
    </row>
    <row r="1188" spans="1:16" x14ac:dyDescent="0.3">
      <c r="A1188" s="6"/>
      <c r="B1188" s="7"/>
      <c r="C1188" s="6"/>
      <c r="D1188" s="6"/>
      <c r="E1188" s="6"/>
      <c r="F1188" s="25"/>
      <c r="G1188" s="25" t="str">
        <f>IF(A1188="","",SUMIFS(Paradas_Detalhadas!$I:$I,Paradas_Detalhadas!$A:$A,A1188,Paradas_Detalhadas!$B:$B,B1188,Paradas_Detalhadas!$C:$C,C1188,Paradas_Detalhadas!$D:$D,E1188))</f>
        <v/>
      </c>
      <c r="H1188" s="26" t="str">
        <f t="shared" si="90"/>
        <v/>
      </c>
      <c r="I1188" s="10"/>
      <c r="J1188" s="10"/>
      <c r="K1188" s="10" t="str">
        <f t="shared" si="91"/>
        <v/>
      </c>
      <c r="L1188" s="10" t="str">
        <f t="shared" si="92"/>
        <v/>
      </c>
      <c r="M1188" s="10" t="str">
        <f t="shared" si="93"/>
        <v/>
      </c>
      <c r="N1188" s="10" t="str">
        <f t="shared" si="94"/>
        <v/>
      </c>
      <c r="O1188" s="6"/>
      <c r="P1188" s="6"/>
    </row>
    <row r="1189" spans="1:16" x14ac:dyDescent="0.3">
      <c r="A1189" s="6"/>
      <c r="B1189" s="7"/>
      <c r="C1189" s="6"/>
      <c r="D1189" s="6"/>
      <c r="E1189" s="6"/>
      <c r="F1189" s="25"/>
      <c r="G1189" s="25" t="str">
        <f>IF(A1189="","",SUMIFS(Paradas_Detalhadas!$I:$I,Paradas_Detalhadas!$A:$A,A1189,Paradas_Detalhadas!$B:$B,B1189,Paradas_Detalhadas!$C:$C,C1189,Paradas_Detalhadas!$D:$D,E1189))</f>
        <v/>
      </c>
      <c r="H1189" s="26" t="str">
        <f t="shared" si="90"/>
        <v/>
      </c>
      <c r="I1189" s="10"/>
      <c r="J1189" s="10"/>
      <c r="K1189" s="10" t="str">
        <f t="shared" si="91"/>
        <v/>
      </c>
      <c r="L1189" s="10" t="str">
        <f t="shared" si="92"/>
        <v/>
      </c>
      <c r="M1189" s="10" t="str">
        <f t="shared" si="93"/>
        <v/>
      </c>
      <c r="N1189" s="10" t="str">
        <f t="shared" si="94"/>
        <v/>
      </c>
      <c r="O1189" s="6"/>
      <c r="P1189" s="6"/>
    </row>
    <row r="1190" spans="1:16" x14ac:dyDescent="0.3">
      <c r="A1190" s="6"/>
      <c r="B1190" s="7"/>
      <c r="C1190" s="6"/>
      <c r="D1190" s="6"/>
      <c r="E1190" s="6"/>
      <c r="F1190" s="25"/>
      <c r="G1190" s="25" t="str">
        <f>IF(A1190="","",SUMIFS(Paradas_Detalhadas!$I:$I,Paradas_Detalhadas!$A:$A,A1190,Paradas_Detalhadas!$B:$B,B1190,Paradas_Detalhadas!$C:$C,C1190,Paradas_Detalhadas!$D:$D,E1190))</f>
        <v/>
      </c>
      <c r="H1190" s="26" t="str">
        <f t="shared" si="90"/>
        <v/>
      </c>
      <c r="I1190" s="10"/>
      <c r="J1190" s="10"/>
      <c r="K1190" s="10" t="str">
        <f t="shared" si="91"/>
        <v/>
      </c>
      <c r="L1190" s="10" t="str">
        <f t="shared" si="92"/>
        <v/>
      </c>
      <c r="M1190" s="10" t="str">
        <f t="shared" si="93"/>
        <v/>
      </c>
      <c r="N1190" s="10" t="str">
        <f t="shared" si="94"/>
        <v/>
      </c>
      <c r="O1190" s="6"/>
      <c r="P1190" s="6"/>
    </row>
    <row r="1191" spans="1:16" x14ac:dyDescent="0.3">
      <c r="A1191" s="6"/>
      <c r="B1191" s="7"/>
      <c r="C1191" s="6"/>
      <c r="D1191" s="6"/>
      <c r="E1191" s="6"/>
      <c r="F1191" s="25"/>
      <c r="G1191" s="25" t="str">
        <f>IF(A1191="","",SUMIFS(Paradas_Detalhadas!$I:$I,Paradas_Detalhadas!$A:$A,A1191,Paradas_Detalhadas!$B:$B,B1191,Paradas_Detalhadas!$C:$C,C1191,Paradas_Detalhadas!$D:$D,E1191))</f>
        <v/>
      </c>
      <c r="H1191" s="26" t="str">
        <f t="shared" si="90"/>
        <v/>
      </c>
      <c r="I1191" s="10"/>
      <c r="J1191" s="10"/>
      <c r="K1191" s="10" t="str">
        <f t="shared" si="91"/>
        <v/>
      </c>
      <c r="L1191" s="10" t="str">
        <f t="shared" si="92"/>
        <v/>
      </c>
      <c r="M1191" s="10" t="str">
        <f t="shared" si="93"/>
        <v/>
      </c>
      <c r="N1191" s="10" t="str">
        <f t="shared" si="94"/>
        <v/>
      </c>
      <c r="O1191" s="6"/>
      <c r="P1191" s="6"/>
    </row>
    <row r="1192" spans="1:16" x14ac:dyDescent="0.3">
      <c r="A1192" s="6"/>
      <c r="B1192" s="7"/>
      <c r="C1192" s="6"/>
      <c r="D1192" s="6"/>
      <c r="E1192" s="6"/>
      <c r="F1192" s="25"/>
      <c r="G1192" s="25" t="str">
        <f>IF(A1192="","",SUMIFS(Paradas_Detalhadas!$I:$I,Paradas_Detalhadas!$A:$A,A1192,Paradas_Detalhadas!$B:$B,B1192,Paradas_Detalhadas!$C:$C,C1192,Paradas_Detalhadas!$D:$D,E1192))</f>
        <v/>
      </c>
      <c r="H1192" s="26" t="str">
        <f t="shared" si="90"/>
        <v/>
      </c>
      <c r="I1192" s="10"/>
      <c r="J1192" s="10"/>
      <c r="K1192" s="10" t="str">
        <f t="shared" si="91"/>
        <v/>
      </c>
      <c r="L1192" s="10" t="str">
        <f t="shared" si="92"/>
        <v/>
      </c>
      <c r="M1192" s="10" t="str">
        <f t="shared" si="93"/>
        <v/>
      </c>
      <c r="N1192" s="10" t="str">
        <f t="shared" si="94"/>
        <v/>
      </c>
      <c r="O1192" s="6"/>
      <c r="P1192" s="6"/>
    </row>
    <row r="1193" spans="1:16" x14ac:dyDescent="0.3">
      <c r="A1193" s="6"/>
      <c r="B1193" s="7"/>
      <c r="C1193" s="6"/>
      <c r="D1193" s="6"/>
      <c r="E1193" s="6"/>
      <c r="F1193" s="25"/>
      <c r="G1193" s="25" t="str">
        <f>IF(A1193="","",SUMIFS(Paradas_Detalhadas!$I:$I,Paradas_Detalhadas!$A:$A,A1193,Paradas_Detalhadas!$B:$B,B1193,Paradas_Detalhadas!$C:$C,C1193,Paradas_Detalhadas!$D:$D,E1193))</f>
        <v/>
      </c>
      <c r="H1193" s="26" t="str">
        <f t="shared" si="90"/>
        <v/>
      </c>
      <c r="I1193" s="10"/>
      <c r="J1193" s="10"/>
      <c r="K1193" s="10" t="str">
        <f t="shared" si="91"/>
        <v/>
      </c>
      <c r="L1193" s="10" t="str">
        <f t="shared" si="92"/>
        <v/>
      </c>
      <c r="M1193" s="10" t="str">
        <f t="shared" si="93"/>
        <v/>
      </c>
      <c r="N1193" s="10" t="str">
        <f t="shared" si="94"/>
        <v/>
      </c>
      <c r="O1193" s="6"/>
      <c r="P1193" s="6"/>
    </row>
    <row r="1194" spans="1:16" x14ac:dyDescent="0.3">
      <c r="A1194" s="6"/>
      <c r="B1194" s="7"/>
      <c r="C1194" s="6"/>
      <c r="D1194" s="6"/>
      <c r="E1194" s="6"/>
      <c r="F1194" s="25"/>
      <c r="G1194" s="25" t="str">
        <f>IF(A1194="","",SUMIFS(Paradas_Detalhadas!$I:$I,Paradas_Detalhadas!$A:$A,A1194,Paradas_Detalhadas!$B:$B,B1194,Paradas_Detalhadas!$C:$C,C1194,Paradas_Detalhadas!$D:$D,E1194))</f>
        <v/>
      </c>
      <c r="H1194" s="26" t="str">
        <f t="shared" si="90"/>
        <v/>
      </c>
      <c r="I1194" s="10"/>
      <c r="J1194" s="10"/>
      <c r="K1194" s="10" t="str">
        <f t="shared" si="91"/>
        <v/>
      </c>
      <c r="L1194" s="10" t="str">
        <f t="shared" si="92"/>
        <v/>
      </c>
      <c r="M1194" s="10" t="str">
        <f t="shared" si="93"/>
        <v/>
      </c>
      <c r="N1194" s="10" t="str">
        <f t="shared" si="94"/>
        <v/>
      </c>
      <c r="O1194" s="6"/>
      <c r="P1194" s="6"/>
    </row>
    <row r="1195" spans="1:16" x14ac:dyDescent="0.3">
      <c r="A1195" s="6"/>
      <c r="B1195" s="7"/>
      <c r="C1195" s="6"/>
      <c r="D1195" s="6"/>
      <c r="E1195" s="6"/>
      <c r="F1195" s="25"/>
      <c r="G1195" s="25" t="str">
        <f>IF(A1195="","",SUMIFS(Paradas_Detalhadas!$I:$I,Paradas_Detalhadas!$A:$A,A1195,Paradas_Detalhadas!$B:$B,B1195,Paradas_Detalhadas!$C:$C,C1195,Paradas_Detalhadas!$D:$D,E1195))</f>
        <v/>
      </c>
      <c r="H1195" s="26" t="str">
        <f t="shared" si="90"/>
        <v/>
      </c>
      <c r="I1195" s="10"/>
      <c r="J1195" s="10"/>
      <c r="K1195" s="10" t="str">
        <f t="shared" si="91"/>
        <v/>
      </c>
      <c r="L1195" s="10" t="str">
        <f t="shared" si="92"/>
        <v/>
      </c>
      <c r="M1195" s="10" t="str">
        <f t="shared" si="93"/>
        <v/>
      </c>
      <c r="N1195" s="10" t="str">
        <f t="shared" si="94"/>
        <v/>
      </c>
      <c r="O1195" s="6"/>
      <c r="P1195" s="6"/>
    </row>
    <row r="1196" spans="1:16" x14ac:dyDescent="0.3">
      <c r="A1196" s="6"/>
      <c r="B1196" s="7"/>
      <c r="C1196" s="6"/>
      <c r="D1196" s="6"/>
      <c r="E1196" s="6"/>
      <c r="F1196" s="25"/>
      <c r="G1196" s="25" t="str">
        <f>IF(A1196="","",SUMIFS(Paradas_Detalhadas!$I:$I,Paradas_Detalhadas!$A:$A,A1196,Paradas_Detalhadas!$B:$B,B1196,Paradas_Detalhadas!$C:$C,C1196,Paradas_Detalhadas!$D:$D,E1196))</f>
        <v/>
      </c>
      <c r="H1196" s="26" t="str">
        <f t="shared" si="90"/>
        <v/>
      </c>
      <c r="I1196" s="10"/>
      <c r="J1196" s="10"/>
      <c r="K1196" s="10" t="str">
        <f t="shared" si="91"/>
        <v/>
      </c>
      <c r="L1196" s="10" t="str">
        <f t="shared" si="92"/>
        <v/>
      </c>
      <c r="M1196" s="10" t="str">
        <f t="shared" si="93"/>
        <v/>
      </c>
      <c r="N1196" s="10" t="str">
        <f t="shared" si="94"/>
        <v/>
      </c>
      <c r="O1196" s="6"/>
      <c r="P1196" s="6"/>
    </row>
    <row r="1197" spans="1:16" x14ac:dyDescent="0.3">
      <c r="A1197" s="6"/>
      <c r="B1197" s="7"/>
      <c r="C1197" s="6"/>
      <c r="D1197" s="6"/>
      <c r="E1197" s="6"/>
      <c r="F1197" s="25"/>
      <c r="G1197" s="25" t="str">
        <f>IF(A1197="","",SUMIFS(Paradas_Detalhadas!$I:$I,Paradas_Detalhadas!$A:$A,A1197,Paradas_Detalhadas!$B:$B,B1197,Paradas_Detalhadas!$C:$C,C1197,Paradas_Detalhadas!$D:$D,E1197))</f>
        <v/>
      </c>
      <c r="H1197" s="26" t="str">
        <f t="shared" si="90"/>
        <v/>
      </c>
      <c r="I1197" s="10"/>
      <c r="J1197" s="10"/>
      <c r="K1197" s="10" t="str">
        <f t="shared" si="91"/>
        <v/>
      </c>
      <c r="L1197" s="10" t="str">
        <f t="shared" si="92"/>
        <v/>
      </c>
      <c r="M1197" s="10" t="str">
        <f t="shared" si="93"/>
        <v/>
      </c>
      <c r="N1197" s="10" t="str">
        <f t="shared" si="94"/>
        <v/>
      </c>
      <c r="O1197" s="6"/>
      <c r="P1197" s="6"/>
    </row>
    <row r="1198" spans="1:16" x14ac:dyDescent="0.3">
      <c r="A1198" s="6"/>
      <c r="B1198" s="7"/>
      <c r="C1198" s="6"/>
      <c r="D1198" s="6"/>
      <c r="E1198" s="6"/>
      <c r="F1198" s="25"/>
      <c r="G1198" s="25" t="str">
        <f>IF(A1198="","",SUMIFS(Paradas_Detalhadas!$I:$I,Paradas_Detalhadas!$A:$A,A1198,Paradas_Detalhadas!$B:$B,B1198,Paradas_Detalhadas!$C:$C,C1198,Paradas_Detalhadas!$D:$D,E1198))</f>
        <v/>
      </c>
      <c r="H1198" s="26" t="str">
        <f t="shared" ref="H1198:H1261" si="95">IF(OR(F1198="",G1198=""),"",MAX(F1198-G1198,0))</f>
        <v/>
      </c>
      <c r="I1198" s="10"/>
      <c r="J1198" s="10"/>
      <c r="K1198" s="10" t="str">
        <f t="shared" ref="K1198:K1261" si="96">IF(AND(I1198="",J1198=""),"",SUM(I1198:J1198))</f>
        <v/>
      </c>
      <c r="L1198" s="10" t="str">
        <f t="shared" ref="L1198:L1261" si="97">IFERROR(K1198/H1198,"")</f>
        <v/>
      </c>
      <c r="M1198" s="10" t="str">
        <f t="shared" ref="M1198:M1261" si="98">IFERROR(I1198/H1198,"")</f>
        <v/>
      </c>
      <c r="N1198" s="10" t="str">
        <f t="shared" ref="N1198:N1261" si="99">IFERROR(J1198/H1198,"")</f>
        <v/>
      </c>
      <c r="O1198" s="6"/>
      <c r="P1198" s="6"/>
    </row>
    <row r="1199" spans="1:16" x14ac:dyDescent="0.3">
      <c r="A1199" s="6"/>
      <c r="B1199" s="7"/>
      <c r="C1199" s="6"/>
      <c r="D1199" s="6"/>
      <c r="E1199" s="6"/>
      <c r="F1199" s="25"/>
      <c r="G1199" s="25" t="str">
        <f>IF(A1199="","",SUMIFS(Paradas_Detalhadas!$I:$I,Paradas_Detalhadas!$A:$A,A1199,Paradas_Detalhadas!$B:$B,B1199,Paradas_Detalhadas!$C:$C,C1199,Paradas_Detalhadas!$D:$D,E1199))</f>
        <v/>
      </c>
      <c r="H1199" s="26" t="str">
        <f t="shared" si="95"/>
        <v/>
      </c>
      <c r="I1199" s="10"/>
      <c r="J1199" s="10"/>
      <c r="K1199" s="10" t="str">
        <f t="shared" si="96"/>
        <v/>
      </c>
      <c r="L1199" s="10" t="str">
        <f t="shared" si="97"/>
        <v/>
      </c>
      <c r="M1199" s="10" t="str">
        <f t="shared" si="98"/>
        <v/>
      </c>
      <c r="N1199" s="10" t="str">
        <f t="shared" si="99"/>
        <v/>
      </c>
      <c r="O1199" s="6"/>
      <c r="P1199" s="6"/>
    </row>
    <row r="1200" spans="1:16" x14ac:dyDescent="0.3">
      <c r="A1200" s="6"/>
      <c r="B1200" s="7"/>
      <c r="C1200" s="6"/>
      <c r="D1200" s="6"/>
      <c r="E1200" s="6"/>
      <c r="F1200" s="25"/>
      <c r="G1200" s="25" t="str">
        <f>IF(A1200="","",SUMIFS(Paradas_Detalhadas!$I:$I,Paradas_Detalhadas!$A:$A,A1200,Paradas_Detalhadas!$B:$B,B1200,Paradas_Detalhadas!$C:$C,C1200,Paradas_Detalhadas!$D:$D,E1200))</f>
        <v/>
      </c>
      <c r="H1200" s="26" t="str">
        <f t="shared" si="95"/>
        <v/>
      </c>
      <c r="I1200" s="10"/>
      <c r="J1200" s="10"/>
      <c r="K1200" s="10" t="str">
        <f t="shared" si="96"/>
        <v/>
      </c>
      <c r="L1200" s="10" t="str">
        <f t="shared" si="97"/>
        <v/>
      </c>
      <c r="M1200" s="10" t="str">
        <f t="shared" si="98"/>
        <v/>
      </c>
      <c r="N1200" s="10" t="str">
        <f t="shared" si="99"/>
        <v/>
      </c>
      <c r="O1200" s="6"/>
      <c r="P1200" s="6"/>
    </row>
    <row r="1201" spans="1:16" x14ac:dyDescent="0.3">
      <c r="A1201" s="6"/>
      <c r="B1201" s="7"/>
      <c r="C1201" s="6"/>
      <c r="D1201" s="6"/>
      <c r="E1201" s="6"/>
      <c r="F1201" s="25"/>
      <c r="G1201" s="25" t="str">
        <f>IF(A1201="","",SUMIFS(Paradas_Detalhadas!$I:$I,Paradas_Detalhadas!$A:$A,A1201,Paradas_Detalhadas!$B:$B,B1201,Paradas_Detalhadas!$C:$C,C1201,Paradas_Detalhadas!$D:$D,E1201))</f>
        <v/>
      </c>
      <c r="H1201" s="26" t="str">
        <f t="shared" si="95"/>
        <v/>
      </c>
      <c r="I1201" s="10"/>
      <c r="J1201" s="10"/>
      <c r="K1201" s="10" t="str">
        <f t="shared" si="96"/>
        <v/>
      </c>
      <c r="L1201" s="10" t="str">
        <f t="shared" si="97"/>
        <v/>
      </c>
      <c r="M1201" s="10" t="str">
        <f t="shared" si="98"/>
        <v/>
      </c>
      <c r="N1201" s="10" t="str">
        <f t="shared" si="99"/>
        <v/>
      </c>
      <c r="O1201" s="6"/>
      <c r="P1201" s="6"/>
    </row>
    <row r="1202" spans="1:16" x14ac:dyDescent="0.3">
      <c r="A1202" s="6"/>
      <c r="B1202" s="7"/>
      <c r="C1202" s="6"/>
      <c r="D1202" s="6"/>
      <c r="E1202" s="6"/>
      <c r="F1202" s="25"/>
      <c r="G1202" s="25" t="str">
        <f>IF(A1202="","",SUMIFS(Paradas_Detalhadas!$I:$I,Paradas_Detalhadas!$A:$A,A1202,Paradas_Detalhadas!$B:$B,B1202,Paradas_Detalhadas!$C:$C,C1202,Paradas_Detalhadas!$D:$D,E1202))</f>
        <v/>
      </c>
      <c r="H1202" s="26" t="str">
        <f t="shared" si="95"/>
        <v/>
      </c>
      <c r="I1202" s="10"/>
      <c r="J1202" s="10"/>
      <c r="K1202" s="10" t="str">
        <f t="shared" si="96"/>
        <v/>
      </c>
      <c r="L1202" s="10" t="str">
        <f t="shared" si="97"/>
        <v/>
      </c>
      <c r="M1202" s="10" t="str">
        <f t="shared" si="98"/>
        <v/>
      </c>
      <c r="N1202" s="10" t="str">
        <f t="shared" si="99"/>
        <v/>
      </c>
      <c r="O1202" s="6"/>
      <c r="P1202" s="6"/>
    </row>
    <row r="1203" spans="1:16" x14ac:dyDescent="0.3">
      <c r="A1203" s="6"/>
      <c r="B1203" s="7"/>
      <c r="C1203" s="6"/>
      <c r="D1203" s="6"/>
      <c r="E1203" s="6"/>
      <c r="F1203" s="25"/>
      <c r="G1203" s="25" t="str">
        <f>IF(A1203="","",SUMIFS(Paradas_Detalhadas!$I:$I,Paradas_Detalhadas!$A:$A,A1203,Paradas_Detalhadas!$B:$B,B1203,Paradas_Detalhadas!$C:$C,C1203,Paradas_Detalhadas!$D:$D,E1203))</f>
        <v/>
      </c>
      <c r="H1203" s="26" t="str">
        <f t="shared" si="95"/>
        <v/>
      </c>
      <c r="I1203" s="10"/>
      <c r="J1203" s="10"/>
      <c r="K1203" s="10" t="str">
        <f t="shared" si="96"/>
        <v/>
      </c>
      <c r="L1203" s="10" t="str">
        <f t="shared" si="97"/>
        <v/>
      </c>
      <c r="M1203" s="10" t="str">
        <f t="shared" si="98"/>
        <v/>
      </c>
      <c r="N1203" s="10" t="str">
        <f t="shared" si="99"/>
        <v/>
      </c>
      <c r="O1203" s="6"/>
      <c r="P1203" s="6"/>
    </row>
    <row r="1204" spans="1:16" x14ac:dyDescent="0.3">
      <c r="A1204" s="6"/>
      <c r="B1204" s="7"/>
      <c r="C1204" s="6"/>
      <c r="D1204" s="6"/>
      <c r="E1204" s="6"/>
      <c r="F1204" s="25"/>
      <c r="G1204" s="25" t="str">
        <f>IF(A1204="","",SUMIFS(Paradas_Detalhadas!$I:$I,Paradas_Detalhadas!$A:$A,A1204,Paradas_Detalhadas!$B:$B,B1204,Paradas_Detalhadas!$C:$C,C1204,Paradas_Detalhadas!$D:$D,E1204))</f>
        <v/>
      </c>
      <c r="H1204" s="26" t="str">
        <f t="shared" si="95"/>
        <v/>
      </c>
      <c r="I1204" s="10"/>
      <c r="J1204" s="10"/>
      <c r="K1204" s="10" t="str">
        <f t="shared" si="96"/>
        <v/>
      </c>
      <c r="L1204" s="10" t="str">
        <f t="shared" si="97"/>
        <v/>
      </c>
      <c r="M1204" s="10" t="str">
        <f t="shared" si="98"/>
        <v/>
      </c>
      <c r="N1204" s="10" t="str">
        <f t="shared" si="99"/>
        <v/>
      </c>
      <c r="O1204" s="6"/>
      <c r="P1204" s="6"/>
    </row>
    <row r="1205" spans="1:16" x14ac:dyDescent="0.3">
      <c r="A1205" s="6"/>
      <c r="B1205" s="7"/>
      <c r="C1205" s="6"/>
      <c r="D1205" s="6"/>
      <c r="E1205" s="6"/>
      <c r="F1205" s="25"/>
      <c r="G1205" s="25" t="str">
        <f>IF(A1205="","",SUMIFS(Paradas_Detalhadas!$I:$I,Paradas_Detalhadas!$A:$A,A1205,Paradas_Detalhadas!$B:$B,B1205,Paradas_Detalhadas!$C:$C,C1205,Paradas_Detalhadas!$D:$D,E1205))</f>
        <v/>
      </c>
      <c r="H1205" s="26" t="str">
        <f t="shared" si="95"/>
        <v/>
      </c>
      <c r="I1205" s="10"/>
      <c r="J1205" s="10"/>
      <c r="K1205" s="10" t="str">
        <f t="shared" si="96"/>
        <v/>
      </c>
      <c r="L1205" s="10" t="str">
        <f t="shared" si="97"/>
        <v/>
      </c>
      <c r="M1205" s="10" t="str">
        <f t="shared" si="98"/>
        <v/>
      </c>
      <c r="N1205" s="10" t="str">
        <f t="shared" si="99"/>
        <v/>
      </c>
      <c r="O1205" s="6"/>
      <c r="P1205" s="6"/>
    </row>
    <row r="1206" spans="1:16" x14ac:dyDescent="0.3">
      <c r="A1206" s="6"/>
      <c r="B1206" s="7"/>
      <c r="C1206" s="6"/>
      <c r="D1206" s="6"/>
      <c r="E1206" s="6"/>
      <c r="F1206" s="25"/>
      <c r="G1206" s="25" t="str">
        <f>IF(A1206="","",SUMIFS(Paradas_Detalhadas!$I:$I,Paradas_Detalhadas!$A:$A,A1206,Paradas_Detalhadas!$B:$B,B1206,Paradas_Detalhadas!$C:$C,C1206,Paradas_Detalhadas!$D:$D,E1206))</f>
        <v/>
      </c>
      <c r="H1206" s="26" t="str">
        <f t="shared" si="95"/>
        <v/>
      </c>
      <c r="I1206" s="10"/>
      <c r="J1206" s="10"/>
      <c r="K1206" s="10" t="str">
        <f t="shared" si="96"/>
        <v/>
      </c>
      <c r="L1206" s="10" t="str">
        <f t="shared" si="97"/>
        <v/>
      </c>
      <c r="M1206" s="10" t="str">
        <f t="shared" si="98"/>
        <v/>
      </c>
      <c r="N1206" s="10" t="str">
        <f t="shared" si="99"/>
        <v/>
      </c>
      <c r="O1206" s="6"/>
      <c r="P1206" s="6"/>
    </row>
    <row r="1207" spans="1:16" x14ac:dyDescent="0.3">
      <c r="A1207" s="6"/>
      <c r="B1207" s="7"/>
      <c r="C1207" s="6"/>
      <c r="D1207" s="6"/>
      <c r="E1207" s="6"/>
      <c r="F1207" s="25"/>
      <c r="G1207" s="25" t="str">
        <f>IF(A1207="","",SUMIFS(Paradas_Detalhadas!$I:$I,Paradas_Detalhadas!$A:$A,A1207,Paradas_Detalhadas!$B:$B,B1207,Paradas_Detalhadas!$C:$C,C1207,Paradas_Detalhadas!$D:$D,E1207))</f>
        <v/>
      </c>
      <c r="H1207" s="26" t="str">
        <f t="shared" si="95"/>
        <v/>
      </c>
      <c r="I1207" s="10"/>
      <c r="J1207" s="10"/>
      <c r="K1207" s="10" t="str">
        <f t="shared" si="96"/>
        <v/>
      </c>
      <c r="L1207" s="10" t="str">
        <f t="shared" si="97"/>
        <v/>
      </c>
      <c r="M1207" s="10" t="str">
        <f t="shared" si="98"/>
        <v/>
      </c>
      <c r="N1207" s="10" t="str">
        <f t="shared" si="99"/>
        <v/>
      </c>
      <c r="O1207" s="6"/>
      <c r="P1207" s="6"/>
    </row>
    <row r="1208" spans="1:16" x14ac:dyDescent="0.3">
      <c r="A1208" s="6"/>
      <c r="B1208" s="7"/>
      <c r="C1208" s="6"/>
      <c r="D1208" s="6"/>
      <c r="E1208" s="6"/>
      <c r="F1208" s="25"/>
      <c r="G1208" s="25" t="str">
        <f>IF(A1208="","",SUMIFS(Paradas_Detalhadas!$I:$I,Paradas_Detalhadas!$A:$A,A1208,Paradas_Detalhadas!$B:$B,B1208,Paradas_Detalhadas!$C:$C,C1208,Paradas_Detalhadas!$D:$D,E1208))</f>
        <v/>
      </c>
      <c r="H1208" s="26" t="str">
        <f t="shared" si="95"/>
        <v/>
      </c>
      <c r="I1208" s="10"/>
      <c r="J1208" s="10"/>
      <c r="K1208" s="10" t="str">
        <f t="shared" si="96"/>
        <v/>
      </c>
      <c r="L1208" s="10" t="str">
        <f t="shared" si="97"/>
        <v/>
      </c>
      <c r="M1208" s="10" t="str">
        <f t="shared" si="98"/>
        <v/>
      </c>
      <c r="N1208" s="10" t="str">
        <f t="shared" si="99"/>
        <v/>
      </c>
      <c r="O1208" s="6"/>
      <c r="P1208" s="6"/>
    </row>
    <row r="1209" spans="1:16" x14ac:dyDescent="0.3">
      <c r="A1209" s="6"/>
      <c r="B1209" s="7"/>
      <c r="C1209" s="6"/>
      <c r="D1209" s="6"/>
      <c r="E1209" s="6"/>
      <c r="F1209" s="25"/>
      <c r="G1209" s="25" t="str">
        <f>IF(A1209="","",SUMIFS(Paradas_Detalhadas!$I:$I,Paradas_Detalhadas!$A:$A,A1209,Paradas_Detalhadas!$B:$B,B1209,Paradas_Detalhadas!$C:$C,C1209,Paradas_Detalhadas!$D:$D,E1209))</f>
        <v/>
      </c>
      <c r="H1209" s="26" t="str">
        <f t="shared" si="95"/>
        <v/>
      </c>
      <c r="I1209" s="10"/>
      <c r="J1209" s="10"/>
      <c r="K1209" s="10" t="str">
        <f t="shared" si="96"/>
        <v/>
      </c>
      <c r="L1209" s="10" t="str">
        <f t="shared" si="97"/>
        <v/>
      </c>
      <c r="M1209" s="10" t="str">
        <f t="shared" si="98"/>
        <v/>
      </c>
      <c r="N1209" s="10" t="str">
        <f t="shared" si="99"/>
        <v/>
      </c>
      <c r="O1209" s="6"/>
      <c r="P1209" s="6"/>
    </row>
    <row r="1210" spans="1:16" x14ac:dyDescent="0.3">
      <c r="A1210" s="6"/>
      <c r="B1210" s="7"/>
      <c r="C1210" s="6"/>
      <c r="D1210" s="6"/>
      <c r="E1210" s="6"/>
      <c r="F1210" s="25"/>
      <c r="G1210" s="25" t="str">
        <f>IF(A1210="","",SUMIFS(Paradas_Detalhadas!$I:$I,Paradas_Detalhadas!$A:$A,A1210,Paradas_Detalhadas!$B:$B,B1210,Paradas_Detalhadas!$C:$C,C1210,Paradas_Detalhadas!$D:$D,E1210))</f>
        <v/>
      </c>
      <c r="H1210" s="26" t="str">
        <f t="shared" si="95"/>
        <v/>
      </c>
      <c r="I1210" s="10"/>
      <c r="J1210" s="10"/>
      <c r="K1210" s="10" t="str">
        <f t="shared" si="96"/>
        <v/>
      </c>
      <c r="L1210" s="10" t="str">
        <f t="shared" si="97"/>
        <v/>
      </c>
      <c r="M1210" s="10" t="str">
        <f t="shared" si="98"/>
        <v/>
      </c>
      <c r="N1210" s="10" t="str">
        <f t="shared" si="99"/>
        <v/>
      </c>
      <c r="O1210" s="6"/>
      <c r="P1210" s="6"/>
    </row>
    <row r="1211" spans="1:16" x14ac:dyDescent="0.3">
      <c r="A1211" s="6"/>
      <c r="B1211" s="7"/>
      <c r="C1211" s="6"/>
      <c r="D1211" s="6"/>
      <c r="E1211" s="6"/>
      <c r="F1211" s="25"/>
      <c r="G1211" s="25" t="str">
        <f>IF(A1211="","",SUMIFS(Paradas_Detalhadas!$I:$I,Paradas_Detalhadas!$A:$A,A1211,Paradas_Detalhadas!$B:$B,B1211,Paradas_Detalhadas!$C:$C,C1211,Paradas_Detalhadas!$D:$D,E1211))</f>
        <v/>
      </c>
      <c r="H1211" s="26" t="str">
        <f t="shared" si="95"/>
        <v/>
      </c>
      <c r="I1211" s="10"/>
      <c r="J1211" s="10"/>
      <c r="K1211" s="10" t="str">
        <f t="shared" si="96"/>
        <v/>
      </c>
      <c r="L1211" s="10" t="str">
        <f t="shared" si="97"/>
        <v/>
      </c>
      <c r="M1211" s="10" t="str">
        <f t="shared" si="98"/>
        <v/>
      </c>
      <c r="N1211" s="10" t="str">
        <f t="shared" si="99"/>
        <v/>
      </c>
      <c r="O1211" s="6"/>
      <c r="P1211" s="6"/>
    </row>
    <row r="1212" spans="1:16" x14ac:dyDescent="0.3">
      <c r="A1212" s="6"/>
      <c r="B1212" s="7"/>
      <c r="C1212" s="6"/>
      <c r="D1212" s="6"/>
      <c r="E1212" s="6"/>
      <c r="F1212" s="25"/>
      <c r="G1212" s="25" t="str">
        <f>IF(A1212="","",SUMIFS(Paradas_Detalhadas!$I:$I,Paradas_Detalhadas!$A:$A,A1212,Paradas_Detalhadas!$B:$B,B1212,Paradas_Detalhadas!$C:$C,C1212,Paradas_Detalhadas!$D:$D,E1212))</f>
        <v/>
      </c>
      <c r="H1212" s="26" t="str">
        <f t="shared" si="95"/>
        <v/>
      </c>
      <c r="I1212" s="10"/>
      <c r="J1212" s="10"/>
      <c r="K1212" s="10" t="str">
        <f t="shared" si="96"/>
        <v/>
      </c>
      <c r="L1212" s="10" t="str">
        <f t="shared" si="97"/>
        <v/>
      </c>
      <c r="M1212" s="10" t="str">
        <f t="shared" si="98"/>
        <v/>
      </c>
      <c r="N1212" s="10" t="str">
        <f t="shared" si="99"/>
        <v/>
      </c>
      <c r="O1212" s="6"/>
      <c r="P1212" s="6"/>
    </row>
    <row r="1213" spans="1:16" x14ac:dyDescent="0.3">
      <c r="A1213" s="6"/>
      <c r="B1213" s="7"/>
      <c r="C1213" s="6"/>
      <c r="D1213" s="6"/>
      <c r="E1213" s="6"/>
      <c r="F1213" s="25"/>
      <c r="G1213" s="25" t="str">
        <f>IF(A1213="","",SUMIFS(Paradas_Detalhadas!$I:$I,Paradas_Detalhadas!$A:$A,A1213,Paradas_Detalhadas!$B:$B,B1213,Paradas_Detalhadas!$C:$C,C1213,Paradas_Detalhadas!$D:$D,E1213))</f>
        <v/>
      </c>
      <c r="H1213" s="26" t="str">
        <f t="shared" si="95"/>
        <v/>
      </c>
      <c r="I1213" s="10"/>
      <c r="J1213" s="10"/>
      <c r="K1213" s="10" t="str">
        <f t="shared" si="96"/>
        <v/>
      </c>
      <c r="L1213" s="10" t="str">
        <f t="shared" si="97"/>
        <v/>
      </c>
      <c r="M1213" s="10" t="str">
        <f t="shared" si="98"/>
        <v/>
      </c>
      <c r="N1213" s="10" t="str">
        <f t="shared" si="99"/>
        <v/>
      </c>
      <c r="O1213" s="6"/>
      <c r="P1213" s="6"/>
    </row>
    <row r="1214" spans="1:16" x14ac:dyDescent="0.3">
      <c r="A1214" s="6"/>
      <c r="B1214" s="7"/>
      <c r="C1214" s="6"/>
      <c r="D1214" s="6"/>
      <c r="E1214" s="6"/>
      <c r="F1214" s="25"/>
      <c r="G1214" s="25" t="str">
        <f>IF(A1214="","",SUMIFS(Paradas_Detalhadas!$I:$I,Paradas_Detalhadas!$A:$A,A1214,Paradas_Detalhadas!$B:$B,B1214,Paradas_Detalhadas!$C:$C,C1214,Paradas_Detalhadas!$D:$D,E1214))</f>
        <v/>
      </c>
      <c r="H1214" s="26" t="str">
        <f t="shared" si="95"/>
        <v/>
      </c>
      <c r="I1214" s="10"/>
      <c r="J1214" s="10"/>
      <c r="K1214" s="10" t="str">
        <f t="shared" si="96"/>
        <v/>
      </c>
      <c r="L1214" s="10" t="str">
        <f t="shared" si="97"/>
        <v/>
      </c>
      <c r="M1214" s="10" t="str">
        <f t="shared" si="98"/>
        <v/>
      </c>
      <c r="N1214" s="10" t="str">
        <f t="shared" si="99"/>
        <v/>
      </c>
      <c r="O1214" s="6"/>
      <c r="P1214" s="6"/>
    </row>
    <row r="1215" spans="1:16" x14ac:dyDescent="0.3">
      <c r="A1215" s="6"/>
      <c r="B1215" s="7"/>
      <c r="C1215" s="6"/>
      <c r="D1215" s="6"/>
      <c r="E1215" s="6"/>
      <c r="F1215" s="25"/>
      <c r="G1215" s="25" t="str">
        <f>IF(A1215="","",SUMIFS(Paradas_Detalhadas!$I:$I,Paradas_Detalhadas!$A:$A,A1215,Paradas_Detalhadas!$B:$B,B1215,Paradas_Detalhadas!$C:$C,C1215,Paradas_Detalhadas!$D:$D,E1215))</f>
        <v/>
      </c>
      <c r="H1215" s="26" t="str">
        <f t="shared" si="95"/>
        <v/>
      </c>
      <c r="I1215" s="10"/>
      <c r="J1215" s="10"/>
      <c r="K1215" s="10" t="str">
        <f t="shared" si="96"/>
        <v/>
      </c>
      <c r="L1215" s="10" t="str">
        <f t="shared" si="97"/>
        <v/>
      </c>
      <c r="M1215" s="10" t="str">
        <f t="shared" si="98"/>
        <v/>
      </c>
      <c r="N1215" s="10" t="str">
        <f t="shared" si="99"/>
        <v/>
      </c>
      <c r="O1215" s="6"/>
      <c r="P1215" s="6"/>
    </row>
    <row r="1216" spans="1:16" x14ac:dyDescent="0.3">
      <c r="A1216" s="6"/>
      <c r="B1216" s="7"/>
      <c r="C1216" s="6"/>
      <c r="D1216" s="6"/>
      <c r="E1216" s="6"/>
      <c r="F1216" s="25"/>
      <c r="G1216" s="25" t="str">
        <f>IF(A1216="","",SUMIFS(Paradas_Detalhadas!$I:$I,Paradas_Detalhadas!$A:$A,A1216,Paradas_Detalhadas!$B:$B,B1216,Paradas_Detalhadas!$C:$C,C1216,Paradas_Detalhadas!$D:$D,E1216))</f>
        <v/>
      </c>
      <c r="H1216" s="26" t="str">
        <f t="shared" si="95"/>
        <v/>
      </c>
      <c r="I1216" s="10"/>
      <c r="J1216" s="10"/>
      <c r="K1216" s="10" t="str">
        <f t="shared" si="96"/>
        <v/>
      </c>
      <c r="L1216" s="10" t="str">
        <f t="shared" si="97"/>
        <v/>
      </c>
      <c r="M1216" s="10" t="str">
        <f t="shared" si="98"/>
        <v/>
      </c>
      <c r="N1216" s="10" t="str">
        <f t="shared" si="99"/>
        <v/>
      </c>
      <c r="O1216" s="6"/>
      <c r="P1216" s="6"/>
    </row>
    <row r="1217" spans="1:16" x14ac:dyDescent="0.3">
      <c r="A1217" s="6"/>
      <c r="B1217" s="7"/>
      <c r="C1217" s="6"/>
      <c r="D1217" s="6"/>
      <c r="E1217" s="6"/>
      <c r="F1217" s="25"/>
      <c r="G1217" s="25" t="str">
        <f>IF(A1217="","",SUMIFS(Paradas_Detalhadas!$I:$I,Paradas_Detalhadas!$A:$A,A1217,Paradas_Detalhadas!$B:$B,B1217,Paradas_Detalhadas!$C:$C,C1217,Paradas_Detalhadas!$D:$D,E1217))</f>
        <v/>
      </c>
      <c r="H1217" s="26" t="str">
        <f t="shared" si="95"/>
        <v/>
      </c>
      <c r="I1217" s="10"/>
      <c r="J1217" s="10"/>
      <c r="K1217" s="10" t="str">
        <f t="shared" si="96"/>
        <v/>
      </c>
      <c r="L1217" s="10" t="str">
        <f t="shared" si="97"/>
        <v/>
      </c>
      <c r="M1217" s="10" t="str">
        <f t="shared" si="98"/>
        <v/>
      </c>
      <c r="N1217" s="10" t="str">
        <f t="shared" si="99"/>
        <v/>
      </c>
      <c r="O1217" s="6"/>
      <c r="P1217" s="6"/>
    </row>
    <row r="1218" spans="1:16" x14ac:dyDescent="0.3">
      <c r="A1218" s="6"/>
      <c r="B1218" s="7"/>
      <c r="C1218" s="6"/>
      <c r="D1218" s="6"/>
      <c r="E1218" s="6"/>
      <c r="F1218" s="25"/>
      <c r="G1218" s="25" t="str">
        <f>IF(A1218="","",SUMIFS(Paradas_Detalhadas!$I:$I,Paradas_Detalhadas!$A:$A,A1218,Paradas_Detalhadas!$B:$B,B1218,Paradas_Detalhadas!$C:$C,C1218,Paradas_Detalhadas!$D:$D,E1218))</f>
        <v/>
      </c>
      <c r="H1218" s="26" t="str">
        <f t="shared" si="95"/>
        <v/>
      </c>
      <c r="I1218" s="10"/>
      <c r="J1218" s="10"/>
      <c r="K1218" s="10" t="str">
        <f t="shared" si="96"/>
        <v/>
      </c>
      <c r="L1218" s="10" t="str">
        <f t="shared" si="97"/>
        <v/>
      </c>
      <c r="M1218" s="10" t="str">
        <f t="shared" si="98"/>
        <v/>
      </c>
      <c r="N1218" s="10" t="str">
        <f t="shared" si="99"/>
        <v/>
      </c>
      <c r="O1218" s="6"/>
      <c r="P1218" s="6"/>
    </row>
    <row r="1219" spans="1:16" x14ac:dyDescent="0.3">
      <c r="A1219" s="6"/>
      <c r="B1219" s="7"/>
      <c r="C1219" s="6"/>
      <c r="D1219" s="6"/>
      <c r="E1219" s="6"/>
      <c r="F1219" s="25"/>
      <c r="G1219" s="25" t="str">
        <f>IF(A1219="","",SUMIFS(Paradas_Detalhadas!$I:$I,Paradas_Detalhadas!$A:$A,A1219,Paradas_Detalhadas!$B:$B,B1219,Paradas_Detalhadas!$C:$C,C1219,Paradas_Detalhadas!$D:$D,E1219))</f>
        <v/>
      </c>
      <c r="H1219" s="26" t="str">
        <f t="shared" si="95"/>
        <v/>
      </c>
      <c r="I1219" s="10"/>
      <c r="J1219" s="10"/>
      <c r="K1219" s="10" t="str">
        <f t="shared" si="96"/>
        <v/>
      </c>
      <c r="L1219" s="10" t="str">
        <f t="shared" si="97"/>
        <v/>
      </c>
      <c r="M1219" s="10" t="str">
        <f t="shared" si="98"/>
        <v/>
      </c>
      <c r="N1219" s="10" t="str">
        <f t="shared" si="99"/>
        <v/>
      </c>
      <c r="O1219" s="6"/>
      <c r="P1219" s="6"/>
    </row>
    <row r="1220" spans="1:16" x14ac:dyDescent="0.3">
      <c r="A1220" s="6"/>
      <c r="B1220" s="7"/>
      <c r="C1220" s="6"/>
      <c r="D1220" s="6"/>
      <c r="E1220" s="6"/>
      <c r="F1220" s="25"/>
      <c r="G1220" s="25" t="str">
        <f>IF(A1220="","",SUMIFS(Paradas_Detalhadas!$I:$I,Paradas_Detalhadas!$A:$A,A1220,Paradas_Detalhadas!$B:$B,B1220,Paradas_Detalhadas!$C:$C,C1220,Paradas_Detalhadas!$D:$D,E1220))</f>
        <v/>
      </c>
      <c r="H1220" s="26" t="str">
        <f t="shared" si="95"/>
        <v/>
      </c>
      <c r="I1220" s="10"/>
      <c r="J1220" s="10"/>
      <c r="K1220" s="10" t="str">
        <f t="shared" si="96"/>
        <v/>
      </c>
      <c r="L1220" s="10" t="str">
        <f t="shared" si="97"/>
        <v/>
      </c>
      <c r="M1220" s="10" t="str">
        <f t="shared" si="98"/>
        <v/>
      </c>
      <c r="N1220" s="10" t="str">
        <f t="shared" si="99"/>
        <v/>
      </c>
      <c r="O1220" s="6"/>
      <c r="P1220" s="6"/>
    </row>
    <row r="1221" spans="1:16" x14ac:dyDescent="0.3">
      <c r="A1221" s="6"/>
      <c r="B1221" s="7"/>
      <c r="C1221" s="6"/>
      <c r="D1221" s="6"/>
      <c r="E1221" s="6"/>
      <c r="F1221" s="25"/>
      <c r="G1221" s="25" t="str">
        <f>IF(A1221="","",SUMIFS(Paradas_Detalhadas!$I:$I,Paradas_Detalhadas!$A:$A,A1221,Paradas_Detalhadas!$B:$B,B1221,Paradas_Detalhadas!$C:$C,C1221,Paradas_Detalhadas!$D:$D,E1221))</f>
        <v/>
      </c>
      <c r="H1221" s="26" t="str">
        <f t="shared" si="95"/>
        <v/>
      </c>
      <c r="I1221" s="10"/>
      <c r="J1221" s="10"/>
      <c r="K1221" s="10" t="str">
        <f t="shared" si="96"/>
        <v/>
      </c>
      <c r="L1221" s="10" t="str">
        <f t="shared" si="97"/>
        <v/>
      </c>
      <c r="M1221" s="10" t="str">
        <f t="shared" si="98"/>
        <v/>
      </c>
      <c r="N1221" s="10" t="str">
        <f t="shared" si="99"/>
        <v/>
      </c>
      <c r="O1221" s="6"/>
      <c r="P1221" s="6"/>
    </row>
    <row r="1222" spans="1:16" x14ac:dyDescent="0.3">
      <c r="A1222" s="6"/>
      <c r="B1222" s="7"/>
      <c r="C1222" s="6"/>
      <c r="D1222" s="6"/>
      <c r="E1222" s="6"/>
      <c r="F1222" s="25"/>
      <c r="G1222" s="25" t="str">
        <f>IF(A1222="","",SUMIFS(Paradas_Detalhadas!$I:$I,Paradas_Detalhadas!$A:$A,A1222,Paradas_Detalhadas!$B:$B,B1222,Paradas_Detalhadas!$C:$C,C1222,Paradas_Detalhadas!$D:$D,E1222))</f>
        <v/>
      </c>
      <c r="H1222" s="26" t="str">
        <f t="shared" si="95"/>
        <v/>
      </c>
      <c r="I1222" s="10"/>
      <c r="J1222" s="10"/>
      <c r="K1222" s="10" t="str">
        <f t="shared" si="96"/>
        <v/>
      </c>
      <c r="L1222" s="10" t="str">
        <f t="shared" si="97"/>
        <v/>
      </c>
      <c r="M1222" s="10" t="str">
        <f t="shared" si="98"/>
        <v/>
      </c>
      <c r="N1222" s="10" t="str">
        <f t="shared" si="99"/>
        <v/>
      </c>
      <c r="O1222" s="6"/>
      <c r="P1222" s="6"/>
    </row>
    <row r="1223" spans="1:16" x14ac:dyDescent="0.3">
      <c r="A1223" s="6"/>
      <c r="B1223" s="7"/>
      <c r="C1223" s="6"/>
      <c r="D1223" s="6"/>
      <c r="E1223" s="6"/>
      <c r="F1223" s="25"/>
      <c r="G1223" s="25" t="str">
        <f>IF(A1223="","",SUMIFS(Paradas_Detalhadas!$I:$I,Paradas_Detalhadas!$A:$A,A1223,Paradas_Detalhadas!$B:$B,B1223,Paradas_Detalhadas!$C:$C,C1223,Paradas_Detalhadas!$D:$D,E1223))</f>
        <v/>
      </c>
      <c r="H1223" s="26" t="str">
        <f t="shared" si="95"/>
        <v/>
      </c>
      <c r="I1223" s="10"/>
      <c r="J1223" s="10"/>
      <c r="K1223" s="10" t="str">
        <f t="shared" si="96"/>
        <v/>
      </c>
      <c r="L1223" s="10" t="str">
        <f t="shared" si="97"/>
        <v/>
      </c>
      <c r="M1223" s="10" t="str">
        <f t="shared" si="98"/>
        <v/>
      </c>
      <c r="N1223" s="10" t="str">
        <f t="shared" si="99"/>
        <v/>
      </c>
      <c r="O1223" s="6"/>
      <c r="P1223" s="6"/>
    </row>
    <row r="1224" spans="1:16" x14ac:dyDescent="0.3">
      <c r="A1224" s="6"/>
      <c r="B1224" s="7"/>
      <c r="C1224" s="6"/>
      <c r="D1224" s="6"/>
      <c r="E1224" s="6"/>
      <c r="F1224" s="25"/>
      <c r="G1224" s="25" t="str">
        <f>IF(A1224="","",SUMIFS(Paradas_Detalhadas!$I:$I,Paradas_Detalhadas!$A:$A,A1224,Paradas_Detalhadas!$B:$B,B1224,Paradas_Detalhadas!$C:$C,C1224,Paradas_Detalhadas!$D:$D,E1224))</f>
        <v/>
      </c>
      <c r="H1224" s="26" t="str">
        <f t="shared" si="95"/>
        <v/>
      </c>
      <c r="I1224" s="10"/>
      <c r="J1224" s="10"/>
      <c r="K1224" s="10" t="str">
        <f t="shared" si="96"/>
        <v/>
      </c>
      <c r="L1224" s="10" t="str">
        <f t="shared" si="97"/>
        <v/>
      </c>
      <c r="M1224" s="10" t="str">
        <f t="shared" si="98"/>
        <v/>
      </c>
      <c r="N1224" s="10" t="str">
        <f t="shared" si="99"/>
        <v/>
      </c>
      <c r="O1224" s="6"/>
      <c r="P1224" s="6"/>
    </row>
    <row r="1225" spans="1:16" x14ac:dyDescent="0.3">
      <c r="A1225" s="6"/>
      <c r="B1225" s="7"/>
      <c r="C1225" s="6"/>
      <c r="D1225" s="6"/>
      <c r="E1225" s="6"/>
      <c r="F1225" s="25"/>
      <c r="G1225" s="25" t="str">
        <f>IF(A1225="","",SUMIFS(Paradas_Detalhadas!$I:$I,Paradas_Detalhadas!$A:$A,A1225,Paradas_Detalhadas!$B:$B,B1225,Paradas_Detalhadas!$C:$C,C1225,Paradas_Detalhadas!$D:$D,E1225))</f>
        <v/>
      </c>
      <c r="H1225" s="26" t="str">
        <f t="shared" si="95"/>
        <v/>
      </c>
      <c r="I1225" s="10"/>
      <c r="J1225" s="10"/>
      <c r="K1225" s="10" t="str">
        <f t="shared" si="96"/>
        <v/>
      </c>
      <c r="L1225" s="10" t="str">
        <f t="shared" si="97"/>
        <v/>
      </c>
      <c r="M1225" s="10" t="str">
        <f t="shared" si="98"/>
        <v/>
      </c>
      <c r="N1225" s="10" t="str">
        <f t="shared" si="99"/>
        <v/>
      </c>
      <c r="O1225" s="6"/>
      <c r="P1225" s="6"/>
    </row>
    <row r="1226" spans="1:16" x14ac:dyDescent="0.3">
      <c r="A1226" s="6"/>
      <c r="B1226" s="7"/>
      <c r="C1226" s="6"/>
      <c r="D1226" s="6"/>
      <c r="E1226" s="6"/>
      <c r="F1226" s="25"/>
      <c r="G1226" s="25" t="str">
        <f>IF(A1226="","",SUMIFS(Paradas_Detalhadas!$I:$I,Paradas_Detalhadas!$A:$A,A1226,Paradas_Detalhadas!$B:$B,B1226,Paradas_Detalhadas!$C:$C,C1226,Paradas_Detalhadas!$D:$D,E1226))</f>
        <v/>
      </c>
      <c r="H1226" s="26" t="str">
        <f t="shared" si="95"/>
        <v/>
      </c>
      <c r="I1226" s="10"/>
      <c r="J1226" s="10"/>
      <c r="K1226" s="10" t="str">
        <f t="shared" si="96"/>
        <v/>
      </c>
      <c r="L1226" s="10" t="str">
        <f t="shared" si="97"/>
        <v/>
      </c>
      <c r="M1226" s="10" t="str">
        <f t="shared" si="98"/>
        <v/>
      </c>
      <c r="N1226" s="10" t="str">
        <f t="shared" si="99"/>
        <v/>
      </c>
      <c r="O1226" s="6"/>
      <c r="P1226" s="6"/>
    </row>
    <row r="1227" spans="1:16" x14ac:dyDescent="0.3">
      <c r="A1227" s="6"/>
      <c r="B1227" s="7"/>
      <c r="C1227" s="6"/>
      <c r="D1227" s="6"/>
      <c r="E1227" s="6"/>
      <c r="F1227" s="25"/>
      <c r="G1227" s="25" t="str">
        <f>IF(A1227="","",SUMIFS(Paradas_Detalhadas!$I:$I,Paradas_Detalhadas!$A:$A,A1227,Paradas_Detalhadas!$B:$B,B1227,Paradas_Detalhadas!$C:$C,C1227,Paradas_Detalhadas!$D:$D,E1227))</f>
        <v/>
      </c>
      <c r="H1227" s="26" t="str">
        <f t="shared" si="95"/>
        <v/>
      </c>
      <c r="I1227" s="10"/>
      <c r="J1227" s="10"/>
      <c r="K1227" s="10" t="str">
        <f t="shared" si="96"/>
        <v/>
      </c>
      <c r="L1227" s="10" t="str">
        <f t="shared" si="97"/>
        <v/>
      </c>
      <c r="M1227" s="10" t="str">
        <f t="shared" si="98"/>
        <v/>
      </c>
      <c r="N1227" s="10" t="str">
        <f t="shared" si="99"/>
        <v/>
      </c>
      <c r="O1227" s="6"/>
      <c r="P1227" s="6"/>
    </row>
    <row r="1228" spans="1:16" x14ac:dyDescent="0.3">
      <c r="A1228" s="6"/>
      <c r="B1228" s="7"/>
      <c r="C1228" s="6"/>
      <c r="D1228" s="6"/>
      <c r="E1228" s="6"/>
      <c r="F1228" s="25"/>
      <c r="G1228" s="25" t="str">
        <f>IF(A1228="","",SUMIFS(Paradas_Detalhadas!$I:$I,Paradas_Detalhadas!$A:$A,A1228,Paradas_Detalhadas!$B:$B,B1228,Paradas_Detalhadas!$C:$C,C1228,Paradas_Detalhadas!$D:$D,E1228))</f>
        <v/>
      </c>
      <c r="H1228" s="26" t="str">
        <f t="shared" si="95"/>
        <v/>
      </c>
      <c r="I1228" s="10"/>
      <c r="J1228" s="10"/>
      <c r="K1228" s="10" t="str">
        <f t="shared" si="96"/>
        <v/>
      </c>
      <c r="L1228" s="10" t="str">
        <f t="shared" si="97"/>
        <v/>
      </c>
      <c r="M1228" s="10" t="str">
        <f t="shared" si="98"/>
        <v/>
      </c>
      <c r="N1228" s="10" t="str">
        <f t="shared" si="99"/>
        <v/>
      </c>
      <c r="O1228" s="6"/>
      <c r="P1228" s="6"/>
    </row>
    <row r="1229" spans="1:16" x14ac:dyDescent="0.3">
      <c r="A1229" s="6"/>
      <c r="B1229" s="7"/>
      <c r="C1229" s="6"/>
      <c r="D1229" s="6"/>
      <c r="E1229" s="6"/>
      <c r="F1229" s="25"/>
      <c r="G1229" s="25" t="str">
        <f>IF(A1229="","",SUMIFS(Paradas_Detalhadas!$I:$I,Paradas_Detalhadas!$A:$A,A1229,Paradas_Detalhadas!$B:$B,B1229,Paradas_Detalhadas!$C:$C,C1229,Paradas_Detalhadas!$D:$D,E1229))</f>
        <v/>
      </c>
      <c r="H1229" s="26" t="str">
        <f t="shared" si="95"/>
        <v/>
      </c>
      <c r="I1229" s="10"/>
      <c r="J1229" s="10"/>
      <c r="K1229" s="10" t="str">
        <f t="shared" si="96"/>
        <v/>
      </c>
      <c r="L1229" s="10" t="str">
        <f t="shared" si="97"/>
        <v/>
      </c>
      <c r="M1229" s="10" t="str">
        <f t="shared" si="98"/>
        <v/>
      </c>
      <c r="N1229" s="10" t="str">
        <f t="shared" si="99"/>
        <v/>
      </c>
      <c r="O1229" s="6"/>
      <c r="P1229" s="6"/>
    </row>
    <row r="1230" spans="1:16" x14ac:dyDescent="0.3">
      <c r="A1230" s="6"/>
      <c r="B1230" s="7"/>
      <c r="C1230" s="6"/>
      <c r="D1230" s="6"/>
      <c r="E1230" s="6"/>
      <c r="F1230" s="25"/>
      <c r="G1230" s="25" t="str">
        <f>IF(A1230="","",SUMIFS(Paradas_Detalhadas!$I:$I,Paradas_Detalhadas!$A:$A,A1230,Paradas_Detalhadas!$B:$B,B1230,Paradas_Detalhadas!$C:$C,C1230,Paradas_Detalhadas!$D:$D,E1230))</f>
        <v/>
      </c>
      <c r="H1230" s="26" t="str">
        <f t="shared" si="95"/>
        <v/>
      </c>
      <c r="I1230" s="10"/>
      <c r="J1230" s="10"/>
      <c r="K1230" s="10" t="str">
        <f t="shared" si="96"/>
        <v/>
      </c>
      <c r="L1230" s="10" t="str">
        <f t="shared" si="97"/>
        <v/>
      </c>
      <c r="M1230" s="10" t="str">
        <f t="shared" si="98"/>
        <v/>
      </c>
      <c r="N1230" s="10" t="str">
        <f t="shared" si="99"/>
        <v/>
      </c>
      <c r="O1230" s="6"/>
      <c r="P1230" s="6"/>
    </row>
    <row r="1231" spans="1:16" x14ac:dyDescent="0.3">
      <c r="A1231" s="6"/>
      <c r="B1231" s="7"/>
      <c r="C1231" s="6"/>
      <c r="D1231" s="6"/>
      <c r="E1231" s="6"/>
      <c r="F1231" s="25"/>
      <c r="G1231" s="25" t="str">
        <f>IF(A1231="","",SUMIFS(Paradas_Detalhadas!$I:$I,Paradas_Detalhadas!$A:$A,A1231,Paradas_Detalhadas!$B:$B,B1231,Paradas_Detalhadas!$C:$C,C1231,Paradas_Detalhadas!$D:$D,E1231))</f>
        <v/>
      </c>
      <c r="H1231" s="26" t="str">
        <f t="shared" si="95"/>
        <v/>
      </c>
      <c r="I1231" s="10"/>
      <c r="J1231" s="10"/>
      <c r="K1231" s="10" t="str">
        <f t="shared" si="96"/>
        <v/>
      </c>
      <c r="L1231" s="10" t="str">
        <f t="shared" si="97"/>
        <v/>
      </c>
      <c r="M1231" s="10" t="str">
        <f t="shared" si="98"/>
        <v/>
      </c>
      <c r="N1231" s="10" t="str">
        <f t="shared" si="99"/>
        <v/>
      </c>
      <c r="O1231" s="6"/>
      <c r="P1231" s="6"/>
    </row>
    <row r="1232" spans="1:16" x14ac:dyDescent="0.3">
      <c r="A1232" s="6"/>
      <c r="B1232" s="7"/>
      <c r="C1232" s="6"/>
      <c r="D1232" s="6"/>
      <c r="E1232" s="6"/>
      <c r="F1232" s="25"/>
      <c r="G1232" s="25" t="str">
        <f>IF(A1232="","",SUMIFS(Paradas_Detalhadas!$I:$I,Paradas_Detalhadas!$A:$A,A1232,Paradas_Detalhadas!$B:$B,B1232,Paradas_Detalhadas!$C:$C,C1232,Paradas_Detalhadas!$D:$D,E1232))</f>
        <v/>
      </c>
      <c r="H1232" s="26" t="str">
        <f t="shared" si="95"/>
        <v/>
      </c>
      <c r="I1232" s="10"/>
      <c r="J1232" s="10"/>
      <c r="K1232" s="10" t="str">
        <f t="shared" si="96"/>
        <v/>
      </c>
      <c r="L1232" s="10" t="str">
        <f t="shared" si="97"/>
        <v/>
      </c>
      <c r="M1232" s="10" t="str">
        <f t="shared" si="98"/>
        <v/>
      </c>
      <c r="N1232" s="10" t="str">
        <f t="shared" si="99"/>
        <v/>
      </c>
      <c r="O1232" s="6"/>
      <c r="P1232" s="6"/>
    </row>
    <row r="1233" spans="1:16" x14ac:dyDescent="0.3">
      <c r="A1233" s="6"/>
      <c r="B1233" s="7"/>
      <c r="C1233" s="6"/>
      <c r="D1233" s="6"/>
      <c r="E1233" s="6"/>
      <c r="F1233" s="25"/>
      <c r="G1233" s="25" t="str">
        <f>IF(A1233="","",SUMIFS(Paradas_Detalhadas!$I:$I,Paradas_Detalhadas!$A:$A,A1233,Paradas_Detalhadas!$B:$B,B1233,Paradas_Detalhadas!$C:$C,C1233,Paradas_Detalhadas!$D:$D,E1233))</f>
        <v/>
      </c>
      <c r="H1233" s="26" t="str">
        <f t="shared" si="95"/>
        <v/>
      </c>
      <c r="I1233" s="10"/>
      <c r="J1233" s="10"/>
      <c r="K1233" s="10" t="str">
        <f t="shared" si="96"/>
        <v/>
      </c>
      <c r="L1233" s="10" t="str">
        <f t="shared" si="97"/>
        <v/>
      </c>
      <c r="M1233" s="10" t="str">
        <f t="shared" si="98"/>
        <v/>
      </c>
      <c r="N1233" s="10" t="str">
        <f t="shared" si="99"/>
        <v/>
      </c>
      <c r="O1233" s="6"/>
      <c r="P1233" s="6"/>
    </row>
    <row r="1234" spans="1:16" x14ac:dyDescent="0.3">
      <c r="A1234" s="6"/>
      <c r="B1234" s="7"/>
      <c r="C1234" s="6"/>
      <c r="D1234" s="6"/>
      <c r="E1234" s="6"/>
      <c r="F1234" s="25"/>
      <c r="G1234" s="25" t="str">
        <f>IF(A1234="","",SUMIFS(Paradas_Detalhadas!$I:$I,Paradas_Detalhadas!$A:$A,A1234,Paradas_Detalhadas!$B:$B,B1234,Paradas_Detalhadas!$C:$C,C1234,Paradas_Detalhadas!$D:$D,E1234))</f>
        <v/>
      </c>
      <c r="H1234" s="26" t="str">
        <f t="shared" si="95"/>
        <v/>
      </c>
      <c r="I1234" s="10"/>
      <c r="J1234" s="10"/>
      <c r="K1234" s="10" t="str">
        <f t="shared" si="96"/>
        <v/>
      </c>
      <c r="L1234" s="10" t="str">
        <f t="shared" si="97"/>
        <v/>
      </c>
      <c r="M1234" s="10" t="str">
        <f t="shared" si="98"/>
        <v/>
      </c>
      <c r="N1234" s="10" t="str">
        <f t="shared" si="99"/>
        <v/>
      </c>
      <c r="O1234" s="6"/>
      <c r="P1234" s="6"/>
    </row>
    <row r="1235" spans="1:16" x14ac:dyDescent="0.3">
      <c r="A1235" s="6"/>
      <c r="B1235" s="7"/>
      <c r="C1235" s="6"/>
      <c r="D1235" s="6"/>
      <c r="E1235" s="6"/>
      <c r="F1235" s="25"/>
      <c r="G1235" s="25" t="str">
        <f>IF(A1235="","",SUMIFS(Paradas_Detalhadas!$I:$I,Paradas_Detalhadas!$A:$A,A1235,Paradas_Detalhadas!$B:$B,B1235,Paradas_Detalhadas!$C:$C,C1235,Paradas_Detalhadas!$D:$D,E1235))</f>
        <v/>
      </c>
      <c r="H1235" s="26" t="str">
        <f t="shared" si="95"/>
        <v/>
      </c>
      <c r="I1235" s="10"/>
      <c r="J1235" s="10"/>
      <c r="K1235" s="10" t="str">
        <f t="shared" si="96"/>
        <v/>
      </c>
      <c r="L1235" s="10" t="str">
        <f t="shared" si="97"/>
        <v/>
      </c>
      <c r="M1235" s="10" t="str">
        <f t="shared" si="98"/>
        <v/>
      </c>
      <c r="N1235" s="10" t="str">
        <f t="shared" si="99"/>
        <v/>
      </c>
      <c r="O1235" s="6"/>
      <c r="P1235" s="6"/>
    </row>
    <row r="1236" spans="1:16" x14ac:dyDescent="0.3">
      <c r="A1236" s="6"/>
      <c r="B1236" s="7"/>
      <c r="C1236" s="6"/>
      <c r="D1236" s="6"/>
      <c r="E1236" s="6"/>
      <c r="F1236" s="25"/>
      <c r="G1236" s="25" t="str">
        <f>IF(A1236="","",SUMIFS(Paradas_Detalhadas!$I:$I,Paradas_Detalhadas!$A:$A,A1236,Paradas_Detalhadas!$B:$B,B1236,Paradas_Detalhadas!$C:$C,C1236,Paradas_Detalhadas!$D:$D,E1236))</f>
        <v/>
      </c>
      <c r="H1236" s="26" t="str">
        <f t="shared" si="95"/>
        <v/>
      </c>
      <c r="I1236" s="10"/>
      <c r="J1236" s="10"/>
      <c r="K1236" s="10" t="str">
        <f t="shared" si="96"/>
        <v/>
      </c>
      <c r="L1236" s="10" t="str">
        <f t="shared" si="97"/>
        <v/>
      </c>
      <c r="M1236" s="10" t="str">
        <f t="shared" si="98"/>
        <v/>
      </c>
      <c r="N1236" s="10" t="str">
        <f t="shared" si="99"/>
        <v/>
      </c>
      <c r="O1236" s="6"/>
      <c r="P1236" s="6"/>
    </row>
    <row r="1237" spans="1:16" x14ac:dyDescent="0.3">
      <c r="A1237" s="6"/>
      <c r="B1237" s="7"/>
      <c r="C1237" s="6"/>
      <c r="D1237" s="6"/>
      <c r="E1237" s="6"/>
      <c r="F1237" s="25"/>
      <c r="G1237" s="25" t="str">
        <f>IF(A1237="","",SUMIFS(Paradas_Detalhadas!$I:$I,Paradas_Detalhadas!$A:$A,A1237,Paradas_Detalhadas!$B:$B,B1237,Paradas_Detalhadas!$C:$C,C1237,Paradas_Detalhadas!$D:$D,E1237))</f>
        <v/>
      </c>
      <c r="H1237" s="26" t="str">
        <f t="shared" si="95"/>
        <v/>
      </c>
      <c r="I1237" s="10"/>
      <c r="J1237" s="10"/>
      <c r="K1237" s="10" t="str">
        <f t="shared" si="96"/>
        <v/>
      </c>
      <c r="L1237" s="10" t="str">
        <f t="shared" si="97"/>
        <v/>
      </c>
      <c r="M1237" s="10" t="str">
        <f t="shared" si="98"/>
        <v/>
      </c>
      <c r="N1237" s="10" t="str">
        <f t="shared" si="99"/>
        <v/>
      </c>
      <c r="O1237" s="6"/>
      <c r="P1237" s="6"/>
    </row>
    <row r="1238" spans="1:16" x14ac:dyDescent="0.3">
      <c r="A1238" s="6"/>
      <c r="B1238" s="7"/>
      <c r="C1238" s="6"/>
      <c r="D1238" s="6"/>
      <c r="E1238" s="6"/>
      <c r="F1238" s="25"/>
      <c r="G1238" s="25" t="str">
        <f>IF(A1238="","",SUMIFS(Paradas_Detalhadas!$I:$I,Paradas_Detalhadas!$A:$A,A1238,Paradas_Detalhadas!$B:$B,B1238,Paradas_Detalhadas!$C:$C,C1238,Paradas_Detalhadas!$D:$D,E1238))</f>
        <v/>
      </c>
      <c r="H1238" s="26" t="str">
        <f t="shared" si="95"/>
        <v/>
      </c>
      <c r="I1238" s="10"/>
      <c r="J1238" s="10"/>
      <c r="K1238" s="10" t="str">
        <f t="shared" si="96"/>
        <v/>
      </c>
      <c r="L1238" s="10" t="str">
        <f t="shared" si="97"/>
        <v/>
      </c>
      <c r="M1238" s="10" t="str">
        <f t="shared" si="98"/>
        <v/>
      </c>
      <c r="N1238" s="10" t="str">
        <f t="shared" si="99"/>
        <v/>
      </c>
      <c r="O1238" s="6"/>
      <c r="P1238" s="6"/>
    </row>
    <row r="1239" spans="1:16" x14ac:dyDescent="0.3">
      <c r="A1239" s="6"/>
      <c r="B1239" s="7"/>
      <c r="C1239" s="6"/>
      <c r="D1239" s="6"/>
      <c r="E1239" s="6"/>
      <c r="F1239" s="25"/>
      <c r="G1239" s="25" t="str">
        <f>IF(A1239="","",SUMIFS(Paradas_Detalhadas!$I:$I,Paradas_Detalhadas!$A:$A,A1239,Paradas_Detalhadas!$B:$B,B1239,Paradas_Detalhadas!$C:$C,C1239,Paradas_Detalhadas!$D:$D,E1239))</f>
        <v/>
      </c>
      <c r="H1239" s="26" t="str">
        <f t="shared" si="95"/>
        <v/>
      </c>
      <c r="I1239" s="10"/>
      <c r="J1239" s="10"/>
      <c r="K1239" s="10" t="str">
        <f t="shared" si="96"/>
        <v/>
      </c>
      <c r="L1239" s="10" t="str">
        <f t="shared" si="97"/>
        <v/>
      </c>
      <c r="M1239" s="10" t="str">
        <f t="shared" si="98"/>
        <v/>
      </c>
      <c r="N1239" s="10" t="str">
        <f t="shared" si="99"/>
        <v/>
      </c>
      <c r="O1239" s="6"/>
      <c r="P1239" s="6"/>
    </row>
    <row r="1240" spans="1:16" x14ac:dyDescent="0.3">
      <c r="A1240" s="6"/>
      <c r="B1240" s="7"/>
      <c r="C1240" s="6"/>
      <c r="D1240" s="6"/>
      <c r="E1240" s="6"/>
      <c r="F1240" s="25"/>
      <c r="G1240" s="25" t="str">
        <f>IF(A1240="","",SUMIFS(Paradas_Detalhadas!$I:$I,Paradas_Detalhadas!$A:$A,A1240,Paradas_Detalhadas!$B:$B,B1240,Paradas_Detalhadas!$C:$C,C1240,Paradas_Detalhadas!$D:$D,E1240))</f>
        <v/>
      </c>
      <c r="H1240" s="26" t="str">
        <f t="shared" si="95"/>
        <v/>
      </c>
      <c r="I1240" s="10"/>
      <c r="J1240" s="10"/>
      <c r="K1240" s="10" t="str">
        <f t="shared" si="96"/>
        <v/>
      </c>
      <c r="L1240" s="10" t="str">
        <f t="shared" si="97"/>
        <v/>
      </c>
      <c r="M1240" s="10" t="str">
        <f t="shared" si="98"/>
        <v/>
      </c>
      <c r="N1240" s="10" t="str">
        <f t="shared" si="99"/>
        <v/>
      </c>
      <c r="O1240" s="6"/>
      <c r="P1240" s="6"/>
    </row>
    <row r="1241" spans="1:16" x14ac:dyDescent="0.3">
      <c r="A1241" s="6"/>
      <c r="B1241" s="7"/>
      <c r="C1241" s="6"/>
      <c r="D1241" s="6"/>
      <c r="E1241" s="6"/>
      <c r="F1241" s="25"/>
      <c r="G1241" s="25" t="str">
        <f>IF(A1241="","",SUMIFS(Paradas_Detalhadas!$I:$I,Paradas_Detalhadas!$A:$A,A1241,Paradas_Detalhadas!$B:$B,B1241,Paradas_Detalhadas!$C:$C,C1241,Paradas_Detalhadas!$D:$D,E1241))</f>
        <v/>
      </c>
      <c r="H1241" s="26" t="str">
        <f t="shared" si="95"/>
        <v/>
      </c>
      <c r="I1241" s="10"/>
      <c r="J1241" s="10"/>
      <c r="K1241" s="10" t="str">
        <f t="shared" si="96"/>
        <v/>
      </c>
      <c r="L1241" s="10" t="str">
        <f t="shared" si="97"/>
        <v/>
      </c>
      <c r="M1241" s="10" t="str">
        <f t="shared" si="98"/>
        <v/>
      </c>
      <c r="N1241" s="10" t="str">
        <f t="shared" si="99"/>
        <v/>
      </c>
      <c r="O1241" s="6"/>
      <c r="P1241" s="6"/>
    </row>
    <row r="1242" spans="1:16" x14ac:dyDescent="0.3">
      <c r="A1242" s="6"/>
      <c r="B1242" s="7"/>
      <c r="C1242" s="6"/>
      <c r="D1242" s="6"/>
      <c r="E1242" s="6"/>
      <c r="F1242" s="25"/>
      <c r="G1242" s="25" t="str">
        <f>IF(A1242="","",SUMIFS(Paradas_Detalhadas!$I:$I,Paradas_Detalhadas!$A:$A,A1242,Paradas_Detalhadas!$B:$B,B1242,Paradas_Detalhadas!$C:$C,C1242,Paradas_Detalhadas!$D:$D,E1242))</f>
        <v/>
      </c>
      <c r="H1242" s="26" t="str">
        <f t="shared" si="95"/>
        <v/>
      </c>
      <c r="I1242" s="10"/>
      <c r="J1242" s="10"/>
      <c r="K1242" s="10" t="str">
        <f t="shared" si="96"/>
        <v/>
      </c>
      <c r="L1242" s="10" t="str">
        <f t="shared" si="97"/>
        <v/>
      </c>
      <c r="M1242" s="10" t="str">
        <f t="shared" si="98"/>
        <v/>
      </c>
      <c r="N1242" s="10" t="str">
        <f t="shared" si="99"/>
        <v/>
      </c>
      <c r="O1242" s="6"/>
      <c r="P1242" s="6"/>
    </row>
    <row r="1243" spans="1:16" x14ac:dyDescent="0.3">
      <c r="A1243" s="6"/>
      <c r="B1243" s="7"/>
      <c r="C1243" s="6"/>
      <c r="D1243" s="6"/>
      <c r="E1243" s="6"/>
      <c r="F1243" s="25"/>
      <c r="G1243" s="25" t="str">
        <f>IF(A1243="","",SUMIFS(Paradas_Detalhadas!$I:$I,Paradas_Detalhadas!$A:$A,A1243,Paradas_Detalhadas!$B:$B,B1243,Paradas_Detalhadas!$C:$C,C1243,Paradas_Detalhadas!$D:$D,E1243))</f>
        <v/>
      </c>
      <c r="H1243" s="26" t="str">
        <f t="shared" si="95"/>
        <v/>
      </c>
      <c r="I1243" s="10"/>
      <c r="J1243" s="10"/>
      <c r="K1243" s="10" t="str">
        <f t="shared" si="96"/>
        <v/>
      </c>
      <c r="L1243" s="10" t="str">
        <f t="shared" si="97"/>
        <v/>
      </c>
      <c r="M1243" s="10" t="str">
        <f t="shared" si="98"/>
        <v/>
      </c>
      <c r="N1243" s="10" t="str">
        <f t="shared" si="99"/>
        <v/>
      </c>
      <c r="O1243" s="6"/>
      <c r="P1243" s="6"/>
    </row>
    <row r="1244" spans="1:16" x14ac:dyDescent="0.3">
      <c r="A1244" s="6"/>
      <c r="B1244" s="7"/>
      <c r="C1244" s="6"/>
      <c r="D1244" s="6"/>
      <c r="E1244" s="6"/>
      <c r="F1244" s="25"/>
      <c r="G1244" s="25" t="str">
        <f>IF(A1244="","",SUMIFS(Paradas_Detalhadas!$I:$I,Paradas_Detalhadas!$A:$A,A1244,Paradas_Detalhadas!$B:$B,B1244,Paradas_Detalhadas!$C:$C,C1244,Paradas_Detalhadas!$D:$D,E1244))</f>
        <v/>
      </c>
      <c r="H1244" s="26" t="str">
        <f t="shared" si="95"/>
        <v/>
      </c>
      <c r="I1244" s="10"/>
      <c r="J1244" s="10"/>
      <c r="K1244" s="10" t="str">
        <f t="shared" si="96"/>
        <v/>
      </c>
      <c r="L1244" s="10" t="str">
        <f t="shared" si="97"/>
        <v/>
      </c>
      <c r="M1244" s="10" t="str">
        <f t="shared" si="98"/>
        <v/>
      </c>
      <c r="N1244" s="10" t="str">
        <f t="shared" si="99"/>
        <v/>
      </c>
      <c r="O1244" s="6"/>
      <c r="P1244" s="6"/>
    </row>
    <row r="1245" spans="1:16" x14ac:dyDescent="0.3">
      <c r="A1245" s="6"/>
      <c r="B1245" s="7"/>
      <c r="C1245" s="6"/>
      <c r="D1245" s="6"/>
      <c r="E1245" s="6"/>
      <c r="F1245" s="25"/>
      <c r="G1245" s="25" t="str">
        <f>IF(A1245="","",SUMIFS(Paradas_Detalhadas!$I:$I,Paradas_Detalhadas!$A:$A,A1245,Paradas_Detalhadas!$B:$B,B1245,Paradas_Detalhadas!$C:$C,C1245,Paradas_Detalhadas!$D:$D,E1245))</f>
        <v/>
      </c>
      <c r="H1245" s="26" t="str">
        <f t="shared" si="95"/>
        <v/>
      </c>
      <c r="I1245" s="10"/>
      <c r="J1245" s="10"/>
      <c r="K1245" s="10" t="str">
        <f t="shared" si="96"/>
        <v/>
      </c>
      <c r="L1245" s="10" t="str">
        <f t="shared" si="97"/>
        <v/>
      </c>
      <c r="M1245" s="10" t="str">
        <f t="shared" si="98"/>
        <v/>
      </c>
      <c r="N1245" s="10" t="str">
        <f t="shared" si="99"/>
        <v/>
      </c>
      <c r="O1245" s="6"/>
      <c r="P1245" s="6"/>
    </row>
    <row r="1246" spans="1:16" x14ac:dyDescent="0.3">
      <c r="A1246" s="6"/>
      <c r="B1246" s="7"/>
      <c r="C1246" s="6"/>
      <c r="D1246" s="6"/>
      <c r="E1246" s="6"/>
      <c r="F1246" s="25"/>
      <c r="G1246" s="25" t="str">
        <f>IF(A1246="","",SUMIFS(Paradas_Detalhadas!$I:$I,Paradas_Detalhadas!$A:$A,A1246,Paradas_Detalhadas!$B:$B,B1246,Paradas_Detalhadas!$C:$C,C1246,Paradas_Detalhadas!$D:$D,E1246))</f>
        <v/>
      </c>
      <c r="H1246" s="26" t="str">
        <f t="shared" si="95"/>
        <v/>
      </c>
      <c r="I1246" s="10"/>
      <c r="J1246" s="10"/>
      <c r="K1246" s="10" t="str">
        <f t="shared" si="96"/>
        <v/>
      </c>
      <c r="L1246" s="10" t="str">
        <f t="shared" si="97"/>
        <v/>
      </c>
      <c r="M1246" s="10" t="str">
        <f t="shared" si="98"/>
        <v/>
      </c>
      <c r="N1246" s="10" t="str">
        <f t="shared" si="99"/>
        <v/>
      </c>
      <c r="O1246" s="6"/>
      <c r="P1246" s="6"/>
    </row>
    <row r="1247" spans="1:16" x14ac:dyDescent="0.3">
      <c r="A1247" s="6"/>
      <c r="B1247" s="7"/>
      <c r="C1247" s="6"/>
      <c r="D1247" s="6"/>
      <c r="E1247" s="6"/>
      <c r="F1247" s="25"/>
      <c r="G1247" s="25" t="str">
        <f>IF(A1247="","",SUMIFS(Paradas_Detalhadas!$I:$I,Paradas_Detalhadas!$A:$A,A1247,Paradas_Detalhadas!$B:$B,B1247,Paradas_Detalhadas!$C:$C,C1247,Paradas_Detalhadas!$D:$D,E1247))</f>
        <v/>
      </c>
      <c r="H1247" s="26" t="str">
        <f t="shared" si="95"/>
        <v/>
      </c>
      <c r="I1247" s="10"/>
      <c r="J1247" s="10"/>
      <c r="K1247" s="10" t="str">
        <f t="shared" si="96"/>
        <v/>
      </c>
      <c r="L1247" s="10" t="str">
        <f t="shared" si="97"/>
        <v/>
      </c>
      <c r="M1247" s="10" t="str">
        <f t="shared" si="98"/>
        <v/>
      </c>
      <c r="N1247" s="10" t="str">
        <f t="shared" si="99"/>
        <v/>
      </c>
      <c r="O1247" s="6"/>
      <c r="P1247" s="6"/>
    </row>
    <row r="1248" spans="1:16" x14ac:dyDescent="0.3">
      <c r="A1248" s="6"/>
      <c r="B1248" s="7"/>
      <c r="C1248" s="6"/>
      <c r="D1248" s="6"/>
      <c r="E1248" s="6"/>
      <c r="F1248" s="25"/>
      <c r="G1248" s="25" t="str">
        <f>IF(A1248="","",SUMIFS(Paradas_Detalhadas!$I:$I,Paradas_Detalhadas!$A:$A,A1248,Paradas_Detalhadas!$B:$B,B1248,Paradas_Detalhadas!$C:$C,C1248,Paradas_Detalhadas!$D:$D,E1248))</f>
        <v/>
      </c>
      <c r="H1248" s="26" t="str">
        <f t="shared" si="95"/>
        <v/>
      </c>
      <c r="I1248" s="10"/>
      <c r="J1248" s="10"/>
      <c r="K1248" s="10" t="str">
        <f t="shared" si="96"/>
        <v/>
      </c>
      <c r="L1248" s="10" t="str">
        <f t="shared" si="97"/>
        <v/>
      </c>
      <c r="M1248" s="10" t="str">
        <f t="shared" si="98"/>
        <v/>
      </c>
      <c r="N1248" s="10" t="str">
        <f t="shared" si="99"/>
        <v/>
      </c>
      <c r="O1248" s="6"/>
      <c r="P1248" s="6"/>
    </row>
    <row r="1249" spans="1:16" x14ac:dyDescent="0.3">
      <c r="A1249" s="6"/>
      <c r="B1249" s="7"/>
      <c r="C1249" s="6"/>
      <c r="D1249" s="6"/>
      <c r="E1249" s="6"/>
      <c r="F1249" s="25"/>
      <c r="G1249" s="25" t="str">
        <f>IF(A1249="","",SUMIFS(Paradas_Detalhadas!$I:$I,Paradas_Detalhadas!$A:$A,A1249,Paradas_Detalhadas!$B:$B,B1249,Paradas_Detalhadas!$C:$C,C1249,Paradas_Detalhadas!$D:$D,E1249))</f>
        <v/>
      </c>
      <c r="H1249" s="26" t="str">
        <f t="shared" si="95"/>
        <v/>
      </c>
      <c r="I1249" s="10"/>
      <c r="J1249" s="10"/>
      <c r="K1249" s="10" t="str">
        <f t="shared" si="96"/>
        <v/>
      </c>
      <c r="L1249" s="10" t="str">
        <f t="shared" si="97"/>
        <v/>
      </c>
      <c r="M1249" s="10" t="str">
        <f t="shared" si="98"/>
        <v/>
      </c>
      <c r="N1249" s="10" t="str">
        <f t="shared" si="99"/>
        <v/>
      </c>
      <c r="O1249" s="6"/>
      <c r="P1249" s="6"/>
    </row>
    <row r="1250" spans="1:16" x14ac:dyDescent="0.3">
      <c r="A1250" s="6"/>
      <c r="B1250" s="7"/>
      <c r="C1250" s="6"/>
      <c r="D1250" s="6"/>
      <c r="E1250" s="6"/>
      <c r="F1250" s="25"/>
      <c r="G1250" s="25" t="str">
        <f>IF(A1250="","",SUMIFS(Paradas_Detalhadas!$I:$I,Paradas_Detalhadas!$A:$A,A1250,Paradas_Detalhadas!$B:$B,B1250,Paradas_Detalhadas!$C:$C,C1250,Paradas_Detalhadas!$D:$D,E1250))</f>
        <v/>
      </c>
      <c r="H1250" s="26" t="str">
        <f t="shared" si="95"/>
        <v/>
      </c>
      <c r="I1250" s="10"/>
      <c r="J1250" s="10"/>
      <c r="K1250" s="10" t="str">
        <f t="shared" si="96"/>
        <v/>
      </c>
      <c r="L1250" s="10" t="str">
        <f t="shared" si="97"/>
        <v/>
      </c>
      <c r="M1250" s="10" t="str">
        <f t="shared" si="98"/>
        <v/>
      </c>
      <c r="N1250" s="10" t="str">
        <f t="shared" si="99"/>
        <v/>
      </c>
      <c r="O1250" s="6"/>
      <c r="P1250" s="6"/>
    </row>
    <row r="1251" spans="1:16" x14ac:dyDescent="0.3">
      <c r="A1251" s="6"/>
      <c r="B1251" s="7"/>
      <c r="C1251" s="6"/>
      <c r="D1251" s="6"/>
      <c r="E1251" s="6"/>
      <c r="F1251" s="25"/>
      <c r="G1251" s="25" t="str">
        <f>IF(A1251="","",SUMIFS(Paradas_Detalhadas!$I:$I,Paradas_Detalhadas!$A:$A,A1251,Paradas_Detalhadas!$B:$B,B1251,Paradas_Detalhadas!$C:$C,C1251,Paradas_Detalhadas!$D:$D,E1251))</f>
        <v/>
      </c>
      <c r="H1251" s="26" t="str">
        <f t="shared" si="95"/>
        <v/>
      </c>
      <c r="I1251" s="10"/>
      <c r="J1251" s="10"/>
      <c r="K1251" s="10" t="str">
        <f t="shared" si="96"/>
        <v/>
      </c>
      <c r="L1251" s="10" t="str">
        <f t="shared" si="97"/>
        <v/>
      </c>
      <c r="M1251" s="10" t="str">
        <f t="shared" si="98"/>
        <v/>
      </c>
      <c r="N1251" s="10" t="str">
        <f t="shared" si="99"/>
        <v/>
      </c>
      <c r="O1251" s="6"/>
      <c r="P1251" s="6"/>
    </row>
    <row r="1252" spans="1:16" x14ac:dyDescent="0.3">
      <c r="A1252" s="6"/>
      <c r="B1252" s="7"/>
      <c r="C1252" s="6"/>
      <c r="D1252" s="6"/>
      <c r="E1252" s="6"/>
      <c r="F1252" s="25"/>
      <c r="G1252" s="25" t="str">
        <f>IF(A1252="","",SUMIFS(Paradas_Detalhadas!$I:$I,Paradas_Detalhadas!$A:$A,A1252,Paradas_Detalhadas!$B:$B,B1252,Paradas_Detalhadas!$C:$C,C1252,Paradas_Detalhadas!$D:$D,E1252))</f>
        <v/>
      </c>
      <c r="H1252" s="26" t="str">
        <f t="shared" si="95"/>
        <v/>
      </c>
      <c r="I1252" s="10"/>
      <c r="J1252" s="10"/>
      <c r="K1252" s="10" t="str">
        <f t="shared" si="96"/>
        <v/>
      </c>
      <c r="L1252" s="10" t="str">
        <f t="shared" si="97"/>
        <v/>
      </c>
      <c r="M1252" s="10" t="str">
        <f t="shared" si="98"/>
        <v/>
      </c>
      <c r="N1252" s="10" t="str">
        <f t="shared" si="99"/>
        <v/>
      </c>
      <c r="O1252" s="6"/>
      <c r="P1252" s="6"/>
    </row>
    <row r="1253" spans="1:16" x14ac:dyDescent="0.3">
      <c r="A1253" s="6"/>
      <c r="B1253" s="7"/>
      <c r="C1253" s="6"/>
      <c r="D1253" s="6"/>
      <c r="E1253" s="6"/>
      <c r="F1253" s="25"/>
      <c r="G1253" s="25" t="str">
        <f>IF(A1253="","",SUMIFS(Paradas_Detalhadas!$I:$I,Paradas_Detalhadas!$A:$A,A1253,Paradas_Detalhadas!$B:$B,B1253,Paradas_Detalhadas!$C:$C,C1253,Paradas_Detalhadas!$D:$D,E1253))</f>
        <v/>
      </c>
      <c r="H1253" s="26" t="str">
        <f t="shared" si="95"/>
        <v/>
      </c>
      <c r="I1253" s="10"/>
      <c r="J1253" s="10"/>
      <c r="K1253" s="10" t="str">
        <f t="shared" si="96"/>
        <v/>
      </c>
      <c r="L1253" s="10" t="str">
        <f t="shared" si="97"/>
        <v/>
      </c>
      <c r="M1253" s="10" t="str">
        <f t="shared" si="98"/>
        <v/>
      </c>
      <c r="N1253" s="10" t="str">
        <f t="shared" si="99"/>
        <v/>
      </c>
      <c r="O1253" s="6"/>
      <c r="P1253" s="6"/>
    </row>
    <row r="1254" spans="1:16" x14ac:dyDescent="0.3">
      <c r="A1254" s="6"/>
      <c r="B1254" s="7"/>
      <c r="C1254" s="6"/>
      <c r="D1254" s="6"/>
      <c r="E1254" s="6"/>
      <c r="F1254" s="25"/>
      <c r="G1254" s="25" t="str">
        <f>IF(A1254="","",SUMIFS(Paradas_Detalhadas!$I:$I,Paradas_Detalhadas!$A:$A,A1254,Paradas_Detalhadas!$B:$B,B1254,Paradas_Detalhadas!$C:$C,C1254,Paradas_Detalhadas!$D:$D,E1254))</f>
        <v/>
      </c>
      <c r="H1254" s="26" t="str">
        <f t="shared" si="95"/>
        <v/>
      </c>
      <c r="I1254" s="10"/>
      <c r="J1254" s="10"/>
      <c r="K1254" s="10" t="str">
        <f t="shared" si="96"/>
        <v/>
      </c>
      <c r="L1254" s="10" t="str">
        <f t="shared" si="97"/>
        <v/>
      </c>
      <c r="M1254" s="10" t="str">
        <f t="shared" si="98"/>
        <v/>
      </c>
      <c r="N1254" s="10" t="str">
        <f t="shared" si="99"/>
        <v/>
      </c>
      <c r="O1254" s="6"/>
      <c r="P1254" s="6"/>
    </row>
    <row r="1255" spans="1:16" x14ac:dyDescent="0.3">
      <c r="A1255" s="6"/>
      <c r="B1255" s="7"/>
      <c r="C1255" s="6"/>
      <c r="D1255" s="6"/>
      <c r="E1255" s="6"/>
      <c r="F1255" s="25"/>
      <c r="G1255" s="25" t="str">
        <f>IF(A1255="","",SUMIFS(Paradas_Detalhadas!$I:$I,Paradas_Detalhadas!$A:$A,A1255,Paradas_Detalhadas!$B:$B,B1255,Paradas_Detalhadas!$C:$C,C1255,Paradas_Detalhadas!$D:$D,E1255))</f>
        <v/>
      </c>
      <c r="H1255" s="26" t="str">
        <f t="shared" si="95"/>
        <v/>
      </c>
      <c r="I1255" s="10"/>
      <c r="J1255" s="10"/>
      <c r="K1255" s="10" t="str">
        <f t="shared" si="96"/>
        <v/>
      </c>
      <c r="L1255" s="10" t="str">
        <f t="shared" si="97"/>
        <v/>
      </c>
      <c r="M1255" s="10" t="str">
        <f t="shared" si="98"/>
        <v/>
      </c>
      <c r="N1255" s="10" t="str">
        <f t="shared" si="99"/>
        <v/>
      </c>
      <c r="O1255" s="6"/>
      <c r="P1255" s="6"/>
    </row>
    <row r="1256" spans="1:16" x14ac:dyDescent="0.3">
      <c r="A1256" s="6"/>
      <c r="B1256" s="7"/>
      <c r="C1256" s="6"/>
      <c r="D1256" s="6"/>
      <c r="E1256" s="6"/>
      <c r="F1256" s="25"/>
      <c r="G1256" s="25" t="str">
        <f>IF(A1256="","",SUMIFS(Paradas_Detalhadas!$I:$I,Paradas_Detalhadas!$A:$A,A1256,Paradas_Detalhadas!$B:$B,B1256,Paradas_Detalhadas!$C:$C,C1256,Paradas_Detalhadas!$D:$D,E1256))</f>
        <v/>
      </c>
      <c r="H1256" s="26" t="str">
        <f t="shared" si="95"/>
        <v/>
      </c>
      <c r="I1256" s="10"/>
      <c r="J1256" s="10"/>
      <c r="K1256" s="10" t="str">
        <f t="shared" si="96"/>
        <v/>
      </c>
      <c r="L1256" s="10" t="str">
        <f t="shared" si="97"/>
        <v/>
      </c>
      <c r="M1256" s="10" t="str">
        <f t="shared" si="98"/>
        <v/>
      </c>
      <c r="N1256" s="10" t="str">
        <f t="shared" si="99"/>
        <v/>
      </c>
      <c r="O1256" s="6"/>
      <c r="P1256" s="6"/>
    </row>
    <row r="1257" spans="1:16" x14ac:dyDescent="0.3">
      <c r="A1257" s="6"/>
      <c r="B1257" s="7"/>
      <c r="C1257" s="6"/>
      <c r="D1257" s="6"/>
      <c r="E1257" s="6"/>
      <c r="F1257" s="25"/>
      <c r="G1257" s="25" t="str">
        <f>IF(A1257="","",SUMIFS(Paradas_Detalhadas!$I:$I,Paradas_Detalhadas!$A:$A,A1257,Paradas_Detalhadas!$B:$B,B1257,Paradas_Detalhadas!$C:$C,C1257,Paradas_Detalhadas!$D:$D,E1257))</f>
        <v/>
      </c>
      <c r="H1257" s="26" t="str">
        <f t="shared" si="95"/>
        <v/>
      </c>
      <c r="I1257" s="10"/>
      <c r="J1257" s="10"/>
      <c r="K1257" s="10" t="str">
        <f t="shared" si="96"/>
        <v/>
      </c>
      <c r="L1257" s="10" t="str">
        <f t="shared" si="97"/>
        <v/>
      </c>
      <c r="M1257" s="10" t="str">
        <f t="shared" si="98"/>
        <v/>
      </c>
      <c r="N1257" s="10" t="str">
        <f t="shared" si="99"/>
        <v/>
      </c>
      <c r="O1257" s="6"/>
      <c r="P1257" s="6"/>
    </row>
    <row r="1258" spans="1:16" x14ac:dyDescent="0.3">
      <c r="A1258" s="6"/>
      <c r="B1258" s="7"/>
      <c r="C1258" s="6"/>
      <c r="D1258" s="6"/>
      <c r="E1258" s="6"/>
      <c r="F1258" s="25"/>
      <c r="G1258" s="25" t="str">
        <f>IF(A1258="","",SUMIFS(Paradas_Detalhadas!$I:$I,Paradas_Detalhadas!$A:$A,A1258,Paradas_Detalhadas!$B:$B,B1258,Paradas_Detalhadas!$C:$C,C1258,Paradas_Detalhadas!$D:$D,E1258))</f>
        <v/>
      </c>
      <c r="H1258" s="26" t="str">
        <f t="shared" si="95"/>
        <v/>
      </c>
      <c r="I1258" s="10"/>
      <c r="J1258" s="10"/>
      <c r="K1258" s="10" t="str">
        <f t="shared" si="96"/>
        <v/>
      </c>
      <c r="L1258" s="10" t="str">
        <f t="shared" si="97"/>
        <v/>
      </c>
      <c r="M1258" s="10" t="str">
        <f t="shared" si="98"/>
        <v/>
      </c>
      <c r="N1258" s="10" t="str">
        <f t="shared" si="99"/>
        <v/>
      </c>
      <c r="O1258" s="6"/>
      <c r="P1258" s="6"/>
    </row>
    <row r="1259" spans="1:16" x14ac:dyDescent="0.3">
      <c r="A1259" s="6"/>
      <c r="B1259" s="7"/>
      <c r="C1259" s="6"/>
      <c r="D1259" s="6"/>
      <c r="E1259" s="6"/>
      <c r="F1259" s="25"/>
      <c r="G1259" s="25" t="str">
        <f>IF(A1259="","",SUMIFS(Paradas_Detalhadas!$I:$I,Paradas_Detalhadas!$A:$A,A1259,Paradas_Detalhadas!$B:$B,B1259,Paradas_Detalhadas!$C:$C,C1259,Paradas_Detalhadas!$D:$D,E1259))</f>
        <v/>
      </c>
      <c r="H1259" s="26" t="str">
        <f t="shared" si="95"/>
        <v/>
      </c>
      <c r="I1259" s="10"/>
      <c r="J1259" s="10"/>
      <c r="K1259" s="10" t="str">
        <f t="shared" si="96"/>
        <v/>
      </c>
      <c r="L1259" s="10" t="str">
        <f t="shared" si="97"/>
        <v/>
      </c>
      <c r="M1259" s="10" t="str">
        <f t="shared" si="98"/>
        <v/>
      </c>
      <c r="N1259" s="10" t="str">
        <f t="shared" si="99"/>
        <v/>
      </c>
      <c r="O1259" s="6"/>
      <c r="P1259" s="6"/>
    </row>
    <row r="1260" spans="1:16" x14ac:dyDescent="0.3">
      <c r="A1260" s="6"/>
      <c r="B1260" s="7"/>
      <c r="C1260" s="6"/>
      <c r="D1260" s="6"/>
      <c r="E1260" s="6"/>
      <c r="F1260" s="25"/>
      <c r="G1260" s="25" t="str">
        <f>IF(A1260="","",SUMIFS(Paradas_Detalhadas!$I:$I,Paradas_Detalhadas!$A:$A,A1260,Paradas_Detalhadas!$B:$B,B1260,Paradas_Detalhadas!$C:$C,C1260,Paradas_Detalhadas!$D:$D,E1260))</f>
        <v/>
      </c>
      <c r="H1260" s="26" t="str">
        <f t="shared" si="95"/>
        <v/>
      </c>
      <c r="I1260" s="10"/>
      <c r="J1260" s="10"/>
      <c r="K1260" s="10" t="str">
        <f t="shared" si="96"/>
        <v/>
      </c>
      <c r="L1260" s="10" t="str">
        <f t="shared" si="97"/>
        <v/>
      </c>
      <c r="M1260" s="10" t="str">
        <f t="shared" si="98"/>
        <v/>
      </c>
      <c r="N1260" s="10" t="str">
        <f t="shared" si="99"/>
        <v/>
      </c>
      <c r="O1260" s="6"/>
      <c r="P1260" s="6"/>
    </row>
    <row r="1261" spans="1:16" x14ac:dyDescent="0.3">
      <c r="A1261" s="6"/>
      <c r="B1261" s="7"/>
      <c r="C1261" s="6"/>
      <c r="D1261" s="6"/>
      <c r="E1261" s="6"/>
      <c r="F1261" s="25"/>
      <c r="G1261" s="25" t="str">
        <f>IF(A1261="","",SUMIFS(Paradas_Detalhadas!$I:$I,Paradas_Detalhadas!$A:$A,A1261,Paradas_Detalhadas!$B:$B,B1261,Paradas_Detalhadas!$C:$C,C1261,Paradas_Detalhadas!$D:$D,E1261))</f>
        <v/>
      </c>
      <c r="H1261" s="26" t="str">
        <f t="shared" si="95"/>
        <v/>
      </c>
      <c r="I1261" s="10"/>
      <c r="J1261" s="10"/>
      <c r="K1261" s="10" t="str">
        <f t="shared" si="96"/>
        <v/>
      </c>
      <c r="L1261" s="10" t="str">
        <f t="shared" si="97"/>
        <v/>
      </c>
      <c r="M1261" s="10" t="str">
        <f t="shared" si="98"/>
        <v/>
      </c>
      <c r="N1261" s="10" t="str">
        <f t="shared" si="99"/>
        <v/>
      </c>
      <c r="O1261" s="6"/>
      <c r="P1261" s="6"/>
    </row>
    <row r="1262" spans="1:16" x14ac:dyDescent="0.3">
      <c r="A1262" s="6"/>
      <c r="B1262" s="7"/>
      <c r="C1262" s="6"/>
      <c r="D1262" s="6"/>
      <c r="E1262" s="6"/>
      <c r="F1262" s="25"/>
      <c r="G1262" s="25" t="str">
        <f>IF(A1262="","",SUMIFS(Paradas_Detalhadas!$I:$I,Paradas_Detalhadas!$A:$A,A1262,Paradas_Detalhadas!$B:$B,B1262,Paradas_Detalhadas!$C:$C,C1262,Paradas_Detalhadas!$D:$D,E1262))</f>
        <v/>
      </c>
      <c r="H1262" s="26" t="str">
        <f t="shared" ref="H1262:H1325" si="100">IF(OR(F1262="",G1262=""),"",MAX(F1262-G1262,0))</f>
        <v/>
      </c>
      <c r="I1262" s="10"/>
      <c r="J1262" s="10"/>
      <c r="K1262" s="10" t="str">
        <f t="shared" ref="K1262:K1325" si="101">IF(AND(I1262="",J1262=""),"",SUM(I1262:J1262))</f>
        <v/>
      </c>
      <c r="L1262" s="10" t="str">
        <f t="shared" ref="L1262:L1325" si="102">IFERROR(K1262/H1262,"")</f>
        <v/>
      </c>
      <c r="M1262" s="10" t="str">
        <f t="shared" ref="M1262:M1325" si="103">IFERROR(I1262/H1262,"")</f>
        <v/>
      </c>
      <c r="N1262" s="10" t="str">
        <f t="shared" ref="N1262:N1325" si="104">IFERROR(J1262/H1262,"")</f>
        <v/>
      </c>
      <c r="O1262" s="6"/>
      <c r="P1262" s="6"/>
    </row>
    <row r="1263" spans="1:16" x14ac:dyDescent="0.3">
      <c r="A1263" s="6"/>
      <c r="B1263" s="7"/>
      <c r="C1263" s="6"/>
      <c r="D1263" s="6"/>
      <c r="E1263" s="6"/>
      <c r="F1263" s="25"/>
      <c r="G1263" s="25" t="str">
        <f>IF(A1263="","",SUMIFS(Paradas_Detalhadas!$I:$I,Paradas_Detalhadas!$A:$A,A1263,Paradas_Detalhadas!$B:$B,B1263,Paradas_Detalhadas!$C:$C,C1263,Paradas_Detalhadas!$D:$D,E1263))</f>
        <v/>
      </c>
      <c r="H1263" s="26" t="str">
        <f t="shared" si="100"/>
        <v/>
      </c>
      <c r="I1263" s="10"/>
      <c r="J1263" s="10"/>
      <c r="K1263" s="10" t="str">
        <f t="shared" si="101"/>
        <v/>
      </c>
      <c r="L1263" s="10" t="str">
        <f t="shared" si="102"/>
        <v/>
      </c>
      <c r="M1263" s="10" t="str">
        <f t="shared" si="103"/>
        <v/>
      </c>
      <c r="N1263" s="10" t="str">
        <f t="shared" si="104"/>
        <v/>
      </c>
      <c r="O1263" s="6"/>
      <c r="P1263" s="6"/>
    </row>
    <row r="1264" spans="1:16" x14ac:dyDescent="0.3">
      <c r="A1264" s="6"/>
      <c r="B1264" s="7"/>
      <c r="C1264" s="6"/>
      <c r="D1264" s="6"/>
      <c r="E1264" s="6"/>
      <c r="F1264" s="25"/>
      <c r="G1264" s="25" t="str">
        <f>IF(A1264="","",SUMIFS(Paradas_Detalhadas!$I:$I,Paradas_Detalhadas!$A:$A,A1264,Paradas_Detalhadas!$B:$B,B1264,Paradas_Detalhadas!$C:$C,C1264,Paradas_Detalhadas!$D:$D,E1264))</f>
        <v/>
      </c>
      <c r="H1264" s="26" t="str">
        <f t="shared" si="100"/>
        <v/>
      </c>
      <c r="I1264" s="10"/>
      <c r="J1264" s="10"/>
      <c r="K1264" s="10" t="str">
        <f t="shared" si="101"/>
        <v/>
      </c>
      <c r="L1264" s="10" t="str">
        <f t="shared" si="102"/>
        <v/>
      </c>
      <c r="M1264" s="10" t="str">
        <f t="shared" si="103"/>
        <v/>
      </c>
      <c r="N1264" s="10" t="str">
        <f t="shared" si="104"/>
        <v/>
      </c>
      <c r="O1264" s="6"/>
      <c r="P1264" s="6"/>
    </row>
    <row r="1265" spans="1:16" x14ac:dyDescent="0.3">
      <c r="A1265" s="6"/>
      <c r="B1265" s="7"/>
      <c r="C1265" s="6"/>
      <c r="D1265" s="6"/>
      <c r="E1265" s="6"/>
      <c r="F1265" s="25"/>
      <c r="G1265" s="25" t="str">
        <f>IF(A1265="","",SUMIFS(Paradas_Detalhadas!$I:$I,Paradas_Detalhadas!$A:$A,A1265,Paradas_Detalhadas!$B:$B,B1265,Paradas_Detalhadas!$C:$C,C1265,Paradas_Detalhadas!$D:$D,E1265))</f>
        <v/>
      </c>
      <c r="H1265" s="26" t="str">
        <f t="shared" si="100"/>
        <v/>
      </c>
      <c r="I1265" s="10"/>
      <c r="J1265" s="10"/>
      <c r="K1265" s="10" t="str">
        <f t="shared" si="101"/>
        <v/>
      </c>
      <c r="L1265" s="10" t="str">
        <f t="shared" si="102"/>
        <v/>
      </c>
      <c r="M1265" s="10" t="str">
        <f t="shared" si="103"/>
        <v/>
      </c>
      <c r="N1265" s="10" t="str">
        <f t="shared" si="104"/>
        <v/>
      </c>
      <c r="O1265" s="6"/>
      <c r="P1265" s="6"/>
    </row>
    <row r="1266" spans="1:16" x14ac:dyDescent="0.3">
      <c r="A1266" s="6"/>
      <c r="B1266" s="7"/>
      <c r="C1266" s="6"/>
      <c r="D1266" s="6"/>
      <c r="E1266" s="6"/>
      <c r="F1266" s="25"/>
      <c r="G1266" s="25" t="str">
        <f>IF(A1266="","",SUMIFS(Paradas_Detalhadas!$I:$I,Paradas_Detalhadas!$A:$A,A1266,Paradas_Detalhadas!$B:$B,B1266,Paradas_Detalhadas!$C:$C,C1266,Paradas_Detalhadas!$D:$D,E1266))</f>
        <v/>
      </c>
      <c r="H1266" s="26" t="str">
        <f t="shared" si="100"/>
        <v/>
      </c>
      <c r="I1266" s="10"/>
      <c r="J1266" s="10"/>
      <c r="K1266" s="10" t="str">
        <f t="shared" si="101"/>
        <v/>
      </c>
      <c r="L1266" s="10" t="str">
        <f t="shared" si="102"/>
        <v/>
      </c>
      <c r="M1266" s="10" t="str">
        <f t="shared" si="103"/>
        <v/>
      </c>
      <c r="N1266" s="10" t="str">
        <f t="shared" si="104"/>
        <v/>
      </c>
      <c r="O1266" s="6"/>
      <c r="P1266" s="6"/>
    </row>
    <row r="1267" spans="1:16" x14ac:dyDescent="0.3">
      <c r="A1267" s="6"/>
      <c r="B1267" s="7"/>
      <c r="C1267" s="6"/>
      <c r="D1267" s="6"/>
      <c r="E1267" s="6"/>
      <c r="F1267" s="25"/>
      <c r="G1267" s="25" t="str">
        <f>IF(A1267="","",SUMIFS(Paradas_Detalhadas!$I:$I,Paradas_Detalhadas!$A:$A,A1267,Paradas_Detalhadas!$B:$B,B1267,Paradas_Detalhadas!$C:$C,C1267,Paradas_Detalhadas!$D:$D,E1267))</f>
        <v/>
      </c>
      <c r="H1267" s="26" t="str">
        <f t="shared" si="100"/>
        <v/>
      </c>
      <c r="I1267" s="10"/>
      <c r="J1267" s="10"/>
      <c r="K1267" s="10" t="str">
        <f t="shared" si="101"/>
        <v/>
      </c>
      <c r="L1267" s="10" t="str">
        <f t="shared" si="102"/>
        <v/>
      </c>
      <c r="M1267" s="10" t="str">
        <f t="shared" si="103"/>
        <v/>
      </c>
      <c r="N1267" s="10" t="str">
        <f t="shared" si="104"/>
        <v/>
      </c>
      <c r="O1267" s="6"/>
      <c r="P1267" s="6"/>
    </row>
    <row r="1268" spans="1:16" x14ac:dyDescent="0.3">
      <c r="A1268" s="6"/>
      <c r="B1268" s="7"/>
      <c r="C1268" s="6"/>
      <c r="D1268" s="6"/>
      <c r="E1268" s="6"/>
      <c r="F1268" s="25"/>
      <c r="G1268" s="25" t="str">
        <f>IF(A1268="","",SUMIFS(Paradas_Detalhadas!$I:$I,Paradas_Detalhadas!$A:$A,A1268,Paradas_Detalhadas!$B:$B,B1268,Paradas_Detalhadas!$C:$C,C1268,Paradas_Detalhadas!$D:$D,E1268))</f>
        <v/>
      </c>
      <c r="H1268" s="26" t="str">
        <f t="shared" si="100"/>
        <v/>
      </c>
      <c r="I1268" s="10"/>
      <c r="J1268" s="10"/>
      <c r="K1268" s="10" t="str">
        <f t="shared" si="101"/>
        <v/>
      </c>
      <c r="L1268" s="10" t="str">
        <f t="shared" si="102"/>
        <v/>
      </c>
      <c r="M1268" s="10" t="str">
        <f t="shared" si="103"/>
        <v/>
      </c>
      <c r="N1268" s="10" t="str">
        <f t="shared" si="104"/>
        <v/>
      </c>
      <c r="O1268" s="6"/>
      <c r="P1268" s="6"/>
    </row>
    <row r="1269" spans="1:16" x14ac:dyDescent="0.3">
      <c r="A1269" s="6"/>
      <c r="B1269" s="7"/>
      <c r="C1269" s="6"/>
      <c r="D1269" s="6"/>
      <c r="E1269" s="6"/>
      <c r="F1269" s="25"/>
      <c r="G1269" s="25" t="str">
        <f>IF(A1269="","",SUMIFS(Paradas_Detalhadas!$I:$I,Paradas_Detalhadas!$A:$A,A1269,Paradas_Detalhadas!$B:$B,B1269,Paradas_Detalhadas!$C:$C,C1269,Paradas_Detalhadas!$D:$D,E1269))</f>
        <v/>
      </c>
      <c r="H1269" s="26" t="str">
        <f t="shared" si="100"/>
        <v/>
      </c>
      <c r="I1269" s="10"/>
      <c r="J1269" s="10"/>
      <c r="K1269" s="10" t="str">
        <f t="shared" si="101"/>
        <v/>
      </c>
      <c r="L1269" s="10" t="str">
        <f t="shared" si="102"/>
        <v/>
      </c>
      <c r="M1269" s="10" t="str">
        <f t="shared" si="103"/>
        <v/>
      </c>
      <c r="N1269" s="10" t="str">
        <f t="shared" si="104"/>
        <v/>
      </c>
      <c r="O1269" s="6"/>
      <c r="P1269" s="6"/>
    </row>
    <row r="1270" spans="1:16" x14ac:dyDescent="0.3">
      <c r="A1270" s="6"/>
      <c r="B1270" s="7"/>
      <c r="C1270" s="6"/>
      <c r="D1270" s="6"/>
      <c r="E1270" s="6"/>
      <c r="F1270" s="25"/>
      <c r="G1270" s="25" t="str">
        <f>IF(A1270="","",SUMIFS(Paradas_Detalhadas!$I:$I,Paradas_Detalhadas!$A:$A,A1270,Paradas_Detalhadas!$B:$B,B1270,Paradas_Detalhadas!$C:$C,C1270,Paradas_Detalhadas!$D:$D,E1270))</f>
        <v/>
      </c>
      <c r="H1270" s="26" t="str">
        <f t="shared" si="100"/>
        <v/>
      </c>
      <c r="I1270" s="10"/>
      <c r="J1270" s="10"/>
      <c r="K1270" s="10" t="str">
        <f t="shared" si="101"/>
        <v/>
      </c>
      <c r="L1270" s="10" t="str">
        <f t="shared" si="102"/>
        <v/>
      </c>
      <c r="M1270" s="10" t="str">
        <f t="shared" si="103"/>
        <v/>
      </c>
      <c r="N1270" s="10" t="str">
        <f t="shared" si="104"/>
        <v/>
      </c>
      <c r="O1270" s="6"/>
      <c r="P1270" s="6"/>
    </row>
    <row r="1271" spans="1:16" x14ac:dyDescent="0.3">
      <c r="A1271" s="6"/>
      <c r="B1271" s="7"/>
      <c r="C1271" s="6"/>
      <c r="D1271" s="6"/>
      <c r="E1271" s="6"/>
      <c r="F1271" s="25"/>
      <c r="G1271" s="25" t="str">
        <f>IF(A1271="","",SUMIFS(Paradas_Detalhadas!$I:$I,Paradas_Detalhadas!$A:$A,A1271,Paradas_Detalhadas!$B:$B,B1271,Paradas_Detalhadas!$C:$C,C1271,Paradas_Detalhadas!$D:$D,E1271))</f>
        <v/>
      </c>
      <c r="H1271" s="26" t="str">
        <f t="shared" si="100"/>
        <v/>
      </c>
      <c r="I1271" s="10"/>
      <c r="J1271" s="10"/>
      <c r="K1271" s="10" t="str">
        <f t="shared" si="101"/>
        <v/>
      </c>
      <c r="L1271" s="10" t="str">
        <f t="shared" si="102"/>
        <v/>
      </c>
      <c r="M1271" s="10" t="str">
        <f t="shared" si="103"/>
        <v/>
      </c>
      <c r="N1271" s="10" t="str">
        <f t="shared" si="104"/>
        <v/>
      </c>
      <c r="O1271" s="6"/>
      <c r="P1271" s="6"/>
    </row>
    <row r="1272" spans="1:16" x14ac:dyDescent="0.3">
      <c r="A1272" s="6"/>
      <c r="B1272" s="7"/>
      <c r="C1272" s="6"/>
      <c r="D1272" s="6"/>
      <c r="E1272" s="6"/>
      <c r="F1272" s="25"/>
      <c r="G1272" s="25" t="str">
        <f>IF(A1272="","",SUMIFS(Paradas_Detalhadas!$I:$I,Paradas_Detalhadas!$A:$A,A1272,Paradas_Detalhadas!$B:$B,B1272,Paradas_Detalhadas!$C:$C,C1272,Paradas_Detalhadas!$D:$D,E1272))</f>
        <v/>
      </c>
      <c r="H1272" s="26" t="str">
        <f t="shared" si="100"/>
        <v/>
      </c>
      <c r="I1272" s="10"/>
      <c r="J1272" s="10"/>
      <c r="K1272" s="10" t="str">
        <f t="shared" si="101"/>
        <v/>
      </c>
      <c r="L1272" s="10" t="str">
        <f t="shared" si="102"/>
        <v/>
      </c>
      <c r="M1272" s="10" t="str">
        <f t="shared" si="103"/>
        <v/>
      </c>
      <c r="N1272" s="10" t="str">
        <f t="shared" si="104"/>
        <v/>
      </c>
      <c r="O1272" s="6"/>
      <c r="P1272" s="6"/>
    </row>
    <row r="1273" spans="1:16" x14ac:dyDescent="0.3">
      <c r="A1273" s="6"/>
      <c r="B1273" s="7"/>
      <c r="C1273" s="6"/>
      <c r="D1273" s="6"/>
      <c r="E1273" s="6"/>
      <c r="F1273" s="25"/>
      <c r="G1273" s="25" t="str">
        <f>IF(A1273="","",SUMIFS(Paradas_Detalhadas!$I:$I,Paradas_Detalhadas!$A:$A,A1273,Paradas_Detalhadas!$B:$B,B1273,Paradas_Detalhadas!$C:$C,C1273,Paradas_Detalhadas!$D:$D,E1273))</f>
        <v/>
      </c>
      <c r="H1273" s="26" t="str">
        <f t="shared" si="100"/>
        <v/>
      </c>
      <c r="I1273" s="10"/>
      <c r="J1273" s="10"/>
      <c r="K1273" s="10" t="str">
        <f t="shared" si="101"/>
        <v/>
      </c>
      <c r="L1273" s="10" t="str">
        <f t="shared" si="102"/>
        <v/>
      </c>
      <c r="M1273" s="10" t="str">
        <f t="shared" si="103"/>
        <v/>
      </c>
      <c r="N1273" s="10" t="str">
        <f t="shared" si="104"/>
        <v/>
      </c>
      <c r="O1273" s="6"/>
      <c r="P1273" s="6"/>
    </row>
    <row r="1274" spans="1:16" x14ac:dyDescent="0.3">
      <c r="A1274" s="6"/>
      <c r="B1274" s="7"/>
      <c r="C1274" s="6"/>
      <c r="D1274" s="6"/>
      <c r="E1274" s="6"/>
      <c r="F1274" s="25"/>
      <c r="G1274" s="25" t="str">
        <f>IF(A1274="","",SUMIFS(Paradas_Detalhadas!$I:$I,Paradas_Detalhadas!$A:$A,A1274,Paradas_Detalhadas!$B:$B,B1274,Paradas_Detalhadas!$C:$C,C1274,Paradas_Detalhadas!$D:$D,E1274))</f>
        <v/>
      </c>
      <c r="H1274" s="26" t="str">
        <f t="shared" si="100"/>
        <v/>
      </c>
      <c r="I1274" s="10"/>
      <c r="J1274" s="10"/>
      <c r="K1274" s="10" t="str">
        <f t="shared" si="101"/>
        <v/>
      </c>
      <c r="L1274" s="10" t="str">
        <f t="shared" si="102"/>
        <v/>
      </c>
      <c r="M1274" s="10" t="str">
        <f t="shared" si="103"/>
        <v/>
      </c>
      <c r="N1274" s="10" t="str">
        <f t="shared" si="104"/>
        <v/>
      </c>
      <c r="O1274" s="6"/>
      <c r="P1274" s="6"/>
    </row>
    <row r="1275" spans="1:16" x14ac:dyDescent="0.3">
      <c r="A1275" s="6"/>
      <c r="B1275" s="7"/>
      <c r="C1275" s="6"/>
      <c r="D1275" s="6"/>
      <c r="E1275" s="6"/>
      <c r="F1275" s="25"/>
      <c r="G1275" s="25" t="str">
        <f>IF(A1275="","",SUMIFS(Paradas_Detalhadas!$I:$I,Paradas_Detalhadas!$A:$A,A1275,Paradas_Detalhadas!$B:$B,B1275,Paradas_Detalhadas!$C:$C,C1275,Paradas_Detalhadas!$D:$D,E1275))</f>
        <v/>
      </c>
      <c r="H1275" s="26" t="str">
        <f t="shared" si="100"/>
        <v/>
      </c>
      <c r="I1275" s="10"/>
      <c r="J1275" s="10"/>
      <c r="K1275" s="10" t="str">
        <f t="shared" si="101"/>
        <v/>
      </c>
      <c r="L1275" s="10" t="str">
        <f t="shared" si="102"/>
        <v/>
      </c>
      <c r="M1275" s="10" t="str">
        <f t="shared" si="103"/>
        <v/>
      </c>
      <c r="N1275" s="10" t="str">
        <f t="shared" si="104"/>
        <v/>
      </c>
      <c r="O1275" s="6"/>
      <c r="P1275" s="6"/>
    </row>
    <row r="1276" spans="1:16" x14ac:dyDescent="0.3">
      <c r="A1276" s="6"/>
      <c r="B1276" s="7"/>
      <c r="C1276" s="6"/>
      <c r="D1276" s="6"/>
      <c r="E1276" s="6"/>
      <c r="F1276" s="25"/>
      <c r="G1276" s="25" t="str">
        <f>IF(A1276="","",SUMIFS(Paradas_Detalhadas!$I:$I,Paradas_Detalhadas!$A:$A,A1276,Paradas_Detalhadas!$B:$B,B1276,Paradas_Detalhadas!$C:$C,C1276,Paradas_Detalhadas!$D:$D,E1276))</f>
        <v/>
      </c>
      <c r="H1276" s="26" t="str">
        <f t="shared" si="100"/>
        <v/>
      </c>
      <c r="I1276" s="10"/>
      <c r="J1276" s="10"/>
      <c r="K1276" s="10" t="str">
        <f t="shared" si="101"/>
        <v/>
      </c>
      <c r="L1276" s="10" t="str">
        <f t="shared" si="102"/>
        <v/>
      </c>
      <c r="M1276" s="10" t="str">
        <f t="shared" si="103"/>
        <v/>
      </c>
      <c r="N1276" s="10" t="str">
        <f t="shared" si="104"/>
        <v/>
      </c>
      <c r="O1276" s="6"/>
      <c r="P1276" s="6"/>
    </row>
    <row r="1277" spans="1:16" x14ac:dyDescent="0.3">
      <c r="A1277" s="6"/>
      <c r="B1277" s="7"/>
      <c r="C1277" s="6"/>
      <c r="D1277" s="6"/>
      <c r="E1277" s="6"/>
      <c r="F1277" s="25"/>
      <c r="G1277" s="25" t="str">
        <f>IF(A1277="","",SUMIFS(Paradas_Detalhadas!$I:$I,Paradas_Detalhadas!$A:$A,A1277,Paradas_Detalhadas!$B:$B,B1277,Paradas_Detalhadas!$C:$C,C1277,Paradas_Detalhadas!$D:$D,E1277))</f>
        <v/>
      </c>
      <c r="H1277" s="26" t="str">
        <f t="shared" si="100"/>
        <v/>
      </c>
      <c r="I1277" s="10"/>
      <c r="J1277" s="10"/>
      <c r="K1277" s="10" t="str">
        <f t="shared" si="101"/>
        <v/>
      </c>
      <c r="L1277" s="10" t="str">
        <f t="shared" si="102"/>
        <v/>
      </c>
      <c r="M1277" s="10" t="str">
        <f t="shared" si="103"/>
        <v/>
      </c>
      <c r="N1277" s="10" t="str">
        <f t="shared" si="104"/>
        <v/>
      </c>
      <c r="O1277" s="6"/>
      <c r="P1277" s="6"/>
    </row>
    <row r="1278" spans="1:16" x14ac:dyDescent="0.3">
      <c r="A1278" s="6"/>
      <c r="B1278" s="7"/>
      <c r="C1278" s="6"/>
      <c r="D1278" s="6"/>
      <c r="E1278" s="6"/>
      <c r="F1278" s="25"/>
      <c r="G1278" s="25" t="str">
        <f>IF(A1278="","",SUMIFS(Paradas_Detalhadas!$I:$I,Paradas_Detalhadas!$A:$A,A1278,Paradas_Detalhadas!$B:$B,B1278,Paradas_Detalhadas!$C:$C,C1278,Paradas_Detalhadas!$D:$D,E1278))</f>
        <v/>
      </c>
      <c r="H1278" s="26" t="str">
        <f t="shared" si="100"/>
        <v/>
      </c>
      <c r="I1278" s="10"/>
      <c r="J1278" s="10"/>
      <c r="K1278" s="10" t="str">
        <f t="shared" si="101"/>
        <v/>
      </c>
      <c r="L1278" s="10" t="str">
        <f t="shared" si="102"/>
        <v/>
      </c>
      <c r="M1278" s="10" t="str">
        <f t="shared" si="103"/>
        <v/>
      </c>
      <c r="N1278" s="10" t="str">
        <f t="shared" si="104"/>
        <v/>
      </c>
      <c r="O1278" s="6"/>
      <c r="P1278" s="6"/>
    </row>
    <row r="1279" spans="1:16" x14ac:dyDescent="0.3">
      <c r="A1279" s="6"/>
      <c r="B1279" s="7"/>
      <c r="C1279" s="6"/>
      <c r="D1279" s="6"/>
      <c r="E1279" s="6"/>
      <c r="F1279" s="25"/>
      <c r="G1279" s="25" t="str">
        <f>IF(A1279="","",SUMIFS(Paradas_Detalhadas!$I:$I,Paradas_Detalhadas!$A:$A,A1279,Paradas_Detalhadas!$B:$B,B1279,Paradas_Detalhadas!$C:$C,C1279,Paradas_Detalhadas!$D:$D,E1279))</f>
        <v/>
      </c>
      <c r="H1279" s="26" t="str">
        <f t="shared" si="100"/>
        <v/>
      </c>
      <c r="I1279" s="10"/>
      <c r="J1279" s="10"/>
      <c r="K1279" s="10" t="str">
        <f t="shared" si="101"/>
        <v/>
      </c>
      <c r="L1279" s="10" t="str">
        <f t="shared" si="102"/>
        <v/>
      </c>
      <c r="M1279" s="10" t="str">
        <f t="shared" si="103"/>
        <v/>
      </c>
      <c r="N1279" s="10" t="str">
        <f t="shared" si="104"/>
        <v/>
      </c>
      <c r="O1279" s="6"/>
      <c r="P1279" s="6"/>
    </row>
    <row r="1280" spans="1:16" x14ac:dyDescent="0.3">
      <c r="A1280" s="6"/>
      <c r="B1280" s="7"/>
      <c r="C1280" s="6"/>
      <c r="D1280" s="6"/>
      <c r="E1280" s="6"/>
      <c r="F1280" s="25"/>
      <c r="G1280" s="25" t="str">
        <f>IF(A1280="","",SUMIFS(Paradas_Detalhadas!$I:$I,Paradas_Detalhadas!$A:$A,A1280,Paradas_Detalhadas!$B:$B,B1280,Paradas_Detalhadas!$C:$C,C1280,Paradas_Detalhadas!$D:$D,E1280))</f>
        <v/>
      </c>
      <c r="H1280" s="26" t="str">
        <f t="shared" si="100"/>
        <v/>
      </c>
      <c r="I1280" s="10"/>
      <c r="J1280" s="10"/>
      <c r="K1280" s="10" t="str">
        <f t="shared" si="101"/>
        <v/>
      </c>
      <c r="L1280" s="10" t="str">
        <f t="shared" si="102"/>
        <v/>
      </c>
      <c r="M1280" s="10" t="str">
        <f t="shared" si="103"/>
        <v/>
      </c>
      <c r="N1280" s="10" t="str">
        <f t="shared" si="104"/>
        <v/>
      </c>
      <c r="O1280" s="6"/>
      <c r="P1280" s="6"/>
    </row>
    <row r="1281" spans="1:16" x14ac:dyDescent="0.3">
      <c r="A1281" s="6"/>
      <c r="B1281" s="7"/>
      <c r="C1281" s="6"/>
      <c r="D1281" s="6"/>
      <c r="E1281" s="6"/>
      <c r="F1281" s="25"/>
      <c r="G1281" s="25" t="str">
        <f>IF(A1281="","",SUMIFS(Paradas_Detalhadas!$I:$I,Paradas_Detalhadas!$A:$A,A1281,Paradas_Detalhadas!$B:$B,B1281,Paradas_Detalhadas!$C:$C,C1281,Paradas_Detalhadas!$D:$D,E1281))</f>
        <v/>
      </c>
      <c r="H1281" s="26" t="str">
        <f t="shared" si="100"/>
        <v/>
      </c>
      <c r="I1281" s="10"/>
      <c r="J1281" s="10"/>
      <c r="K1281" s="10" t="str">
        <f t="shared" si="101"/>
        <v/>
      </c>
      <c r="L1281" s="10" t="str">
        <f t="shared" si="102"/>
        <v/>
      </c>
      <c r="M1281" s="10" t="str">
        <f t="shared" si="103"/>
        <v/>
      </c>
      <c r="N1281" s="10" t="str">
        <f t="shared" si="104"/>
        <v/>
      </c>
      <c r="O1281" s="6"/>
      <c r="P1281" s="6"/>
    </row>
    <row r="1282" spans="1:16" x14ac:dyDescent="0.3">
      <c r="A1282" s="6"/>
      <c r="B1282" s="7"/>
      <c r="C1282" s="6"/>
      <c r="D1282" s="6"/>
      <c r="E1282" s="6"/>
      <c r="F1282" s="25"/>
      <c r="G1282" s="25" t="str">
        <f>IF(A1282="","",SUMIFS(Paradas_Detalhadas!$I:$I,Paradas_Detalhadas!$A:$A,A1282,Paradas_Detalhadas!$B:$B,B1282,Paradas_Detalhadas!$C:$C,C1282,Paradas_Detalhadas!$D:$D,E1282))</f>
        <v/>
      </c>
      <c r="H1282" s="26" t="str">
        <f t="shared" si="100"/>
        <v/>
      </c>
      <c r="I1282" s="10"/>
      <c r="J1282" s="10"/>
      <c r="K1282" s="10" t="str">
        <f t="shared" si="101"/>
        <v/>
      </c>
      <c r="L1282" s="10" t="str">
        <f t="shared" si="102"/>
        <v/>
      </c>
      <c r="M1282" s="10" t="str">
        <f t="shared" si="103"/>
        <v/>
      </c>
      <c r="N1282" s="10" t="str">
        <f t="shared" si="104"/>
        <v/>
      </c>
      <c r="O1282" s="6"/>
      <c r="P1282" s="6"/>
    </row>
    <row r="1283" spans="1:16" x14ac:dyDescent="0.3">
      <c r="A1283" s="6"/>
      <c r="B1283" s="7"/>
      <c r="C1283" s="6"/>
      <c r="D1283" s="6"/>
      <c r="E1283" s="6"/>
      <c r="F1283" s="25"/>
      <c r="G1283" s="25" t="str">
        <f>IF(A1283="","",SUMIFS(Paradas_Detalhadas!$I:$I,Paradas_Detalhadas!$A:$A,A1283,Paradas_Detalhadas!$B:$B,B1283,Paradas_Detalhadas!$C:$C,C1283,Paradas_Detalhadas!$D:$D,E1283))</f>
        <v/>
      </c>
      <c r="H1283" s="26" t="str">
        <f t="shared" si="100"/>
        <v/>
      </c>
      <c r="I1283" s="10"/>
      <c r="J1283" s="10"/>
      <c r="K1283" s="10" t="str">
        <f t="shared" si="101"/>
        <v/>
      </c>
      <c r="L1283" s="10" t="str">
        <f t="shared" si="102"/>
        <v/>
      </c>
      <c r="M1283" s="10" t="str">
        <f t="shared" si="103"/>
        <v/>
      </c>
      <c r="N1283" s="10" t="str">
        <f t="shared" si="104"/>
        <v/>
      </c>
      <c r="O1283" s="6"/>
      <c r="P1283" s="6"/>
    </row>
    <row r="1284" spans="1:16" x14ac:dyDescent="0.3">
      <c r="A1284" s="6"/>
      <c r="B1284" s="7"/>
      <c r="C1284" s="6"/>
      <c r="D1284" s="6"/>
      <c r="E1284" s="6"/>
      <c r="F1284" s="25"/>
      <c r="G1284" s="25" t="str">
        <f>IF(A1284="","",SUMIFS(Paradas_Detalhadas!$I:$I,Paradas_Detalhadas!$A:$A,A1284,Paradas_Detalhadas!$B:$B,B1284,Paradas_Detalhadas!$C:$C,C1284,Paradas_Detalhadas!$D:$D,E1284))</f>
        <v/>
      </c>
      <c r="H1284" s="26" t="str">
        <f t="shared" si="100"/>
        <v/>
      </c>
      <c r="I1284" s="10"/>
      <c r="J1284" s="10"/>
      <c r="K1284" s="10" t="str">
        <f t="shared" si="101"/>
        <v/>
      </c>
      <c r="L1284" s="10" t="str">
        <f t="shared" si="102"/>
        <v/>
      </c>
      <c r="M1284" s="10" t="str">
        <f t="shared" si="103"/>
        <v/>
      </c>
      <c r="N1284" s="10" t="str">
        <f t="shared" si="104"/>
        <v/>
      </c>
      <c r="O1284" s="6"/>
      <c r="P1284" s="6"/>
    </row>
    <row r="1285" spans="1:16" x14ac:dyDescent="0.3">
      <c r="A1285" s="6"/>
      <c r="B1285" s="7"/>
      <c r="C1285" s="6"/>
      <c r="D1285" s="6"/>
      <c r="E1285" s="6"/>
      <c r="F1285" s="25"/>
      <c r="G1285" s="25" t="str">
        <f>IF(A1285="","",SUMIFS(Paradas_Detalhadas!$I:$I,Paradas_Detalhadas!$A:$A,A1285,Paradas_Detalhadas!$B:$B,B1285,Paradas_Detalhadas!$C:$C,C1285,Paradas_Detalhadas!$D:$D,E1285))</f>
        <v/>
      </c>
      <c r="H1285" s="26" t="str">
        <f t="shared" si="100"/>
        <v/>
      </c>
      <c r="I1285" s="10"/>
      <c r="J1285" s="10"/>
      <c r="K1285" s="10" t="str">
        <f t="shared" si="101"/>
        <v/>
      </c>
      <c r="L1285" s="10" t="str">
        <f t="shared" si="102"/>
        <v/>
      </c>
      <c r="M1285" s="10" t="str">
        <f t="shared" si="103"/>
        <v/>
      </c>
      <c r="N1285" s="10" t="str">
        <f t="shared" si="104"/>
        <v/>
      </c>
      <c r="O1285" s="6"/>
      <c r="P1285" s="6"/>
    </row>
    <row r="1286" spans="1:16" x14ac:dyDescent="0.3">
      <c r="A1286" s="6"/>
      <c r="B1286" s="7"/>
      <c r="C1286" s="6"/>
      <c r="D1286" s="6"/>
      <c r="E1286" s="6"/>
      <c r="F1286" s="25"/>
      <c r="G1286" s="25" t="str">
        <f>IF(A1286="","",SUMIFS(Paradas_Detalhadas!$I:$I,Paradas_Detalhadas!$A:$A,A1286,Paradas_Detalhadas!$B:$B,B1286,Paradas_Detalhadas!$C:$C,C1286,Paradas_Detalhadas!$D:$D,E1286))</f>
        <v/>
      </c>
      <c r="H1286" s="26" t="str">
        <f t="shared" si="100"/>
        <v/>
      </c>
      <c r="I1286" s="10"/>
      <c r="J1286" s="10"/>
      <c r="K1286" s="10" t="str">
        <f t="shared" si="101"/>
        <v/>
      </c>
      <c r="L1286" s="10" t="str">
        <f t="shared" si="102"/>
        <v/>
      </c>
      <c r="M1286" s="10" t="str">
        <f t="shared" si="103"/>
        <v/>
      </c>
      <c r="N1286" s="10" t="str">
        <f t="shared" si="104"/>
        <v/>
      </c>
      <c r="O1286" s="6"/>
      <c r="P1286" s="6"/>
    </row>
    <row r="1287" spans="1:16" x14ac:dyDescent="0.3">
      <c r="A1287" s="6"/>
      <c r="B1287" s="7"/>
      <c r="C1287" s="6"/>
      <c r="D1287" s="6"/>
      <c r="E1287" s="6"/>
      <c r="F1287" s="25"/>
      <c r="G1287" s="25" t="str">
        <f>IF(A1287="","",SUMIFS(Paradas_Detalhadas!$I:$I,Paradas_Detalhadas!$A:$A,A1287,Paradas_Detalhadas!$B:$B,B1287,Paradas_Detalhadas!$C:$C,C1287,Paradas_Detalhadas!$D:$D,E1287))</f>
        <v/>
      </c>
      <c r="H1287" s="26" t="str">
        <f t="shared" si="100"/>
        <v/>
      </c>
      <c r="I1287" s="10"/>
      <c r="J1287" s="10"/>
      <c r="K1287" s="10" t="str">
        <f t="shared" si="101"/>
        <v/>
      </c>
      <c r="L1287" s="10" t="str">
        <f t="shared" si="102"/>
        <v/>
      </c>
      <c r="M1287" s="10" t="str">
        <f t="shared" si="103"/>
        <v/>
      </c>
      <c r="N1287" s="10" t="str">
        <f t="shared" si="104"/>
        <v/>
      </c>
      <c r="O1287" s="6"/>
      <c r="P1287" s="6"/>
    </row>
    <row r="1288" spans="1:16" x14ac:dyDescent="0.3">
      <c r="A1288" s="6"/>
      <c r="B1288" s="7"/>
      <c r="C1288" s="6"/>
      <c r="D1288" s="6"/>
      <c r="E1288" s="6"/>
      <c r="F1288" s="25"/>
      <c r="G1288" s="25" t="str">
        <f>IF(A1288="","",SUMIFS(Paradas_Detalhadas!$I:$I,Paradas_Detalhadas!$A:$A,A1288,Paradas_Detalhadas!$B:$B,B1288,Paradas_Detalhadas!$C:$C,C1288,Paradas_Detalhadas!$D:$D,E1288))</f>
        <v/>
      </c>
      <c r="H1288" s="26" t="str">
        <f t="shared" si="100"/>
        <v/>
      </c>
      <c r="I1288" s="10"/>
      <c r="J1288" s="10"/>
      <c r="K1288" s="10" t="str">
        <f t="shared" si="101"/>
        <v/>
      </c>
      <c r="L1288" s="10" t="str">
        <f t="shared" si="102"/>
        <v/>
      </c>
      <c r="M1288" s="10" t="str">
        <f t="shared" si="103"/>
        <v/>
      </c>
      <c r="N1288" s="10" t="str">
        <f t="shared" si="104"/>
        <v/>
      </c>
      <c r="O1288" s="6"/>
      <c r="P1288" s="6"/>
    </row>
    <row r="1289" spans="1:16" x14ac:dyDescent="0.3">
      <c r="A1289" s="6"/>
      <c r="B1289" s="7"/>
      <c r="C1289" s="6"/>
      <c r="D1289" s="6"/>
      <c r="E1289" s="6"/>
      <c r="F1289" s="25"/>
      <c r="G1289" s="25" t="str">
        <f>IF(A1289="","",SUMIFS(Paradas_Detalhadas!$I:$I,Paradas_Detalhadas!$A:$A,A1289,Paradas_Detalhadas!$B:$B,B1289,Paradas_Detalhadas!$C:$C,C1289,Paradas_Detalhadas!$D:$D,E1289))</f>
        <v/>
      </c>
      <c r="H1289" s="26" t="str">
        <f t="shared" si="100"/>
        <v/>
      </c>
      <c r="I1289" s="10"/>
      <c r="J1289" s="10"/>
      <c r="K1289" s="10" t="str">
        <f t="shared" si="101"/>
        <v/>
      </c>
      <c r="L1289" s="10" t="str">
        <f t="shared" si="102"/>
        <v/>
      </c>
      <c r="M1289" s="10" t="str">
        <f t="shared" si="103"/>
        <v/>
      </c>
      <c r="N1289" s="10" t="str">
        <f t="shared" si="104"/>
        <v/>
      </c>
      <c r="O1289" s="6"/>
      <c r="P1289" s="6"/>
    </row>
    <row r="1290" spans="1:16" x14ac:dyDescent="0.3">
      <c r="A1290" s="6"/>
      <c r="B1290" s="7"/>
      <c r="C1290" s="6"/>
      <c r="D1290" s="6"/>
      <c r="E1290" s="6"/>
      <c r="F1290" s="25"/>
      <c r="G1290" s="25" t="str">
        <f>IF(A1290="","",SUMIFS(Paradas_Detalhadas!$I:$I,Paradas_Detalhadas!$A:$A,A1290,Paradas_Detalhadas!$B:$B,B1290,Paradas_Detalhadas!$C:$C,C1290,Paradas_Detalhadas!$D:$D,E1290))</f>
        <v/>
      </c>
      <c r="H1290" s="26" t="str">
        <f t="shared" si="100"/>
        <v/>
      </c>
      <c r="I1290" s="10"/>
      <c r="J1290" s="10"/>
      <c r="K1290" s="10" t="str">
        <f t="shared" si="101"/>
        <v/>
      </c>
      <c r="L1290" s="10" t="str">
        <f t="shared" si="102"/>
        <v/>
      </c>
      <c r="M1290" s="10" t="str">
        <f t="shared" si="103"/>
        <v/>
      </c>
      <c r="N1290" s="10" t="str">
        <f t="shared" si="104"/>
        <v/>
      </c>
      <c r="O1290" s="6"/>
      <c r="P1290" s="6"/>
    </row>
    <row r="1291" spans="1:16" x14ac:dyDescent="0.3">
      <c r="A1291" s="6"/>
      <c r="B1291" s="7"/>
      <c r="C1291" s="6"/>
      <c r="D1291" s="6"/>
      <c r="E1291" s="6"/>
      <c r="F1291" s="25"/>
      <c r="G1291" s="25" t="str">
        <f>IF(A1291="","",SUMIFS(Paradas_Detalhadas!$I:$I,Paradas_Detalhadas!$A:$A,A1291,Paradas_Detalhadas!$B:$B,B1291,Paradas_Detalhadas!$C:$C,C1291,Paradas_Detalhadas!$D:$D,E1291))</f>
        <v/>
      </c>
      <c r="H1291" s="26" t="str">
        <f t="shared" si="100"/>
        <v/>
      </c>
      <c r="I1291" s="10"/>
      <c r="J1291" s="10"/>
      <c r="K1291" s="10" t="str">
        <f t="shared" si="101"/>
        <v/>
      </c>
      <c r="L1291" s="10" t="str">
        <f t="shared" si="102"/>
        <v/>
      </c>
      <c r="M1291" s="10" t="str">
        <f t="shared" si="103"/>
        <v/>
      </c>
      <c r="N1291" s="10" t="str">
        <f t="shared" si="104"/>
        <v/>
      </c>
      <c r="O1291" s="6"/>
      <c r="P1291" s="6"/>
    </row>
    <row r="1292" spans="1:16" x14ac:dyDescent="0.3">
      <c r="A1292" s="6"/>
      <c r="B1292" s="7"/>
      <c r="C1292" s="6"/>
      <c r="D1292" s="6"/>
      <c r="E1292" s="6"/>
      <c r="F1292" s="25"/>
      <c r="G1292" s="25" t="str">
        <f>IF(A1292="","",SUMIFS(Paradas_Detalhadas!$I:$I,Paradas_Detalhadas!$A:$A,A1292,Paradas_Detalhadas!$B:$B,B1292,Paradas_Detalhadas!$C:$C,C1292,Paradas_Detalhadas!$D:$D,E1292))</f>
        <v/>
      </c>
      <c r="H1292" s="26" t="str">
        <f t="shared" si="100"/>
        <v/>
      </c>
      <c r="I1292" s="10"/>
      <c r="J1292" s="10"/>
      <c r="K1292" s="10" t="str">
        <f t="shared" si="101"/>
        <v/>
      </c>
      <c r="L1292" s="10" t="str">
        <f t="shared" si="102"/>
        <v/>
      </c>
      <c r="M1292" s="10" t="str">
        <f t="shared" si="103"/>
        <v/>
      </c>
      <c r="N1292" s="10" t="str">
        <f t="shared" si="104"/>
        <v/>
      </c>
      <c r="O1292" s="6"/>
      <c r="P1292" s="6"/>
    </row>
    <row r="1293" spans="1:16" x14ac:dyDescent="0.3">
      <c r="A1293" s="6"/>
      <c r="B1293" s="7"/>
      <c r="C1293" s="6"/>
      <c r="D1293" s="6"/>
      <c r="E1293" s="6"/>
      <c r="F1293" s="25"/>
      <c r="G1293" s="25" t="str">
        <f>IF(A1293="","",SUMIFS(Paradas_Detalhadas!$I:$I,Paradas_Detalhadas!$A:$A,A1293,Paradas_Detalhadas!$B:$B,B1293,Paradas_Detalhadas!$C:$C,C1293,Paradas_Detalhadas!$D:$D,E1293))</f>
        <v/>
      </c>
      <c r="H1293" s="26" t="str">
        <f t="shared" si="100"/>
        <v/>
      </c>
      <c r="I1293" s="10"/>
      <c r="J1293" s="10"/>
      <c r="K1293" s="10" t="str">
        <f t="shared" si="101"/>
        <v/>
      </c>
      <c r="L1293" s="10" t="str">
        <f t="shared" si="102"/>
        <v/>
      </c>
      <c r="M1293" s="10" t="str">
        <f t="shared" si="103"/>
        <v/>
      </c>
      <c r="N1293" s="10" t="str">
        <f t="shared" si="104"/>
        <v/>
      </c>
      <c r="O1293" s="6"/>
      <c r="P1293" s="6"/>
    </row>
    <row r="1294" spans="1:16" x14ac:dyDescent="0.3">
      <c r="A1294" s="6"/>
      <c r="B1294" s="7"/>
      <c r="C1294" s="6"/>
      <c r="D1294" s="6"/>
      <c r="E1294" s="6"/>
      <c r="F1294" s="25"/>
      <c r="G1294" s="25" t="str">
        <f>IF(A1294="","",SUMIFS(Paradas_Detalhadas!$I:$I,Paradas_Detalhadas!$A:$A,A1294,Paradas_Detalhadas!$B:$B,B1294,Paradas_Detalhadas!$C:$C,C1294,Paradas_Detalhadas!$D:$D,E1294))</f>
        <v/>
      </c>
      <c r="H1294" s="26" t="str">
        <f t="shared" si="100"/>
        <v/>
      </c>
      <c r="I1294" s="10"/>
      <c r="J1294" s="10"/>
      <c r="K1294" s="10" t="str">
        <f t="shared" si="101"/>
        <v/>
      </c>
      <c r="L1294" s="10" t="str">
        <f t="shared" si="102"/>
        <v/>
      </c>
      <c r="M1294" s="10" t="str">
        <f t="shared" si="103"/>
        <v/>
      </c>
      <c r="N1294" s="10" t="str">
        <f t="shared" si="104"/>
        <v/>
      </c>
      <c r="O1294" s="6"/>
      <c r="P1294" s="6"/>
    </row>
    <row r="1295" spans="1:16" x14ac:dyDescent="0.3">
      <c r="A1295" s="6"/>
      <c r="B1295" s="7"/>
      <c r="C1295" s="6"/>
      <c r="D1295" s="6"/>
      <c r="E1295" s="6"/>
      <c r="F1295" s="25"/>
      <c r="G1295" s="25" t="str">
        <f>IF(A1295="","",SUMIFS(Paradas_Detalhadas!$I:$I,Paradas_Detalhadas!$A:$A,A1295,Paradas_Detalhadas!$B:$B,B1295,Paradas_Detalhadas!$C:$C,C1295,Paradas_Detalhadas!$D:$D,E1295))</f>
        <v/>
      </c>
      <c r="H1295" s="26" t="str">
        <f t="shared" si="100"/>
        <v/>
      </c>
      <c r="I1295" s="10"/>
      <c r="J1295" s="10"/>
      <c r="K1295" s="10" t="str">
        <f t="shared" si="101"/>
        <v/>
      </c>
      <c r="L1295" s="10" t="str">
        <f t="shared" si="102"/>
        <v/>
      </c>
      <c r="M1295" s="10" t="str">
        <f t="shared" si="103"/>
        <v/>
      </c>
      <c r="N1295" s="10" t="str">
        <f t="shared" si="104"/>
        <v/>
      </c>
      <c r="O1295" s="6"/>
      <c r="P1295" s="6"/>
    </row>
    <row r="1296" spans="1:16" x14ac:dyDescent="0.3">
      <c r="A1296" s="6"/>
      <c r="B1296" s="7"/>
      <c r="C1296" s="6"/>
      <c r="D1296" s="6"/>
      <c r="E1296" s="6"/>
      <c r="F1296" s="25"/>
      <c r="G1296" s="25" t="str">
        <f>IF(A1296="","",SUMIFS(Paradas_Detalhadas!$I:$I,Paradas_Detalhadas!$A:$A,A1296,Paradas_Detalhadas!$B:$B,B1296,Paradas_Detalhadas!$C:$C,C1296,Paradas_Detalhadas!$D:$D,E1296))</f>
        <v/>
      </c>
      <c r="H1296" s="26" t="str">
        <f t="shared" si="100"/>
        <v/>
      </c>
      <c r="I1296" s="10"/>
      <c r="J1296" s="10"/>
      <c r="K1296" s="10" t="str">
        <f t="shared" si="101"/>
        <v/>
      </c>
      <c r="L1296" s="10" t="str">
        <f t="shared" si="102"/>
        <v/>
      </c>
      <c r="M1296" s="10" t="str">
        <f t="shared" si="103"/>
        <v/>
      </c>
      <c r="N1296" s="10" t="str">
        <f t="shared" si="104"/>
        <v/>
      </c>
      <c r="O1296" s="6"/>
      <c r="P1296" s="6"/>
    </row>
    <row r="1297" spans="1:16" x14ac:dyDescent="0.3">
      <c r="A1297" s="6"/>
      <c r="B1297" s="7"/>
      <c r="C1297" s="6"/>
      <c r="D1297" s="6"/>
      <c r="E1297" s="6"/>
      <c r="F1297" s="25"/>
      <c r="G1297" s="25" t="str">
        <f>IF(A1297="","",SUMIFS(Paradas_Detalhadas!$I:$I,Paradas_Detalhadas!$A:$A,A1297,Paradas_Detalhadas!$B:$B,B1297,Paradas_Detalhadas!$C:$C,C1297,Paradas_Detalhadas!$D:$D,E1297))</f>
        <v/>
      </c>
      <c r="H1297" s="26" t="str">
        <f t="shared" si="100"/>
        <v/>
      </c>
      <c r="I1297" s="10"/>
      <c r="J1297" s="10"/>
      <c r="K1297" s="10" t="str">
        <f t="shared" si="101"/>
        <v/>
      </c>
      <c r="L1297" s="10" t="str">
        <f t="shared" si="102"/>
        <v/>
      </c>
      <c r="M1297" s="10" t="str">
        <f t="shared" si="103"/>
        <v/>
      </c>
      <c r="N1297" s="10" t="str">
        <f t="shared" si="104"/>
        <v/>
      </c>
      <c r="O1297" s="6"/>
      <c r="P1297" s="6"/>
    </row>
    <row r="1298" spans="1:16" x14ac:dyDescent="0.3">
      <c r="A1298" s="6"/>
      <c r="B1298" s="7"/>
      <c r="C1298" s="6"/>
      <c r="D1298" s="6"/>
      <c r="E1298" s="6"/>
      <c r="F1298" s="25"/>
      <c r="G1298" s="25" t="str">
        <f>IF(A1298="","",SUMIFS(Paradas_Detalhadas!$I:$I,Paradas_Detalhadas!$A:$A,A1298,Paradas_Detalhadas!$B:$B,B1298,Paradas_Detalhadas!$C:$C,C1298,Paradas_Detalhadas!$D:$D,E1298))</f>
        <v/>
      </c>
      <c r="H1298" s="26" t="str">
        <f t="shared" si="100"/>
        <v/>
      </c>
      <c r="I1298" s="10"/>
      <c r="J1298" s="10"/>
      <c r="K1298" s="10" t="str">
        <f t="shared" si="101"/>
        <v/>
      </c>
      <c r="L1298" s="10" t="str">
        <f t="shared" si="102"/>
        <v/>
      </c>
      <c r="M1298" s="10" t="str">
        <f t="shared" si="103"/>
        <v/>
      </c>
      <c r="N1298" s="10" t="str">
        <f t="shared" si="104"/>
        <v/>
      </c>
      <c r="O1298" s="6"/>
      <c r="P1298" s="6"/>
    </row>
    <row r="1299" spans="1:16" x14ac:dyDescent="0.3">
      <c r="A1299" s="6"/>
      <c r="B1299" s="7"/>
      <c r="C1299" s="6"/>
      <c r="D1299" s="6"/>
      <c r="E1299" s="6"/>
      <c r="F1299" s="25"/>
      <c r="G1299" s="25" t="str">
        <f>IF(A1299="","",SUMIFS(Paradas_Detalhadas!$I:$I,Paradas_Detalhadas!$A:$A,A1299,Paradas_Detalhadas!$B:$B,B1299,Paradas_Detalhadas!$C:$C,C1299,Paradas_Detalhadas!$D:$D,E1299))</f>
        <v/>
      </c>
      <c r="H1299" s="26" t="str">
        <f t="shared" si="100"/>
        <v/>
      </c>
      <c r="I1299" s="10"/>
      <c r="J1299" s="10"/>
      <c r="K1299" s="10" t="str">
        <f t="shared" si="101"/>
        <v/>
      </c>
      <c r="L1299" s="10" t="str">
        <f t="shared" si="102"/>
        <v/>
      </c>
      <c r="M1299" s="10" t="str">
        <f t="shared" si="103"/>
        <v/>
      </c>
      <c r="N1299" s="10" t="str">
        <f t="shared" si="104"/>
        <v/>
      </c>
      <c r="O1299" s="6"/>
      <c r="P1299" s="6"/>
    </row>
    <row r="1300" spans="1:16" x14ac:dyDescent="0.3">
      <c r="A1300" s="6"/>
      <c r="B1300" s="7"/>
      <c r="C1300" s="6"/>
      <c r="D1300" s="6"/>
      <c r="E1300" s="6"/>
      <c r="F1300" s="25"/>
      <c r="G1300" s="25" t="str">
        <f>IF(A1300="","",SUMIFS(Paradas_Detalhadas!$I:$I,Paradas_Detalhadas!$A:$A,A1300,Paradas_Detalhadas!$B:$B,B1300,Paradas_Detalhadas!$C:$C,C1300,Paradas_Detalhadas!$D:$D,E1300))</f>
        <v/>
      </c>
      <c r="H1300" s="26" t="str">
        <f t="shared" si="100"/>
        <v/>
      </c>
      <c r="I1300" s="10"/>
      <c r="J1300" s="10"/>
      <c r="K1300" s="10" t="str">
        <f t="shared" si="101"/>
        <v/>
      </c>
      <c r="L1300" s="10" t="str">
        <f t="shared" si="102"/>
        <v/>
      </c>
      <c r="M1300" s="10" t="str">
        <f t="shared" si="103"/>
        <v/>
      </c>
      <c r="N1300" s="10" t="str">
        <f t="shared" si="104"/>
        <v/>
      </c>
      <c r="O1300" s="6"/>
      <c r="P1300" s="6"/>
    </row>
    <row r="1301" spans="1:16" x14ac:dyDescent="0.3">
      <c r="A1301" s="6"/>
      <c r="B1301" s="7"/>
      <c r="C1301" s="6"/>
      <c r="D1301" s="6"/>
      <c r="E1301" s="6"/>
      <c r="F1301" s="25"/>
      <c r="G1301" s="25" t="str">
        <f>IF(A1301="","",SUMIFS(Paradas_Detalhadas!$I:$I,Paradas_Detalhadas!$A:$A,A1301,Paradas_Detalhadas!$B:$B,B1301,Paradas_Detalhadas!$C:$C,C1301,Paradas_Detalhadas!$D:$D,E1301))</f>
        <v/>
      </c>
      <c r="H1301" s="26" t="str">
        <f t="shared" si="100"/>
        <v/>
      </c>
      <c r="I1301" s="10"/>
      <c r="J1301" s="10"/>
      <c r="K1301" s="10" t="str">
        <f t="shared" si="101"/>
        <v/>
      </c>
      <c r="L1301" s="10" t="str">
        <f t="shared" si="102"/>
        <v/>
      </c>
      <c r="M1301" s="10" t="str">
        <f t="shared" si="103"/>
        <v/>
      </c>
      <c r="N1301" s="10" t="str">
        <f t="shared" si="104"/>
        <v/>
      </c>
      <c r="O1301" s="6"/>
      <c r="P1301" s="6"/>
    </row>
    <row r="1302" spans="1:16" x14ac:dyDescent="0.3">
      <c r="A1302" s="6"/>
      <c r="B1302" s="7"/>
      <c r="C1302" s="6"/>
      <c r="D1302" s="6"/>
      <c r="E1302" s="6"/>
      <c r="F1302" s="25"/>
      <c r="G1302" s="25" t="str">
        <f>IF(A1302="","",SUMIFS(Paradas_Detalhadas!$I:$I,Paradas_Detalhadas!$A:$A,A1302,Paradas_Detalhadas!$B:$B,B1302,Paradas_Detalhadas!$C:$C,C1302,Paradas_Detalhadas!$D:$D,E1302))</f>
        <v/>
      </c>
      <c r="H1302" s="26" t="str">
        <f t="shared" si="100"/>
        <v/>
      </c>
      <c r="I1302" s="10"/>
      <c r="J1302" s="10"/>
      <c r="K1302" s="10" t="str">
        <f t="shared" si="101"/>
        <v/>
      </c>
      <c r="L1302" s="10" t="str">
        <f t="shared" si="102"/>
        <v/>
      </c>
      <c r="M1302" s="10" t="str">
        <f t="shared" si="103"/>
        <v/>
      </c>
      <c r="N1302" s="10" t="str">
        <f t="shared" si="104"/>
        <v/>
      </c>
      <c r="O1302" s="6"/>
      <c r="P1302" s="6"/>
    </row>
    <row r="1303" spans="1:16" x14ac:dyDescent="0.3">
      <c r="A1303" s="6"/>
      <c r="B1303" s="7"/>
      <c r="C1303" s="6"/>
      <c r="D1303" s="6"/>
      <c r="E1303" s="6"/>
      <c r="F1303" s="25"/>
      <c r="G1303" s="25" t="str">
        <f>IF(A1303="","",SUMIFS(Paradas_Detalhadas!$I:$I,Paradas_Detalhadas!$A:$A,A1303,Paradas_Detalhadas!$B:$B,B1303,Paradas_Detalhadas!$C:$C,C1303,Paradas_Detalhadas!$D:$D,E1303))</f>
        <v/>
      </c>
      <c r="H1303" s="26" t="str">
        <f t="shared" si="100"/>
        <v/>
      </c>
      <c r="I1303" s="10"/>
      <c r="J1303" s="10"/>
      <c r="K1303" s="10" t="str">
        <f t="shared" si="101"/>
        <v/>
      </c>
      <c r="L1303" s="10" t="str">
        <f t="shared" si="102"/>
        <v/>
      </c>
      <c r="M1303" s="10" t="str">
        <f t="shared" si="103"/>
        <v/>
      </c>
      <c r="N1303" s="10" t="str">
        <f t="shared" si="104"/>
        <v/>
      </c>
      <c r="O1303" s="6"/>
      <c r="P1303" s="6"/>
    </row>
    <row r="1304" spans="1:16" x14ac:dyDescent="0.3">
      <c r="A1304" s="6"/>
      <c r="B1304" s="7"/>
      <c r="C1304" s="6"/>
      <c r="D1304" s="6"/>
      <c r="E1304" s="6"/>
      <c r="F1304" s="25"/>
      <c r="G1304" s="25" t="str">
        <f>IF(A1304="","",SUMIFS(Paradas_Detalhadas!$I:$I,Paradas_Detalhadas!$A:$A,A1304,Paradas_Detalhadas!$B:$B,B1304,Paradas_Detalhadas!$C:$C,C1304,Paradas_Detalhadas!$D:$D,E1304))</f>
        <v/>
      </c>
      <c r="H1304" s="26" t="str">
        <f t="shared" si="100"/>
        <v/>
      </c>
      <c r="I1304" s="10"/>
      <c r="J1304" s="10"/>
      <c r="K1304" s="10" t="str">
        <f t="shared" si="101"/>
        <v/>
      </c>
      <c r="L1304" s="10" t="str">
        <f t="shared" si="102"/>
        <v/>
      </c>
      <c r="M1304" s="10" t="str">
        <f t="shared" si="103"/>
        <v/>
      </c>
      <c r="N1304" s="10" t="str">
        <f t="shared" si="104"/>
        <v/>
      </c>
      <c r="O1304" s="6"/>
      <c r="P1304" s="6"/>
    </row>
    <row r="1305" spans="1:16" x14ac:dyDescent="0.3">
      <c r="A1305" s="6"/>
      <c r="B1305" s="7"/>
      <c r="C1305" s="6"/>
      <c r="D1305" s="6"/>
      <c r="E1305" s="6"/>
      <c r="F1305" s="25"/>
      <c r="G1305" s="25" t="str">
        <f>IF(A1305="","",SUMIFS(Paradas_Detalhadas!$I:$I,Paradas_Detalhadas!$A:$A,A1305,Paradas_Detalhadas!$B:$B,B1305,Paradas_Detalhadas!$C:$C,C1305,Paradas_Detalhadas!$D:$D,E1305))</f>
        <v/>
      </c>
      <c r="H1305" s="26" t="str">
        <f t="shared" si="100"/>
        <v/>
      </c>
      <c r="I1305" s="10"/>
      <c r="J1305" s="10"/>
      <c r="K1305" s="10" t="str">
        <f t="shared" si="101"/>
        <v/>
      </c>
      <c r="L1305" s="10" t="str">
        <f t="shared" si="102"/>
        <v/>
      </c>
      <c r="M1305" s="10" t="str">
        <f t="shared" si="103"/>
        <v/>
      </c>
      <c r="N1305" s="10" t="str">
        <f t="shared" si="104"/>
        <v/>
      </c>
      <c r="O1305" s="6"/>
      <c r="P1305" s="6"/>
    </row>
    <row r="1306" spans="1:16" x14ac:dyDescent="0.3">
      <c r="A1306" s="6"/>
      <c r="B1306" s="7"/>
      <c r="C1306" s="6"/>
      <c r="D1306" s="6"/>
      <c r="E1306" s="6"/>
      <c r="F1306" s="25"/>
      <c r="G1306" s="25" t="str">
        <f>IF(A1306="","",SUMIFS(Paradas_Detalhadas!$I:$I,Paradas_Detalhadas!$A:$A,A1306,Paradas_Detalhadas!$B:$B,B1306,Paradas_Detalhadas!$C:$C,C1306,Paradas_Detalhadas!$D:$D,E1306))</f>
        <v/>
      </c>
      <c r="H1306" s="26" t="str">
        <f t="shared" si="100"/>
        <v/>
      </c>
      <c r="I1306" s="10"/>
      <c r="J1306" s="10"/>
      <c r="K1306" s="10" t="str">
        <f t="shared" si="101"/>
        <v/>
      </c>
      <c r="L1306" s="10" t="str">
        <f t="shared" si="102"/>
        <v/>
      </c>
      <c r="M1306" s="10" t="str">
        <f t="shared" si="103"/>
        <v/>
      </c>
      <c r="N1306" s="10" t="str">
        <f t="shared" si="104"/>
        <v/>
      </c>
      <c r="O1306" s="6"/>
      <c r="P1306" s="6"/>
    </row>
    <row r="1307" spans="1:16" x14ac:dyDescent="0.3">
      <c r="A1307" s="6"/>
      <c r="B1307" s="7"/>
      <c r="C1307" s="6"/>
      <c r="D1307" s="6"/>
      <c r="E1307" s="6"/>
      <c r="F1307" s="25"/>
      <c r="G1307" s="25" t="str">
        <f>IF(A1307="","",SUMIFS(Paradas_Detalhadas!$I:$I,Paradas_Detalhadas!$A:$A,A1307,Paradas_Detalhadas!$B:$B,B1307,Paradas_Detalhadas!$C:$C,C1307,Paradas_Detalhadas!$D:$D,E1307))</f>
        <v/>
      </c>
      <c r="H1307" s="26" t="str">
        <f t="shared" si="100"/>
        <v/>
      </c>
      <c r="I1307" s="10"/>
      <c r="J1307" s="10"/>
      <c r="K1307" s="10" t="str">
        <f t="shared" si="101"/>
        <v/>
      </c>
      <c r="L1307" s="10" t="str">
        <f t="shared" si="102"/>
        <v/>
      </c>
      <c r="M1307" s="10" t="str">
        <f t="shared" si="103"/>
        <v/>
      </c>
      <c r="N1307" s="10" t="str">
        <f t="shared" si="104"/>
        <v/>
      </c>
      <c r="O1307" s="6"/>
      <c r="P1307" s="6"/>
    </row>
    <row r="1308" spans="1:16" x14ac:dyDescent="0.3">
      <c r="A1308" s="6"/>
      <c r="B1308" s="7"/>
      <c r="C1308" s="6"/>
      <c r="D1308" s="6"/>
      <c r="E1308" s="6"/>
      <c r="F1308" s="25"/>
      <c r="G1308" s="25" t="str">
        <f>IF(A1308="","",SUMIFS(Paradas_Detalhadas!$I:$I,Paradas_Detalhadas!$A:$A,A1308,Paradas_Detalhadas!$B:$B,B1308,Paradas_Detalhadas!$C:$C,C1308,Paradas_Detalhadas!$D:$D,E1308))</f>
        <v/>
      </c>
      <c r="H1308" s="26" t="str">
        <f t="shared" si="100"/>
        <v/>
      </c>
      <c r="I1308" s="10"/>
      <c r="J1308" s="10"/>
      <c r="K1308" s="10" t="str">
        <f t="shared" si="101"/>
        <v/>
      </c>
      <c r="L1308" s="10" t="str">
        <f t="shared" si="102"/>
        <v/>
      </c>
      <c r="M1308" s="10" t="str">
        <f t="shared" si="103"/>
        <v/>
      </c>
      <c r="N1308" s="10" t="str">
        <f t="shared" si="104"/>
        <v/>
      </c>
      <c r="O1308" s="6"/>
      <c r="P1308" s="6"/>
    </row>
    <row r="1309" spans="1:16" x14ac:dyDescent="0.3">
      <c r="A1309" s="6"/>
      <c r="B1309" s="7"/>
      <c r="C1309" s="6"/>
      <c r="D1309" s="6"/>
      <c r="E1309" s="6"/>
      <c r="F1309" s="25"/>
      <c r="G1309" s="25" t="str">
        <f>IF(A1309="","",SUMIFS(Paradas_Detalhadas!$I:$I,Paradas_Detalhadas!$A:$A,A1309,Paradas_Detalhadas!$B:$B,B1309,Paradas_Detalhadas!$C:$C,C1309,Paradas_Detalhadas!$D:$D,E1309))</f>
        <v/>
      </c>
      <c r="H1309" s="26" t="str">
        <f t="shared" si="100"/>
        <v/>
      </c>
      <c r="I1309" s="10"/>
      <c r="J1309" s="10"/>
      <c r="K1309" s="10" t="str">
        <f t="shared" si="101"/>
        <v/>
      </c>
      <c r="L1309" s="10" t="str">
        <f t="shared" si="102"/>
        <v/>
      </c>
      <c r="M1309" s="10" t="str">
        <f t="shared" si="103"/>
        <v/>
      </c>
      <c r="N1309" s="10" t="str">
        <f t="shared" si="104"/>
        <v/>
      </c>
      <c r="O1309" s="6"/>
      <c r="P1309" s="6"/>
    </row>
    <row r="1310" spans="1:16" x14ac:dyDescent="0.3">
      <c r="A1310" s="6"/>
      <c r="B1310" s="7"/>
      <c r="C1310" s="6"/>
      <c r="D1310" s="6"/>
      <c r="E1310" s="6"/>
      <c r="F1310" s="25"/>
      <c r="G1310" s="25" t="str">
        <f>IF(A1310="","",SUMIFS(Paradas_Detalhadas!$I:$I,Paradas_Detalhadas!$A:$A,A1310,Paradas_Detalhadas!$B:$B,B1310,Paradas_Detalhadas!$C:$C,C1310,Paradas_Detalhadas!$D:$D,E1310))</f>
        <v/>
      </c>
      <c r="H1310" s="26" t="str">
        <f t="shared" si="100"/>
        <v/>
      </c>
      <c r="I1310" s="10"/>
      <c r="J1310" s="10"/>
      <c r="K1310" s="10" t="str">
        <f t="shared" si="101"/>
        <v/>
      </c>
      <c r="L1310" s="10" t="str">
        <f t="shared" si="102"/>
        <v/>
      </c>
      <c r="M1310" s="10" t="str">
        <f t="shared" si="103"/>
        <v/>
      </c>
      <c r="N1310" s="10" t="str">
        <f t="shared" si="104"/>
        <v/>
      </c>
      <c r="O1310" s="6"/>
      <c r="P1310" s="6"/>
    </row>
    <row r="1311" spans="1:16" x14ac:dyDescent="0.3">
      <c r="A1311" s="6"/>
      <c r="B1311" s="7"/>
      <c r="C1311" s="6"/>
      <c r="D1311" s="6"/>
      <c r="E1311" s="6"/>
      <c r="F1311" s="25"/>
      <c r="G1311" s="25" t="str">
        <f>IF(A1311="","",SUMIFS(Paradas_Detalhadas!$I:$I,Paradas_Detalhadas!$A:$A,A1311,Paradas_Detalhadas!$B:$B,B1311,Paradas_Detalhadas!$C:$C,C1311,Paradas_Detalhadas!$D:$D,E1311))</f>
        <v/>
      </c>
      <c r="H1311" s="26" t="str">
        <f t="shared" si="100"/>
        <v/>
      </c>
      <c r="I1311" s="10"/>
      <c r="J1311" s="10"/>
      <c r="K1311" s="10" t="str">
        <f t="shared" si="101"/>
        <v/>
      </c>
      <c r="L1311" s="10" t="str">
        <f t="shared" si="102"/>
        <v/>
      </c>
      <c r="M1311" s="10" t="str">
        <f t="shared" si="103"/>
        <v/>
      </c>
      <c r="N1311" s="10" t="str">
        <f t="shared" si="104"/>
        <v/>
      </c>
      <c r="O1311" s="6"/>
      <c r="P1311" s="6"/>
    </row>
    <row r="1312" spans="1:16" x14ac:dyDescent="0.3">
      <c r="A1312" s="6"/>
      <c r="B1312" s="7"/>
      <c r="C1312" s="6"/>
      <c r="D1312" s="6"/>
      <c r="E1312" s="6"/>
      <c r="F1312" s="25"/>
      <c r="G1312" s="25" t="str">
        <f>IF(A1312="","",SUMIFS(Paradas_Detalhadas!$I:$I,Paradas_Detalhadas!$A:$A,A1312,Paradas_Detalhadas!$B:$B,B1312,Paradas_Detalhadas!$C:$C,C1312,Paradas_Detalhadas!$D:$D,E1312))</f>
        <v/>
      </c>
      <c r="H1312" s="26" t="str">
        <f t="shared" si="100"/>
        <v/>
      </c>
      <c r="I1312" s="10"/>
      <c r="J1312" s="10"/>
      <c r="K1312" s="10" t="str">
        <f t="shared" si="101"/>
        <v/>
      </c>
      <c r="L1312" s="10" t="str">
        <f t="shared" si="102"/>
        <v/>
      </c>
      <c r="M1312" s="10" t="str">
        <f t="shared" si="103"/>
        <v/>
      </c>
      <c r="N1312" s="10" t="str">
        <f t="shared" si="104"/>
        <v/>
      </c>
      <c r="O1312" s="6"/>
      <c r="P1312" s="6"/>
    </row>
    <row r="1313" spans="1:16" x14ac:dyDescent="0.3">
      <c r="A1313" s="6"/>
      <c r="B1313" s="7"/>
      <c r="C1313" s="6"/>
      <c r="D1313" s="6"/>
      <c r="E1313" s="6"/>
      <c r="F1313" s="25"/>
      <c r="G1313" s="25" t="str">
        <f>IF(A1313="","",SUMIFS(Paradas_Detalhadas!$I:$I,Paradas_Detalhadas!$A:$A,A1313,Paradas_Detalhadas!$B:$B,B1313,Paradas_Detalhadas!$C:$C,C1313,Paradas_Detalhadas!$D:$D,E1313))</f>
        <v/>
      </c>
      <c r="H1313" s="26" t="str">
        <f t="shared" si="100"/>
        <v/>
      </c>
      <c r="I1313" s="10"/>
      <c r="J1313" s="10"/>
      <c r="K1313" s="10" t="str">
        <f t="shared" si="101"/>
        <v/>
      </c>
      <c r="L1313" s="10" t="str">
        <f t="shared" si="102"/>
        <v/>
      </c>
      <c r="M1313" s="10" t="str">
        <f t="shared" si="103"/>
        <v/>
      </c>
      <c r="N1313" s="10" t="str">
        <f t="shared" si="104"/>
        <v/>
      </c>
      <c r="O1313" s="6"/>
      <c r="P1313" s="6"/>
    </row>
    <row r="1314" spans="1:16" x14ac:dyDescent="0.3">
      <c r="A1314" s="6"/>
      <c r="B1314" s="7"/>
      <c r="C1314" s="6"/>
      <c r="D1314" s="6"/>
      <c r="E1314" s="6"/>
      <c r="F1314" s="25"/>
      <c r="G1314" s="25" t="str">
        <f>IF(A1314="","",SUMIFS(Paradas_Detalhadas!$I:$I,Paradas_Detalhadas!$A:$A,A1314,Paradas_Detalhadas!$B:$B,B1314,Paradas_Detalhadas!$C:$C,C1314,Paradas_Detalhadas!$D:$D,E1314))</f>
        <v/>
      </c>
      <c r="H1314" s="26" t="str">
        <f t="shared" si="100"/>
        <v/>
      </c>
      <c r="I1314" s="10"/>
      <c r="J1314" s="10"/>
      <c r="K1314" s="10" t="str">
        <f t="shared" si="101"/>
        <v/>
      </c>
      <c r="L1314" s="10" t="str">
        <f t="shared" si="102"/>
        <v/>
      </c>
      <c r="M1314" s="10" t="str">
        <f t="shared" si="103"/>
        <v/>
      </c>
      <c r="N1314" s="10" t="str">
        <f t="shared" si="104"/>
        <v/>
      </c>
      <c r="O1314" s="6"/>
      <c r="P1314" s="6"/>
    </row>
    <row r="1315" spans="1:16" x14ac:dyDescent="0.3">
      <c r="A1315" s="6"/>
      <c r="B1315" s="7"/>
      <c r="C1315" s="6"/>
      <c r="D1315" s="6"/>
      <c r="E1315" s="6"/>
      <c r="F1315" s="25"/>
      <c r="G1315" s="25" t="str">
        <f>IF(A1315="","",SUMIFS(Paradas_Detalhadas!$I:$I,Paradas_Detalhadas!$A:$A,A1315,Paradas_Detalhadas!$B:$B,B1315,Paradas_Detalhadas!$C:$C,C1315,Paradas_Detalhadas!$D:$D,E1315))</f>
        <v/>
      </c>
      <c r="H1315" s="26" t="str">
        <f t="shared" si="100"/>
        <v/>
      </c>
      <c r="I1315" s="10"/>
      <c r="J1315" s="10"/>
      <c r="K1315" s="10" t="str">
        <f t="shared" si="101"/>
        <v/>
      </c>
      <c r="L1315" s="10" t="str">
        <f t="shared" si="102"/>
        <v/>
      </c>
      <c r="M1315" s="10" t="str">
        <f t="shared" si="103"/>
        <v/>
      </c>
      <c r="N1315" s="10" t="str">
        <f t="shared" si="104"/>
        <v/>
      </c>
      <c r="O1315" s="6"/>
      <c r="P1315" s="6"/>
    </row>
    <row r="1316" spans="1:16" x14ac:dyDescent="0.3">
      <c r="A1316" s="6"/>
      <c r="B1316" s="7"/>
      <c r="C1316" s="6"/>
      <c r="D1316" s="6"/>
      <c r="E1316" s="6"/>
      <c r="F1316" s="25"/>
      <c r="G1316" s="25" t="str">
        <f>IF(A1316="","",SUMIFS(Paradas_Detalhadas!$I:$I,Paradas_Detalhadas!$A:$A,A1316,Paradas_Detalhadas!$B:$B,B1316,Paradas_Detalhadas!$C:$C,C1316,Paradas_Detalhadas!$D:$D,E1316))</f>
        <v/>
      </c>
      <c r="H1316" s="26" t="str">
        <f t="shared" si="100"/>
        <v/>
      </c>
      <c r="I1316" s="10"/>
      <c r="J1316" s="10"/>
      <c r="K1316" s="10" t="str">
        <f t="shared" si="101"/>
        <v/>
      </c>
      <c r="L1316" s="10" t="str">
        <f t="shared" si="102"/>
        <v/>
      </c>
      <c r="M1316" s="10" t="str">
        <f t="shared" si="103"/>
        <v/>
      </c>
      <c r="N1316" s="10" t="str">
        <f t="shared" si="104"/>
        <v/>
      </c>
      <c r="O1316" s="6"/>
      <c r="P1316" s="6"/>
    </row>
    <row r="1317" spans="1:16" x14ac:dyDescent="0.3">
      <c r="A1317" s="6"/>
      <c r="B1317" s="7"/>
      <c r="C1317" s="6"/>
      <c r="D1317" s="6"/>
      <c r="E1317" s="6"/>
      <c r="F1317" s="25"/>
      <c r="G1317" s="25" t="str">
        <f>IF(A1317="","",SUMIFS(Paradas_Detalhadas!$I:$I,Paradas_Detalhadas!$A:$A,A1317,Paradas_Detalhadas!$B:$B,B1317,Paradas_Detalhadas!$C:$C,C1317,Paradas_Detalhadas!$D:$D,E1317))</f>
        <v/>
      </c>
      <c r="H1317" s="26" t="str">
        <f t="shared" si="100"/>
        <v/>
      </c>
      <c r="I1317" s="10"/>
      <c r="J1317" s="10"/>
      <c r="K1317" s="10" t="str">
        <f t="shared" si="101"/>
        <v/>
      </c>
      <c r="L1317" s="10" t="str">
        <f t="shared" si="102"/>
        <v/>
      </c>
      <c r="M1317" s="10" t="str">
        <f t="shared" si="103"/>
        <v/>
      </c>
      <c r="N1317" s="10" t="str">
        <f t="shared" si="104"/>
        <v/>
      </c>
      <c r="O1317" s="6"/>
      <c r="P1317" s="6"/>
    </row>
    <row r="1318" spans="1:16" x14ac:dyDescent="0.3">
      <c r="A1318" s="6"/>
      <c r="B1318" s="7"/>
      <c r="C1318" s="6"/>
      <c r="D1318" s="6"/>
      <c r="E1318" s="6"/>
      <c r="F1318" s="25"/>
      <c r="G1318" s="25" t="str">
        <f>IF(A1318="","",SUMIFS(Paradas_Detalhadas!$I:$I,Paradas_Detalhadas!$A:$A,A1318,Paradas_Detalhadas!$B:$B,B1318,Paradas_Detalhadas!$C:$C,C1318,Paradas_Detalhadas!$D:$D,E1318))</f>
        <v/>
      </c>
      <c r="H1318" s="26" t="str">
        <f t="shared" si="100"/>
        <v/>
      </c>
      <c r="I1318" s="10"/>
      <c r="J1318" s="10"/>
      <c r="K1318" s="10" t="str">
        <f t="shared" si="101"/>
        <v/>
      </c>
      <c r="L1318" s="10" t="str">
        <f t="shared" si="102"/>
        <v/>
      </c>
      <c r="M1318" s="10" t="str">
        <f t="shared" si="103"/>
        <v/>
      </c>
      <c r="N1318" s="10" t="str">
        <f t="shared" si="104"/>
        <v/>
      </c>
      <c r="O1318" s="6"/>
      <c r="P1318" s="6"/>
    </row>
    <row r="1319" spans="1:16" x14ac:dyDescent="0.3">
      <c r="A1319" s="6"/>
      <c r="B1319" s="7"/>
      <c r="C1319" s="6"/>
      <c r="D1319" s="6"/>
      <c r="E1319" s="6"/>
      <c r="F1319" s="25"/>
      <c r="G1319" s="25" t="str">
        <f>IF(A1319="","",SUMIFS(Paradas_Detalhadas!$I:$I,Paradas_Detalhadas!$A:$A,A1319,Paradas_Detalhadas!$B:$B,B1319,Paradas_Detalhadas!$C:$C,C1319,Paradas_Detalhadas!$D:$D,E1319))</f>
        <v/>
      </c>
      <c r="H1319" s="26" t="str">
        <f t="shared" si="100"/>
        <v/>
      </c>
      <c r="I1319" s="10"/>
      <c r="J1319" s="10"/>
      <c r="K1319" s="10" t="str">
        <f t="shared" si="101"/>
        <v/>
      </c>
      <c r="L1319" s="10" t="str">
        <f t="shared" si="102"/>
        <v/>
      </c>
      <c r="M1319" s="10" t="str">
        <f t="shared" si="103"/>
        <v/>
      </c>
      <c r="N1319" s="10" t="str">
        <f t="shared" si="104"/>
        <v/>
      </c>
      <c r="O1319" s="6"/>
      <c r="P1319" s="6"/>
    </row>
    <row r="1320" spans="1:16" x14ac:dyDescent="0.3">
      <c r="A1320" s="6"/>
      <c r="B1320" s="7"/>
      <c r="C1320" s="6"/>
      <c r="D1320" s="6"/>
      <c r="E1320" s="6"/>
      <c r="F1320" s="25"/>
      <c r="G1320" s="25" t="str">
        <f>IF(A1320="","",SUMIFS(Paradas_Detalhadas!$I:$I,Paradas_Detalhadas!$A:$A,A1320,Paradas_Detalhadas!$B:$B,B1320,Paradas_Detalhadas!$C:$C,C1320,Paradas_Detalhadas!$D:$D,E1320))</f>
        <v/>
      </c>
      <c r="H1320" s="26" t="str">
        <f t="shared" si="100"/>
        <v/>
      </c>
      <c r="I1320" s="10"/>
      <c r="J1320" s="10"/>
      <c r="K1320" s="10" t="str">
        <f t="shared" si="101"/>
        <v/>
      </c>
      <c r="L1320" s="10" t="str">
        <f t="shared" si="102"/>
        <v/>
      </c>
      <c r="M1320" s="10" t="str">
        <f t="shared" si="103"/>
        <v/>
      </c>
      <c r="N1320" s="10" t="str">
        <f t="shared" si="104"/>
        <v/>
      </c>
      <c r="O1320" s="6"/>
      <c r="P1320" s="6"/>
    </row>
    <row r="1321" spans="1:16" x14ac:dyDescent="0.3">
      <c r="A1321" s="6"/>
      <c r="B1321" s="7"/>
      <c r="C1321" s="6"/>
      <c r="D1321" s="6"/>
      <c r="E1321" s="6"/>
      <c r="F1321" s="25"/>
      <c r="G1321" s="25" t="str">
        <f>IF(A1321="","",SUMIFS(Paradas_Detalhadas!$I:$I,Paradas_Detalhadas!$A:$A,A1321,Paradas_Detalhadas!$B:$B,B1321,Paradas_Detalhadas!$C:$C,C1321,Paradas_Detalhadas!$D:$D,E1321))</f>
        <v/>
      </c>
      <c r="H1321" s="26" t="str">
        <f t="shared" si="100"/>
        <v/>
      </c>
      <c r="I1321" s="10"/>
      <c r="J1321" s="10"/>
      <c r="K1321" s="10" t="str">
        <f t="shared" si="101"/>
        <v/>
      </c>
      <c r="L1321" s="10" t="str">
        <f t="shared" si="102"/>
        <v/>
      </c>
      <c r="M1321" s="10" t="str">
        <f t="shared" si="103"/>
        <v/>
      </c>
      <c r="N1321" s="10" t="str">
        <f t="shared" si="104"/>
        <v/>
      </c>
      <c r="O1321" s="6"/>
      <c r="P1321" s="6"/>
    </row>
    <row r="1322" spans="1:16" x14ac:dyDescent="0.3">
      <c r="A1322" s="6"/>
      <c r="B1322" s="7"/>
      <c r="C1322" s="6"/>
      <c r="D1322" s="6"/>
      <c r="E1322" s="6"/>
      <c r="F1322" s="25"/>
      <c r="G1322" s="25" t="str">
        <f>IF(A1322="","",SUMIFS(Paradas_Detalhadas!$I:$I,Paradas_Detalhadas!$A:$A,A1322,Paradas_Detalhadas!$B:$B,B1322,Paradas_Detalhadas!$C:$C,C1322,Paradas_Detalhadas!$D:$D,E1322))</f>
        <v/>
      </c>
      <c r="H1322" s="26" t="str">
        <f t="shared" si="100"/>
        <v/>
      </c>
      <c r="I1322" s="10"/>
      <c r="J1322" s="10"/>
      <c r="K1322" s="10" t="str">
        <f t="shared" si="101"/>
        <v/>
      </c>
      <c r="L1322" s="10" t="str">
        <f t="shared" si="102"/>
        <v/>
      </c>
      <c r="M1322" s="10" t="str">
        <f t="shared" si="103"/>
        <v/>
      </c>
      <c r="N1322" s="10" t="str">
        <f t="shared" si="104"/>
        <v/>
      </c>
      <c r="O1322" s="6"/>
      <c r="P1322" s="6"/>
    </row>
    <row r="1323" spans="1:16" x14ac:dyDescent="0.3">
      <c r="A1323" s="6"/>
      <c r="B1323" s="7"/>
      <c r="C1323" s="6"/>
      <c r="D1323" s="6"/>
      <c r="E1323" s="6"/>
      <c r="F1323" s="25"/>
      <c r="G1323" s="25" t="str">
        <f>IF(A1323="","",SUMIFS(Paradas_Detalhadas!$I:$I,Paradas_Detalhadas!$A:$A,A1323,Paradas_Detalhadas!$B:$B,B1323,Paradas_Detalhadas!$C:$C,C1323,Paradas_Detalhadas!$D:$D,E1323))</f>
        <v/>
      </c>
      <c r="H1323" s="26" t="str">
        <f t="shared" si="100"/>
        <v/>
      </c>
      <c r="I1323" s="10"/>
      <c r="J1323" s="10"/>
      <c r="K1323" s="10" t="str">
        <f t="shared" si="101"/>
        <v/>
      </c>
      <c r="L1323" s="10" t="str">
        <f t="shared" si="102"/>
        <v/>
      </c>
      <c r="M1323" s="10" t="str">
        <f t="shared" si="103"/>
        <v/>
      </c>
      <c r="N1323" s="10" t="str">
        <f t="shared" si="104"/>
        <v/>
      </c>
      <c r="O1323" s="6"/>
      <c r="P1323" s="6"/>
    </row>
    <row r="1324" spans="1:16" x14ac:dyDescent="0.3">
      <c r="A1324" s="6"/>
      <c r="B1324" s="7"/>
      <c r="C1324" s="6"/>
      <c r="D1324" s="6"/>
      <c r="E1324" s="6"/>
      <c r="F1324" s="25"/>
      <c r="G1324" s="25" t="str">
        <f>IF(A1324="","",SUMIFS(Paradas_Detalhadas!$I:$I,Paradas_Detalhadas!$A:$A,A1324,Paradas_Detalhadas!$B:$B,B1324,Paradas_Detalhadas!$C:$C,C1324,Paradas_Detalhadas!$D:$D,E1324))</f>
        <v/>
      </c>
      <c r="H1324" s="26" t="str">
        <f t="shared" si="100"/>
        <v/>
      </c>
      <c r="I1324" s="10"/>
      <c r="J1324" s="10"/>
      <c r="K1324" s="10" t="str">
        <f t="shared" si="101"/>
        <v/>
      </c>
      <c r="L1324" s="10" t="str">
        <f t="shared" si="102"/>
        <v/>
      </c>
      <c r="M1324" s="10" t="str">
        <f t="shared" si="103"/>
        <v/>
      </c>
      <c r="N1324" s="10" t="str">
        <f t="shared" si="104"/>
        <v/>
      </c>
      <c r="O1324" s="6"/>
      <c r="P1324" s="6"/>
    </row>
    <row r="1325" spans="1:16" x14ac:dyDescent="0.3">
      <c r="A1325" s="6"/>
      <c r="B1325" s="7"/>
      <c r="C1325" s="6"/>
      <c r="D1325" s="6"/>
      <c r="E1325" s="6"/>
      <c r="F1325" s="25"/>
      <c r="G1325" s="25" t="str">
        <f>IF(A1325="","",SUMIFS(Paradas_Detalhadas!$I:$I,Paradas_Detalhadas!$A:$A,A1325,Paradas_Detalhadas!$B:$B,B1325,Paradas_Detalhadas!$C:$C,C1325,Paradas_Detalhadas!$D:$D,E1325))</f>
        <v/>
      </c>
      <c r="H1325" s="26" t="str">
        <f t="shared" si="100"/>
        <v/>
      </c>
      <c r="I1325" s="10"/>
      <c r="J1325" s="10"/>
      <c r="K1325" s="10" t="str">
        <f t="shared" si="101"/>
        <v/>
      </c>
      <c r="L1325" s="10" t="str">
        <f t="shared" si="102"/>
        <v/>
      </c>
      <c r="M1325" s="10" t="str">
        <f t="shared" si="103"/>
        <v/>
      </c>
      <c r="N1325" s="10" t="str">
        <f t="shared" si="104"/>
        <v/>
      </c>
      <c r="O1325" s="6"/>
      <c r="P1325" s="6"/>
    </row>
    <row r="1326" spans="1:16" x14ac:dyDescent="0.3">
      <c r="A1326" s="6"/>
      <c r="B1326" s="7"/>
      <c r="C1326" s="6"/>
      <c r="D1326" s="6"/>
      <c r="E1326" s="6"/>
      <c r="F1326" s="25"/>
      <c r="G1326" s="25" t="str">
        <f>IF(A1326="","",SUMIFS(Paradas_Detalhadas!$I:$I,Paradas_Detalhadas!$A:$A,A1326,Paradas_Detalhadas!$B:$B,B1326,Paradas_Detalhadas!$C:$C,C1326,Paradas_Detalhadas!$D:$D,E1326))</f>
        <v/>
      </c>
      <c r="H1326" s="26" t="str">
        <f t="shared" ref="H1326:H1389" si="105">IF(OR(F1326="",G1326=""),"",MAX(F1326-G1326,0))</f>
        <v/>
      </c>
      <c r="I1326" s="10"/>
      <c r="J1326" s="10"/>
      <c r="K1326" s="10" t="str">
        <f t="shared" ref="K1326:K1389" si="106">IF(AND(I1326="",J1326=""),"",SUM(I1326:J1326))</f>
        <v/>
      </c>
      <c r="L1326" s="10" t="str">
        <f t="shared" ref="L1326:L1389" si="107">IFERROR(K1326/H1326,"")</f>
        <v/>
      </c>
      <c r="M1326" s="10" t="str">
        <f t="shared" ref="M1326:M1389" si="108">IFERROR(I1326/H1326,"")</f>
        <v/>
      </c>
      <c r="N1326" s="10" t="str">
        <f t="shared" ref="N1326:N1389" si="109">IFERROR(J1326/H1326,"")</f>
        <v/>
      </c>
      <c r="O1326" s="6"/>
      <c r="P1326" s="6"/>
    </row>
    <row r="1327" spans="1:16" x14ac:dyDescent="0.3">
      <c r="A1327" s="6"/>
      <c r="B1327" s="7"/>
      <c r="C1327" s="6"/>
      <c r="D1327" s="6"/>
      <c r="E1327" s="6"/>
      <c r="F1327" s="25"/>
      <c r="G1327" s="25" t="str">
        <f>IF(A1327="","",SUMIFS(Paradas_Detalhadas!$I:$I,Paradas_Detalhadas!$A:$A,A1327,Paradas_Detalhadas!$B:$B,B1327,Paradas_Detalhadas!$C:$C,C1327,Paradas_Detalhadas!$D:$D,E1327))</f>
        <v/>
      </c>
      <c r="H1327" s="26" t="str">
        <f t="shared" si="105"/>
        <v/>
      </c>
      <c r="I1327" s="10"/>
      <c r="J1327" s="10"/>
      <c r="K1327" s="10" t="str">
        <f t="shared" si="106"/>
        <v/>
      </c>
      <c r="L1327" s="10" t="str">
        <f t="shared" si="107"/>
        <v/>
      </c>
      <c r="M1327" s="10" t="str">
        <f t="shared" si="108"/>
        <v/>
      </c>
      <c r="N1327" s="10" t="str">
        <f t="shared" si="109"/>
        <v/>
      </c>
      <c r="O1327" s="6"/>
      <c r="P1327" s="6"/>
    </row>
    <row r="1328" spans="1:16" x14ac:dyDescent="0.3">
      <c r="A1328" s="6"/>
      <c r="B1328" s="7"/>
      <c r="C1328" s="6"/>
      <c r="D1328" s="6"/>
      <c r="E1328" s="6"/>
      <c r="F1328" s="25"/>
      <c r="G1328" s="25" t="str">
        <f>IF(A1328="","",SUMIFS(Paradas_Detalhadas!$I:$I,Paradas_Detalhadas!$A:$A,A1328,Paradas_Detalhadas!$B:$B,B1328,Paradas_Detalhadas!$C:$C,C1328,Paradas_Detalhadas!$D:$D,E1328))</f>
        <v/>
      </c>
      <c r="H1328" s="26" t="str">
        <f t="shared" si="105"/>
        <v/>
      </c>
      <c r="I1328" s="10"/>
      <c r="J1328" s="10"/>
      <c r="K1328" s="10" t="str">
        <f t="shared" si="106"/>
        <v/>
      </c>
      <c r="L1328" s="10" t="str">
        <f t="shared" si="107"/>
        <v/>
      </c>
      <c r="M1328" s="10" t="str">
        <f t="shared" si="108"/>
        <v/>
      </c>
      <c r="N1328" s="10" t="str">
        <f t="shared" si="109"/>
        <v/>
      </c>
      <c r="O1328" s="6"/>
      <c r="P1328" s="6"/>
    </row>
    <row r="1329" spans="1:16" x14ac:dyDescent="0.3">
      <c r="A1329" s="6"/>
      <c r="B1329" s="7"/>
      <c r="C1329" s="6"/>
      <c r="D1329" s="6"/>
      <c r="E1329" s="6"/>
      <c r="F1329" s="25"/>
      <c r="G1329" s="25" t="str">
        <f>IF(A1329="","",SUMIFS(Paradas_Detalhadas!$I:$I,Paradas_Detalhadas!$A:$A,A1329,Paradas_Detalhadas!$B:$B,B1329,Paradas_Detalhadas!$C:$C,C1329,Paradas_Detalhadas!$D:$D,E1329))</f>
        <v/>
      </c>
      <c r="H1329" s="26" t="str">
        <f t="shared" si="105"/>
        <v/>
      </c>
      <c r="I1329" s="10"/>
      <c r="J1329" s="10"/>
      <c r="K1329" s="10" t="str">
        <f t="shared" si="106"/>
        <v/>
      </c>
      <c r="L1329" s="10" t="str">
        <f t="shared" si="107"/>
        <v/>
      </c>
      <c r="M1329" s="10" t="str">
        <f t="shared" si="108"/>
        <v/>
      </c>
      <c r="N1329" s="10" t="str">
        <f t="shared" si="109"/>
        <v/>
      </c>
      <c r="O1329" s="6"/>
      <c r="P1329" s="6"/>
    </row>
    <row r="1330" spans="1:16" x14ac:dyDescent="0.3">
      <c r="A1330" s="6"/>
      <c r="B1330" s="7"/>
      <c r="C1330" s="6"/>
      <c r="D1330" s="6"/>
      <c r="E1330" s="6"/>
      <c r="F1330" s="25"/>
      <c r="G1330" s="25" t="str">
        <f>IF(A1330="","",SUMIFS(Paradas_Detalhadas!$I:$I,Paradas_Detalhadas!$A:$A,A1330,Paradas_Detalhadas!$B:$B,B1330,Paradas_Detalhadas!$C:$C,C1330,Paradas_Detalhadas!$D:$D,E1330))</f>
        <v/>
      </c>
      <c r="H1330" s="26" t="str">
        <f t="shared" si="105"/>
        <v/>
      </c>
      <c r="I1330" s="10"/>
      <c r="J1330" s="10"/>
      <c r="K1330" s="10" t="str">
        <f t="shared" si="106"/>
        <v/>
      </c>
      <c r="L1330" s="10" t="str">
        <f t="shared" si="107"/>
        <v/>
      </c>
      <c r="M1330" s="10" t="str">
        <f t="shared" si="108"/>
        <v/>
      </c>
      <c r="N1330" s="10" t="str">
        <f t="shared" si="109"/>
        <v/>
      </c>
      <c r="O1330" s="6"/>
      <c r="P1330" s="6"/>
    </row>
    <row r="1331" spans="1:16" x14ac:dyDescent="0.3">
      <c r="A1331" s="6"/>
      <c r="B1331" s="7"/>
      <c r="C1331" s="6"/>
      <c r="D1331" s="6"/>
      <c r="E1331" s="6"/>
      <c r="F1331" s="25"/>
      <c r="G1331" s="25" t="str">
        <f>IF(A1331="","",SUMIFS(Paradas_Detalhadas!$I:$I,Paradas_Detalhadas!$A:$A,A1331,Paradas_Detalhadas!$B:$B,B1331,Paradas_Detalhadas!$C:$C,C1331,Paradas_Detalhadas!$D:$D,E1331))</f>
        <v/>
      </c>
      <c r="H1331" s="26" t="str">
        <f t="shared" si="105"/>
        <v/>
      </c>
      <c r="I1331" s="10"/>
      <c r="J1331" s="10"/>
      <c r="K1331" s="10" t="str">
        <f t="shared" si="106"/>
        <v/>
      </c>
      <c r="L1331" s="10" t="str">
        <f t="shared" si="107"/>
        <v/>
      </c>
      <c r="M1331" s="10" t="str">
        <f t="shared" si="108"/>
        <v/>
      </c>
      <c r="N1331" s="10" t="str">
        <f t="shared" si="109"/>
        <v/>
      </c>
      <c r="O1331" s="6"/>
      <c r="P1331" s="6"/>
    </row>
    <row r="1332" spans="1:16" x14ac:dyDescent="0.3">
      <c r="A1332" s="6"/>
      <c r="B1332" s="7"/>
      <c r="C1332" s="6"/>
      <c r="D1332" s="6"/>
      <c r="E1332" s="6"/>
      <c r="F1332" s="25"/>
      <c r="G1332" s="25" t="str">
        <f>IF(A1332="","",SUMIFS(Paradas_Detalhadas!$I:$I,Paradas_Detalhadas!$A:$A,A1332,Paradas_Detalhadas!$B:$B,B1332,Paradas_Detalhadas!$C:$C,C1332,Paradas_Detalhadas!$D:$D,E1332))</f>
        <v/>
      </c>
      <c r="H1332" s="26" t="str">
        <f t="shared" si="105"/>
        <v/>
      </c>
      <c r="I1332" s="10"/>
      <c r="J1332" s="10"/>
      <c r="K1332" s="10" t="str">
        <f t="shared" si="106"/>
        <v/>
      </c>
      <c r="L1332" s="10" t="str">
        <f t="shared" si="107"/>
        <v/>
      </c>
      <c r="M1332" s="10" t="str">
        <f t="shared" si="108"/>
        <v/>
      </c>
      <c r="N1332" s="10" t="str">
        <f t="shared" si="109"/>
        <v/>
      </c>
      <c r="O1332" s="6"/>
      <c r="P1332" s="6"/>
    </row>
    <row r="1333" spans="1:16" x14ac:dyDescent="0.3">
      <c r="A1333" s="6"/>
      <c r="B1333" s="7"/>
      <c r="C1333" s="6"/>
      <c r="D1333" s="6"/>
      <c r="E1333" s="6"/>
      <c r="F1333" s="25"/>
      <c r="G1333" s="25" t="str">
        <f>IF(A1333="","",SUMIFS(Paradas_Detalhadas!$I:$I,Paradas_Detalhadas!$A:$A,A1333,Paradas_Detalhadas!$B:$B,B1333,Paradas_Detalhadas!$C:$C,C1333,Paradas_Detalhadas!$D:$D,E1333))</f>
        <v/>
      </c>
      <c r="H1333" s="26" t="str">
        <f t="shared" si="105"/>
        <v/>
      </c>
      <c r="I1333" s="10"/>
      <c r="J1333" s="10"/>
      <c r="K1333" s="10" t="str">
        <f t="shared" si="106"/>
        <v/>
      </c>
      <c r="L1333" s="10" t="str">
        <f t="shared" si="107"/>
        <v/>
      </c>
      <c r="M1333" s="10" t="str">
        <f t="shared" si="108"/>
        <v/>
      </c>
      <c r="N1333" s="10" t="str">
        <f t="shared" si="109"/>
        <v/>
      </c>
      <c r="O1333" s="6"/>
      <c r="P1333" s="6"/>
    </row>
    <row r="1334" spans="1:16" x14ac:dyDescent="0.3">
      <c r="A1334" s="6"/>
      <c r="B1334" s="7"/>
      <c r="C1334" s="6"/>
      <c r="D1334" s="6"/>
      <c r="E1334" s="6"/>
      <c r="F1334" s="25"/>
      <c r="G1334" s="25" t="str">
        <f>IF(A1334="","",SUMIFS(Paradas_Detalhadas!$I:$I,Paradas_Detalhadas!$A:$A,A1334,Paradas_Detalhadas!$B:$B,B1334,Paradas_Detalhadas!$C:$C,C1334,Paradas_Detalhadas!$D:$D,E1334))</f>
        <v/>
      </c>
      <c r="H1334" s="26" t="str">
        <f t="shared" si="105"/>
        <v/>
      </c>
      <c r="I1334" s="10"/>
      <c r="J1334" s="10"/>
      <c r="K1334" s="10" t="str">
        <f t="shared" si="106"/>
        <v/>
      </c>
      <c r="L1334" s="10" t="str">
        <f t="shared" si="107"/>
        <v/>
      </c>
      <c r="M1334" s="10" t="str">
        <f t="shared" si="108"/>
        <v/>
      </c>
      <c r="N1334" s="10" t="str">
        <f t="shared" si="109"/>
        <v/>
      </c>
      <c r="O1334" s="6"/>
      <c r="P1334" s="6"/>
    </row>
    <row r="1335" spans="1:16" x14ac:dyDescent="0.3">
      <c r="A1335" s="6"/>
      <c r="B1335" s="7"/>
      <c r="C1335" s="6"/>
      <c r="D1335" s="6"/>
      <c r="E1335" s="6"/>
      <c r="F1335" s="25"/>
      <c r="G1335" s="25" t="str">
        <f>IF(A1335="","",SUMIFS(Paradas_Detalhadas!$I:$I,Paradas_Detalhadas!$A:$A,A1335,Paradas_Detalhadas!$B:$B,B1335,Paradas_Detalhadas!$C:$C,C1335,Paradas_Detalhadas!$D:$D,E1335))</f>
        <v/>
      </c>
      <c r="H1335" s="26" t="str">
        <f t="shared" si="105"/>
        <v/>
      </c>
      <c r="I1335" s="10"/>
      <c r="J1335" s="10"/>
      <c r="K1335" s="10" t="str">
        <f t="shared" si="106"/>
        <v/>
      </c>
      <c r="L1335" s="10" t="str">
        <f t="shared" si="107"/>
        <v/>
      </c>
      <c r="M1335" s="10" t="str">
        <f t="shared" si="108"/>
        <v/>
      </c>
      <c r="N1335" s="10" t="str">
        <f t="shared" si="109"/>
        <v/>
      </c>
      <c r="O1335" s="6"/>
      <c r="P1335" s="6"/>
    </row>
    <row r="1336" spans="1:16" x14ac:dyDescent="0.3">
      <c r="A1336" s="6"/>
      <c r="B1336" s="7"/>
      <c r="C1336" s="6"/>
      <c r="D1336" s="6"/>
      <c r="E1336" s="6"/>
      <c r="F1336" s="25"/>
      <c r="G1336" s="25" t="str">
        <f>IF(A1336="","",SUMIFS(Paradas_Detalhadas!$I:$I,Paradas_Detalhadas!$A:$A,A1336,Paradas_Detalhadas!$B:$B,B1336,Paradas_Detalhadas!$C:$C,C1336,Paradas_Detalhadas!$D:$D,E1336))</f>
        <v/>
      </c>
      <c r="H1336" s="26" t="str">
        <f t="shared" si="105"/>
        <v/>
      </c>
      <c r="I1336" s="10"/>
      <c r="J1336" s="10"/>
      <c r="K1336" s="10" t="str">
        <f t="shared" si="106"/>
        <v/>
      </c>
      <c r="L1336" s="10" t="str">
        <f t="shared" si="107"/>
        <v/>
      </c>
      <c r="M1336" s="10" t="str">
        <f t="shared" si="108"/>
        <v/>
      </c>
      <c r="N1336" s="10" t="str">
        <f t="shared" si="109"/>
        <v/>
      </c>
      <c r="O1336" s="6"/>
      <c r="P1336" s="6"/>
    </row>
    <row r="1337" spans="1:16" x14ac:dyDescent="0.3">
      <c r="A1337" s="6"/>
      <c r="B1337" s="7"/>
      <c r="C1337" s="6"/>
      <c r="D1337" s="6"/>
      <c r="E1337" s="6"/>
      <c r="F1337" s="25"/>
      <c r="G1337" s="25" t="str">
        <f>IF(A1337="","",SUMIFS(Paradas_Detalhadas!$I:$I,Paradas_Detalhadas!$A:$A,A1337,Paradas_Detalhadas!$B:$B,B1337,Paradas_Detalhadas!$C:$C,C1337,Paradas_Detalhadas!$D:$D,E1337))</f>
        <v/>
      </c>
      <c r="H1337" s="26" t="str">
        <f t="shared" si="105"/>
        <v/>
      </c>
      <c r="I1337" s="10"/>
      <c r="J1337" s="10"/>
      <c r="K1337" s="10" t="str">
        <f t="shared" si="106"/>
        <v/>
      </c>
      <c r="L1337" s="10" t="str">
        <f t="shared" si="107"/>
        <v/>
      </c>
      <c r="M1337" s="10" t="str">
        <f t="shared" si="108"/>
        <v/>
      </c>
      <c r="N1337" s="10" t="str">
        <f t="shared" si="109"/>
        <v/>
      </c>
      <c r="O1337" s="6"/>
      <c r="P1337" s="6"/>
    </row>
    <row r="1338" spans="1:16" x14ac:dyDescent="0.3">
      <c r="A1338" s="6"/>
      <c r="B1338" s="7"/>
      <c r="C1338" s="6"/>
      <c r="D1338" s="6"/>
      <c r="E1338" s="6"/>
      <c r="F1338" s="25"/>
      <c r="G1338" s="25" t="str">
        <f>IF(A1338="","",SUMIFS(Paradas_Detalhadas!$I:$I,Paradas_Detalhadas!$A:$A,A1338,Paradas_Detalhadas!$B:$B,B1338,Paradas_Detalhadas!$C:$C,C1338,Paradas_Detalhadas!$D:$D,E1338))</f>
        <v/>
      </c>
      <c r="H1338" s="26" t="str">
        <f t="shared" si="105"/>
        <v/>
      </c>
      <c r="I1338" s="10"/>
      <c r="J1338" s="10"/>
      <c r="K1338" s="10" t="str">
        <f t="shared" si="106"/>
        <v/>
      </c>
      <c r="L1338" s="10" t="str">
        <f t="shared" si="107"/>
        <v/>
      </c>
      <c r="M1338" s="10" t="str">
        <f t="shared" si="108"/>
        <v/>
      </c>
      <c r="N1338" s="10" t="str">
        <f t="shared" si="109"/>
        <v/>
      </c>
      <c r="O1338" s="6"/>
      <c r="P1338" s="6"/>
    </row>
    <row r="1339" spans="1:16" x14ac:dyDescent="0.3">
      <c r="A1339" s="6"/>
      <c r="B1339" s="7"/>
      <c r="C1339" s="6"/>
      <c r="D1339" s="6"/>
      <c r="E1339" s="6"/>
      <c r="F1339" s="25"/>
      <c r="G1339" s="25" t="str">
        <f>IF(A1339="","",SUMIFS(Paradas_Detalhadas!$I:$I,Paradas_Detalhadas!$A:$A,A1339,Paradas_Detalhadas!$B:$B,B1339,Paradas_Detalhadas!$C:$C,C1339,Paradas_Detalhadas!$D:$D,E1339))</f>
        <v/>
      </c>
      <c r="H1339" s="26" t="str">
        <f t="shared" si="105"/>
        <v/>
      </c>
      <c r="I1339" s="10"/>
      <c r="J1339" s="10"/>
      <c r="K1339" s="10" t="str">
        <f t="shared" si="106"/>
        <v/>
      </c>
      <c r="L1339" s="10" t="str">
        <f t="shared" si="107"/>
        <v/>
      </c>
      <c r="M1339" s="10" t="str">
        <f t="shared" si="108"/>
        <v/>
      </c>
      <c r="N1339" s="10" t="str">
        <f t="shared" si="109"/>
        <v/>
      </c>
      <c r="O1339" s="6"/>
      <c r="P1339" s="6"/>
    </row>
    <row r="1340" spans="1:16" x14ac:dyDescent="0.3">
      <c r="A1340" s="6"/>
      <c r="B1340" s="7"/>
      <c r="C1340" s="6"/>
      <c r="D1340" s="6"/>
      <c r="E1340" s="6"/>
      <c r="F1340" s="25"/>
      <c r="G1340" s="25" t="str">
        <f>IF(A1340="","",SUMIFS(Paradas_Detalhadas!$I:$I,Paradas_Detalhadas!$A:$A,A1340,Paradas_Detalhadas!$B:$B,B1340,Paradas_Detalhadas!$C:$C,C1340,Paradas_Detalhadas!$D:$D,E1340))</f>
        <v/>
      </c>
      <c r="H1340" s="26" t="str">
        <f t="shared" si="105"/>
        <v/>
      </c>
      <c r="I1340" s="10"/>
      <c r="J1340" s="10"/>
      <c r="K1340" s="10" t="str">
        <f t="shared" si="106"/>
        <v/>
      </c>
      <c r="L1340" s="10" t="str">
        <f t="shared" si="107"/>
        <v/>
      </c>
      <c r="M1340" s="10" t="str">
        <f t="shared" si="108"/>
        <v/>
      </c>
      <c r="N1340" s="10" t="str">
        <f t="shared" si="109"/>
        <v/>
      </c>
      <c r="O1340" s="6"/>
      <c r="P1340" s="6"/>
    </row>
    <row r="1341" spans="1:16" x14ac:dyDescent="0.3">
      <c r="A1341" s="6"/>
      <c r="B1341" s="7"/>
      <c r="C1341" s="6"/>
      <c r="D1341" s="6"/>
      <c r="E1341" s="6"/>
      <c r="F1341" s="25"/>
      <c r="G1341" s="25" t="str">
        <f>IF(A1341="","",SUMIFS(Paradas_Detalhadas!$I:$I,Paradas_Detalhadas!$A:$A,A1341,Paradas_Detalhadas!$B:$B,B1341,Paradas_Detalhadas!$C:$C,C1341,Paradas_Detalhadas!$D:$D,E1341))</f>
        <v/>
      </c>
      <c r="H1341" s="26" t="str">
        <f t="shared" si="105"/>
        <v/>
      </c>
      <c r="I1341" s="10"/>
      <c r="J1341" s="10"/>
      <c r="K1341" s="10" t="str">
        <f t="shared" si="106"/>
        <v/>
      </c>
      <c r="L1341" s="10" t="str">
        <f t="shared" si="107"/>
        <v/>
      </c>
      <c r="M1341" s="10" t="str">
        <f t="shared" si="108"/>
        <v/>
      </c>
      <c r="N1341" s="10" t="str">
        <f t="shared" si="109"/>
        <v/>
      </c>
      <c r="O1341" s="6"/>
      <c r="P1341" s="6"/>
    </row>
    <row r="1342" spans="1:16" x14ac:dyDescent="0.3">
      <c r="A1342" s="6"/>
      <c r="B1342" s="7"/>
      <c r="C1342" s="6"/>
      <c r="D1342" s="6"/>
      <c r="E1342" s="6"/>
      <c r="F1342" s="25"/>
      <c r="G1342" s="25" t="str">
        <f>IF(A1342="","",SUMIFS(Paradas_Detalhadas!$I:$I,Paradas_Detalhadas!$A:$A,A1342,Paradas_Detalhadas!$B:$B,B1342,Paradas_Detalhadas!$C:$C,C1342,Paradas_Detalhadas!$D:$D,E1342))</f>
        <v/>
      </c>
      <c r="H1342" s="26" t="str">
        <f t="shared" si="105"/>
        <v/>
      </c>
      <c r="I1342" s="10"/>
      <c r="J1342" s="10"/>
      <c r="K1342" s="10" t="str">
        <f t="shared" si="106"/>
        <v/>
      </c>
      <c r="L1342" s="10" t="str">
        <f t="shared" si="107"/>
        <v/>
      </c>
      <c r="M1342" s="10" t="str">
        <f t="shared" si="108"/>
        <v/>
      </c>
      <c r="N1342" s="10" t="str">
        <f t="shared" si="109"/>
        <v/>
      </c>
      <c r="O1342" s="6"/>
      <c r="P1342" s="6"/>
    </row>
    <row r="1343" spans="1:16" x14ac:dyDescent="0.3">
      <c r="A1343" s="6"/>
      <c r="B1343" s="7"/>
      <c r="C1343" s="6"/>
      <c r="D1343" s="6"/>
      <c r="E1343" s="6"/>
      <c r="F1343" s="25"/>
      <c r="G1343" s="25" t="str">
        <f>IF(A1343="","",SUMIFS(Paradas_Detalhadas!$I:$I,Paradas_Detalhadas!$A:$A,A1343,Paradas_Detalhadas!$B:$B,B1343,Paradas_Detalhadas!$C:$C,C1343,Paradas_Detalhadas!$D:$D,E1343))</f>
        <v/>
      </c>
      <c r="H1343" s="26" t="str">
        <f t="shared" si="105"/>
        <v/>
      </c>
      <c r="I1343" s="10"/>
      <c r="J1343" s="10"/>
      <c r="K1343" s="10" t="str">
        <f t="shared" si="106"/>
        <v/>
      </c>
      <c r="L1343" s="10" t="str">
        <f t="shared" si="107"/>
        <v/>
      </c>
      <c r="M1343" s="10" t="str">
        <f t="shared" si="108"/>
        <v/>
      </c>
      <c r="N1343" s="10" t="str">
        <f t="shared" si="109"/>
        <v/>
      </c>
      <c r="O1343" s="6"/>
      <c r="P1343" s="6"/>
    </row>
    <row r="1344" spans="1:16" x14ac:dyDescent="0.3">
      <c r="A1344" s="6"/>
      <c r="B1344" s="7"/>
      <c r="C1344" s="6"/>
      <c r="D1344" s="6"/>
      <c r="E1344" s="6"/>
      <c r="F1344" s="25"/>
      <c r="G1344" s="25" t="str">
        <f>IF(A1344="","",SUMIFS(Paradas_Detalhadas!$I:$I,Paradas_Detalhadas!$A:$A,A1344,Paradas_Detalhadas!$B:$B,B1344,Paradas_Detalhadas!$C:$C,C1344,Paradas_Detalhadas!$D:$D,E1344))</f>
        <v/>
      </c>
      <c r="H1344" s="26" t="str">
        <f t="shared" si="105"/>
        <v/>
      </c>
      <c r="I1344" s="10"/>
      <c r="J1344" s="10"/>
      <c r="K1344" s="10" t="str">
        <f t="shared" si="106"/>
        <v/>
      </c>
      <c r="L1344" s="10" t="str">
        <f t="shared" si="107"/>
        <v/>
      </c>
      <c r="M1344" s="10" t="str">
        <f t="shared" si="108"/>
        <v/>
      </c>
      <c r="N1344" s="10" t="str">
        <f t="shared" si="109"/>
        <v/>
      </c>
      <c r="O1344" s="6"/>
      <c r="P1344" s="6"/>
    </row>
    <row r="1345" spans="1:16" x14ac:dyDescent="0.3">
      <c r="A1345" s="6"/>
      <c r="B1345" s="7"/>
      <c r="C1345" s="6"/>
      <c r="D1345" s="6"/>
      <c r="E1345" s="6"/>
      <c r="F1345" s="25"/>
      <c r="G1345" s="25" t="str">
        <f>IF(A1345="","",SUMIFS(Paradas_Detalhadas!$I:$I,Paradas_Detalhadas!$A:$A,A1345,Paradas_Detalhadas!$B:$B,B1345,Paradas_Detalhadas!$C:$C,C1345,Paradas_Detalhadas!$D:$D,E1345))</f>
        <v/>
      </c>
      <c r="H1345" s="26" t="str">
        <f t="shared" si="105"/>
        <v/>
      </c>
      <c r="I1345" s="10"/>
      <c r="J1345" s="10"/>
      <c r="K1345" s="10" t="str">
        <f t="shared" si="106"/>
        <v/>
      </c>
      <c r="L1345" s="10" t="str">
        <f t="shared" si="107"/>
        <v/>
      </c>
      <c r="M1345" s="10" t="str">
        <f t="shared" si="108"/>
        <v/>
      </c>
      <c r="N1345" s="10" t="str">
        <f t="shared" si="109"/>
        <v/>
      </c>
      <c r="O1345" s="6"/>
      <c r="P1345" s="6"/>
    </row>
    <row r="1346" spans="1:16" x14ac:dyDescent="0.3">
      <c r="A1346" s="6"/>
      <c r="B1346" s="7"/>
      <c r="C1346" s="6"/>
      <c r="D1346" s="6"/>
      <c r="E1346" s="6"/>
      <c r="F1346" s="25"/>
      <c r="G1346" s="25" t="str">
        <f>IF(A1346="","",SUMIFS(Paradas_Detalhadas!$I:$I,Paradas_Detalhadas!$A:$A,A1346,Paradas_Detalhadas!$B:$B,B1346,Paradas_Detalhadas!$C:$C,C1346,Paradas_Detalhadas!$D:$D,E1346))</f>
        <v/>
      </c>
      <c r="H1346" s="26" t="str">
        <f t="shared" si="105"/>
        <v/>
      </c>
      <c r="I1346" s="10"/>
      <c r="J1346" s="10"/>
      <c r="K1346" s="10" t="str">
        <f t="shared" si="106"/>
        <v/>
      </c>
      <c r="L1346" s="10" t="str">
        <f t="shared" si="107"/>
        <v/>
      </c>
      <c r="M1346" s="10" t="str">
        <f t="shared" si="108"/>
        <v/>
      </c>
      <c r="N1346" s="10" t="str">
        <f t="shared" si="109"/>
        <v/>
      </c>
      <c r="O1346" s="6"/>
      <c r="P1346" s="6"/>
    </row>
    <row r="1347" spans="1:16" x14ac:dyDescent="0.3">
      <c r="A1347" s="6"/>
      <c r="B1347" s="7"/>
      <c r="C1347" s="6"/>
      <c r="D1347" s="6"/>
      <c r="E1347" s="6"/>
      <c r="F1347" s="25"/>
      <c r="G1347" s="25" t="str">
        <f>IF(A1347="","",SUMIFS(Paradas_Detalhadas!$I:$I,Paradas_Detalhadas!$A:$A,A1347,Paradas_Detalhadas!$B:$B,B1347,Paradas_Detalhadas!$C:$C,C1347,Paradas_Detalhadas!$D:$D,E1347))</f>
        <v/>
      </c>
      <c r="H1347" s="26" t="str">
        <f t="shared" si="105"/>
        <v/>
      </c>
      <c r="I1347" s="10"/>
      <c r="J1347" s="10"/>
      <c r="K1347" s="10" t="str">
        <f t="shared" si="106"/>
        <v/>
      </c>
      <c r="L1347" s="10" t="str">
        <f t="shared" si="107"/>
        <v/>
      </c>
      <c r="M1347" s="10" t="str">
        <f t="shared" si="108"/>
        <v/>
      </c>
      <c r="N1347" s="10" t="str">
        <f t="shared" si="109"/>
        <v/>
      </c>
      <c r="O1347" s="6"/>
      <c r="P1347" s="6"/>
    </row>
    <row r="1348" spans="1:16" x14ac:dyDescent="0.3">
      <c r="A1348" s="6"/>
      <c r="B1348" s="7"/>
      <c r="C1348" s="6"/>
      <c r="D1348" s="6"/>
      <c r="E1348" s="6"/>
      <c r="F1348" s="25"/>
      <c r="G1348" s="25" t="str">
        <f>IF(A1348="","",SUMIFS(Paradas_Detalhadas!$I:$I,Paradas_Detalhadas!$A:$A,A1348,Paradas_Detalhadas!$B:$B,B1348,Paradas_Detalhadas!$C:$C,C1348,Paradas_Detalhadas!$D:$D,E1348))</f>
        <v/>
      </c>
      <c r="H1348" s="26" t="str">
        <f t="shared" si="105"/>
        <v/>
      </c>
      <c r="I1348" s="10"/>
      <c r="J1348" s="10"/>
      <c r="K1348" s="10" t="str">
        <f t="shared" si="106"/>
        <v/>
      </c>
      <c r="L1348" s="10" t="str">
        <f t="shared" si="107"/>
        <v/>
      </c>
      <c r="M1348" s="10" t="str">
        <f t="shared" si="108"/>
        <v/>
      </c>
      <c r="N1348" s="10" t="str">
        <f t="shared" si="109"/>
        <v/>
      </c>
      <c r="O1348" s="6"/>
      <c r="P1348" s="6"/>
    </row>
    <row r="1349" spans="1:16" x14ac:dyDescent="0.3">
      <c r="A1349" s="6"/>
      <c r="B1349" s="7"/>
      <c r="C1349" s="6"/>
      <c r="D1349" s="6"/>
      <c r="E1349" s="6"/>
      <c r="F1349" s="25"/>
      <c r="G1349" s="25" t="str">
        <f>IF(A1349="","",SUMIFS(Paradas_Detalhadas!$I:$I,Paradas_Detalhadas!$A:$A,A1349,Paradas_Detalhadas!$B:$B,B1349,Paradas_Detalhadas!$C:$C,C1349,Paradas_Detalhadas!$D:$D,E1349))</f>
        <v/>
      </c>
      <c r="H1349" s="26" t="str">
        <f t="shared" si="105"/>
        <v/>
      </c>
      <c r="I1349" s="10"/>
      <c r="J1349" s="10"/>
      <c r="K1349" s="10" t="str">
        <f t="shared" si="106"/>
        <v/>
      </c>
      <c r="L1349" s="10" t="str">
        <f t="shared" si="107"/>
        <v/>
      </c>
      <c r="M1349" s="10" t="str">
        <f t="shared" si="108"/>
        <v/>
      </c>
      <c r="N1349" s="10" t="str">
        <f t="shared" si="109"/>
        <v/>
      </c>
      <c r="O1349" s="6"/>
      <c r="P1349" s="6"/>
    </row>
    <row r="1350" spans="1:16" x14ac:dyDescent="0.3">
      <c r="A1350" s="6"/>
      <c r="B1350" s="7"/>
      <c r="C1350" s="6"/>
      <c r="D1350" s="6"/>
      <c r="E1350" s="6"/>
      <c r="F1350" s="25"/>
      <c r="G1350" s="25" t="str">
        <f>IF(A1350="","",SUMIFS(Paradas_Detalhadas!$I:$I,Paradas_Detalhadas!$A:$A,A1350,Paradas_Detalhadas!$B:$B,B1350,Paradas_Detalhadas!$C:$C,C1350,Paradas_Detalhadas!$D:$D,E1350))</f>
        <v/>
      </c>
      <c r="H1350" s="26" t="str">
        <f t="shared" si="105"/>
        <v/>
      </c>
      <c r="I1350" s="10"/>
      <c r="J1350" s="10"/>
      <c r="K1350" s="10" t="str">
        <f t="shared" si="106"/>
        <v/>
      </c>
      <c r="L1350" s="10" t="str">
        <f t="shared" si="107"/>
        <v/>
      </c>
      <c r="M1350" s="10" t="str">
        <f t="shared" si="108"/>
        <v/>
      </c>
      <c r="N1350" s="10" t="str">
        <f t="shared" si="109"/>
        <v/>
      </c>
      <c r="O1350" s="6"/>
      <c r="P1350" s="6"/>
    </row>
    <row r="1351" spans="1:16" x14ac:dyDescent="0.3">
      <c r="A1351" s="6"/>
      <c r="B1351" s="7"/>
      <c r="C1351" s="6"/>
      <c r="D1351" s="6"/>
      <c r="E1351" s="6"/>
      <c r="F1351" s="25"/>
      <c r="G1351" s="25" t="str">
        <f>IF(A1351="","",SUMIFS(Paradas_Detalhadas!$I:$I,Paradas_Detalhadas!$A:$A,A1351,Paradas_Detalhadas!$B:$B,B1351,Paradas_Detalhadas!$C:$C,C1351,Paradas_Detalhadas!$D:$D,E1351))</f>
        <v/>
      </c>
      <c r="H1351" s="26" t="str">
        <f t="shared" si="105"/>
        <v/>
      </c>
      <c r="I1351" s="10"/>
      <c r="J1351" s="10"/>
      <c r="K1351" s="10" t="str">
        <f t="shared" si="106"/>
        <v/>
      </c>
      <c r="L1351" s="10" t="str">
        <f t="shared" si="107"/>
        <v/>
      </c>
      <c r="M1351" s="10" t="str">
        <f t="shared" si="108"/>
        <v/>
      </c>
      <c r="N1351" s="10" t="str">
        <f t="shared" si="109"/>
        <v/>
      </c>
      <c r="O1351" s="6"/>
      <c r="P1351" s="6"/>
    </row>
    <row r="1352" spans="1:16" x14ac:dyDescent="0.3">
      <c r="A1352" s="6"/>
      <c r="B1352" s="7"/>
      <c r="C1352" s="6"/>
      <c r="D1352" s="6"/>
      <c r="E1352" s="6"/>
      <c r="F1352" s="25"/>
      <c r="G1352" s="25" t="str">
        <f>IF(A1352="","",SUMIFS(Paradas_Detalhadas!$I:$I,Paradas_Detalhadas!$A:$A,A1352,Paradas_Detalhadas!$B:$B,B1352,Paradas_Detalhadas!$C:$C,C1352,Paradas_Detalhadas!$D:$D,E1352))</f>
        <v/>
      </c>
      <c r="H1352" s="26" t="str">
        <f t="shared" si="105"/>
        <v/>
      </c>
      <c r="I1352" s="10"/>
      <c r="J1352" s="10"/>
      <c r="K1352" s="10" t="str">
        <f t="shared" si="106"/>
        <v/>
      </c>
      <c r="L1352" s="10" t="str">
        <f t="shared" si="107"/>
        <v/>
      </c>
      <c r="M1352" s="10" t="str">
        <f t="shared" si="108"/>
        <v/>
      </c>
      <c r="N1352" s="10" t="str">
        <f t="shared" si="109"/>
        <v/>
      </c>
      <c r="O1352" s="6"/>
      <c r="P1352" s="6"/>
    </row>
    <row r="1353" spans="1:16" x14ac:dyDescent="0.3">
      <c r="A1353" s="6"/>
      <c r="B1353" s="7"/>
      <c r="C1353" s="6"/>
      <c r="D1353" s="6"/>
      <c r="E1353" s="6"/>
      <c r="F1353" s="25"/>
      <c r="G1353" s="25" t="str">
        <f>IF(A1353="","",SUMIFS(Paradas_Detalhadas!$I:$I,Paradas_Detalhadas!$A:$A,A1353,Paradas_Detalhadas!$B:$B,B1353,Paradas_Detalhadas!$C:$C,C1353,Paradas_Detalhadas!$D:$D,E1353))</f>
        <v/>
      </c>
      <c r="H1353" s="26" t="str">
        <f t="shared" si="105"/>
        <v/>
      </c>
      <c r="I1353" s="10"/>
      <c r="J1353" s="10"/>
      <c r="K1353" s="10" t="str">
        <f t="shared" si="106"/>
        <v/>
      </c>
      <c r="L1353" s="10" t="str">
        <f t="shared" si="107"/>
        <v/>
      </c>
      <c r="M1353" s="10" t="str">
        <f t="shared" si="108"/>
        <v/>
      </c>
      <c r="N1353" s="10" t="str">
        <f t="shared" si="109"/>
        <v/>
      </c>
      <c r="O1353" s="6"/>
      <c r="P1353" s="6"/>
    </row>
    <row r="1354" spans="1:16" x14ac:dyDescent="0.3">
      <c r="A1354" s="6"/>
      <c r="B1354" s="7"/>
      <c r="C1354" s="6"/>
      <c r="D1354" s="6"/>
      <c r="E1354" s="6"/>
      <c r="F1354" s="25"/>
      <c r="G1354" s="25" t="str">
        <f>IF(A1354="","",SUMIFS(Paradas_Detalhadas!$I:$I,Paradas_Detalhadas!$A:$A,A1354,Paradas_Detalhadas!$B:$B,B1354,Paradas_Detalhadas!$C:$C,C1354,Paradas_Detalhadas!$D:$D,E1354))</f>
        <v/>
      </c>
      <c r="H1354" s="26" t="str">
        <f t="shared" si="105"/>
        <v/>
      </c>
      <c r="I1354" s="10"/>
      <c r="J1354" s="10"/>
      <c r="K1354" s="10" t="str">
        <f t="shared" si="106"/>
        <v/>
      </c>
      <c r="L1354" s="10" t="str">
        <f t="shared" si="107"/>
        <v/>
      </c>
      <c r="M1354" s="10" t="str">
        <f t="shared" si="108"/>
        <v/>
      </c>
      <c r="N1354" s="10" t="str">
        <f t="shared" si="109"/>
        <v/>
      </c>
      <c r="O1354" s="6"/>
      <c r="P1354" s="6"/>
    </row>
    <row r="1355" spans="1:16" x14ac:dyDescent="0.3">
      <c r="A1355" s="6"/>
      <c r="B1355" s="7"/>
      <c r="C1355" s="6"/>
      <c r="D1355" s="6"/>
      <c r="E1355" s="6"/>
      <c r="F1355" s="25"/>
      <c r="G1355" s="25" t="str">
        <f>IF(A1355="","",SUMIFS(Paradas_Detalhadas!$I:$I,Paradas_Detalhadas!$A:$A,A1355,Paradas_Detalhadas!$B:$B,B1355,Paradas_Detalhadas!$C:$C,C1355,Paradas_Detalhadas!$D:$D,E1355))</f>
        <v/>
      </c>
      <c r="H1355" s="26" t="str">
        <f t="shared" si="105"/>
        <v/>
      </c>
      <c r="I1355" s="10"/>
      <c r="J1355" s="10"/>
      <c r="K1355" s="10" t="str">
        <f t="shared" si="106"/>
        <v/>
      </c>
      <c r="L1355" s="10" t="str">
        <f t="shared" si="107"/>
        <v/>
      </c>
      <c r="M1355" s="10" t="str">
        <f t="shared" si="108"/>
        <v/>
      </c>
      <c r="N1355" s="10" t="str">
        <f t="shared" si="109"/>
        <v/>
      </c>
      <c r="O1355" s="6"/>
      <c r="P1355" s="6"/>
    </row>
    <row r="1356" spans="1:16" x14ac:dyDescent="0.3">
      <c r="A1356" s="6"/>
      <c r="B1356" s="7"/>
      <c r="C1356" s="6"/>
      <c r="D1356" s="6"/>
      <c r="E1356" s="6"/>
      <c r="F1356" s="25"/>
      <c r="G1356" s="25" t="str">
        <f>IF(A1356="","",SUMIFS(Paradas_Detalhadas!$I:$I,Paradas_Detalhadas!$A:$A,A1356,Paradas_Detalhadas!$B:$B,B1356,Paradas_Detalhadas!$C:$C,C1356,Paradas_Detalhadas!$D:$D,E1356))</f>
        <v/>
      </c>
      <c r="H1356" s="26" t="str">
        <f t="shared" si="105"/>
        <v/>
      </c>
      <c r="I1356" s="10"/>
      <c r="J1356" s="10"/>
      <c r="K1356" s="10" t="str">
        <f t="shared" si="106"/>
        <v/>
      </c>
      <c r="L1356" s="10" t="str">
        <f t="shared" si="107"/>
        <v/>
      </c>
      <c r="M1356" s="10" t="str">
        <f t="shared" si="108"/>
        <v/>
      </c>
      <c r="N1356" s="10" t="str">
        <f t="shared" si="109"/>
        <v/>
      </c>
      <c r="O1356" s="6"/>
      <c r="P1356" s="6"/>
    </row>
    <row r="1357" spans="1:16" x14ac:dyDescent="0.3">
      <c r="A1357" s="6"/>
      <c r="B1357" s="7"/>
      <c r="C1357" s="6"/>
      <c r="D1357" s="6"/>
      <c r="E1357" s="6"/>
      <c r="F1357" s="25"/>
      <c r="G1357" s="25" t="str">
        <f>IF(A1357="","",SUMIFS(Paradas_Detalhadas!$I:$I,Paradas_Detalhadas!$A:$A,A1357,Paradas_Detalhadas!$B:$B,B1357,Paradas_Detalhadas!$C:$C,C1357,Paradas_Detalhadas!$D:$D,E1357))</f>
        <v/>
      </c>
      <c r="H1357" s="26" t="str">
        <f t="shared" si="105"/>
        <v/>
      </c>
      <c r="I1357" s="10"/>
      <c r="J1357" s="10"/>
      <c r="K1357" s="10" t="str">
        <f t="shared" si="106"/>
        <v/>
      </c>
      <c r="L1357" s="10" t="str">
        <f t="shared" si="107"/>
        <v/>
      </c>
      <c r="M1357" s="10" t="str">
        <f t="shared" si="108"/>
        <v/>
      </c>
      <c r="N1357" s="10" t="str">
        <f t="shared" si="109"/>
        <v/>
      </c>
      <c r="O1357" s="6"/>
      <c r="P1357" s="6"/>
    </row>
    <row r="1358" spans="1:16" x14ac:dyDescent="0.3">
      <c r="A1358" s="6"/>
      <c r="B1358" s="7"/>
      <c r="C1358" s="6"/>
      <c r="D1358" s="6"/>
      <c r="E1358" s="6"/>
      <c r="F1358" s="25"/>
      <c r="G1358" s="25" t="str">
        <f>IF(A1358="","",SUMIFS(Paradas_Detalhadas!$I:$I,Paradas_Detalhadas!$A:$A,A1358,Paradas_Detalhadas!$B:$B,B1358,Paradas_Detalhadas!$C:$C,C1358,Paradas_Detalhadas!$D:$D,E1358))</f>
        <v/>
      </c>
      <c r="H1358" s="26" t="str">
        <f t="shared" si="105"/>
        <v/>
      </c>
      <c r="I1358" s="10"/>
      <c r="J1358" s="10"/>
      <c r="K1358" s="10" t="str">
        <f t="shared" si="106"/>
        <v/>
      </c>
      <c r="L1358" s="10" t="str">
        <f t="shared" si="107"/>
        <v/>
      </c>
      <c r="M1358" s="10" t="str">
        <f t="shared" si="108"/>
        <v/>
      </c>
      <c r="N1358" s="10" t="str">
        <f t="shared" si="109"/>
        <v/>
      </c>
      <c r="O1358" s="6"/>
      <c r="P1358" s="6"/>
    </row>
    <row r="1359" spans="1:16" x14ac:dyDescent="0.3">
      <c r="A1359" s="6"/>
      <c r="B1359" s="7"/>
      <c r="C1359" s="6"/>
      <c r="D1359" s="6"/>
      <c r="E1359" s="6"/>
      <c r="F1359" s="25"/>
      <c r="G1359" s="25" t="str">
        <f>IF(A1359="","",SUMIFS(Paradas_Detalhadas!$I:$I,Paradas_Detalhadas!$A:$A,A1359,Paradas_Detalhadas!$B:$B,B1359,Paradas_Detalhadas!$C:$C,C1359,Paradas_Detalhadas!$D:$D,E1359))</f>
        <v/>
      </c>
      <c r="H1359" s="26" t="str">
        <f t="shared" si="105"/>
        <v/>
      </c>
      <c r="I1359" s="10"/>
      <c r="J1359" s="10"/>
      <c r="K1359" s="10" t="str">
        <f t="shared" si="106"/>
        <v/>
      </c>
      <c r="L1359" s="10" t="str">
        <f t="shared" si="107"/>
        <v/>
      </c>
      <c r="M1359" s="10" t="str">
        <f t="shared" si="108"/>
        <v/>
      </c>
      <c r="N1359" s="10" t="str">
        <f t="shared" si="109"/>
        <v/>
      </c>
      <c r="O1359" s="6"/>
      <c r="P1359" s="6"/>
    </row>
    <row r="1360" spans="1:16" x14ac:dyDescent="0.3">
      <c r="A1360" s="6"/>
      <c r="B1360" s="7"/>
      <c r="C1360" s="6"/>
      <c r="D1360" s="6"/>
      <c r="E1360" s="6"/>
      <c r="F1360" s="25"/>
      <c r="G1360" s="25" t="str">
        <f>IF(A1360="","",SUMIFS(Paradas_Detalhadas!$I:$I,Paradas_Detalhadas!$A:$A,A1360,Paradas_Detalhadas!$B:$B,B1360,Paradas_Detalhadas!$C:$C,C1360,Paradas_Detalhadas!$D:$D,E1360))</f>
        <v/>
      </c>
      <c r="H1360" s="26" t="str">
        <f t="shared" si="105"/>
        <v/>
      </c>
      <c r="I1360" s="10"/>
      <c r="J1360" s="10"/>
      <c r="K1360" s="10" t="str">
        <f t="shared" si="106"/>
        <v/>
      </c>
      <c r="L1360" s="10" t="str">
        <f t="shared" si="107"/>
        <v/>
      </c>
      <c r="M1360" s="10" t="str">
        <f t="shared" si="108"/>
        <v/>
      </c>
      <c r="N1360" s="10" t="str">
        <f t="shared" si="109"/>
        <v/>
      </c>
      <c r="O1360" s="6"/>
      <c r="P1360" s="6"/>
    </row>
    <row r="1361" spans="1:16" x14ac:dyDescent="0.3">
      <c r="A1361" s="6"/>
      <c r="B1361" s="7"/>
      <c r="C1361" s="6"/>
      <c r="D1361" s="6"/>
      <c r="E1361" s="6"/>
      <c r="F1361" s="25"/>
      <c r="G1361" s="25" t="str">
        <f>IF(A1361="","",SUMIFS(Paradas_Detalhadas!$I:$I,Paradas_Detalhadas!$A:$A,A1361,Paradas_Detalhadas!$B:$B,B1361,Paradas_Detalhadas!$C:$C,C1361,Paradas_Detalhadas!$D:$D,E1361))</f>
        <v/>
      </c>
      <c r="H1361" s="26" t="str">
        <f t="shared" si="105"/>
        <v/>
      </c>
      <c r="I1361" s="10"/>
      <c r="J1361" s="10"/>
      <c r="K1361" s="10" t="str">
        <f t="shared" si="106"/>
        <v/>
      </c>
      <c r="L1361" s="10" t="str">
        <f t="shared" si="107"/>
        <v/>
      </c>
      <c r="M1361" s="10" t="str">
        <f t="shared" si="108"/>
        <v/>
      </c>
      <c r="N1361" s="10" t="str">
        <f t="shared" si="109"/>
        <v/>
      </c>
      <c r="O1361" s="6"/>
      <c r="P1361" s="6"/>
    </row>
    <row r="1362" spans="1:16" x14ac:dyDescent="0.3">
      <c r="A1362" s="6"/>
      <c r="B1362" s="7"/>
      <c r="C1362" s="6"/>
      <c r="D1362" s="6"/>
      <c r="E1362" s="6"/>
      <c r="F1362" s="25"/>
      <c r="G1362" s="25" t="str">
        <f>IF(A1362="","",SUMIFS(Paradas_Detalhadas!$I:$I,Paradas_Detalhadas!$A:$A,A1362,Paradas_Detalhadas!$B:$B,B1362,Paradas_Detalhadas!$C:$C,C1362,Paradas_Detalhadas!$D:$D,E1362))</f>
        <v/>
      </c>
      <c r="H1362" s="26" t="str">
        <f t="shared" si="105"/>
        <v/>
      </c>
      <c r="I1362" s="10"/>
      <c r="J1362" s="10"/>
      <c r="K1362" s="10" t="str">
        <f t="shared" si="106"/>
        <v/>
      </c>
      <c r="L1362" s="10" t="str">
        <f t="shared" si="107"/>
        <v/>
      </c>
      <c r="M1362" s="10" t="str">
        <f t="shared" si="108"/>
        <v/>
      </c>
      <c r="N1362" s="10" t="str">
        <f t="shared" si="109"/>
        <v/>
      </c>
      <c r="O1362" s="6"/>
      <c r="P1362" s="6"/>
    </row>
    <row r="1363" spans="1:16" x14ac:dyDescent="0.3">
      <c r="A1363" s="6"/>
      <c r="B1363" s="7"/>
      <c r="C1363" s="6"/>
      <c r="D1363" s="6"/>
      <c r="E1363" s="6"/>
      <c r="F1363" s="25"/>
      <c r="G1363" s="25" t="str">
        <f>IF(A1363="","",SUMIFS(Paradas_Detalhadas!$I:$I,Paradas_Detalhadas!$A:$A,A1363,Paradas_Detalhadas!$B:$B,B1363,Paradas_Detalhadas!$C:$C,C1363,Paradas_Detalhadas!$D:$D,E1363))</f>
        <v/>
      </c>
      <c r="H1363" s="26" t="str">
        <f t="shared" si="105"/>
        <v/>
      </c>
      <c r="I1363" s="10"/>
      <c r="J1363" s="10"/>
      <c r="K1363" s="10" t="str">
        <f t="shared" si="106"/>
        <v/>
      </c>
      <c r="L1363" s="10" t="str">
        <f t="shared" si="107"/>
        <v/>
      </c>
      <c r="M1363" s="10" t="str">
        <f t="shared" si="108"/>
        <v/>
      </c>
      <c r="N1363" s="10" t="str">
        <f t="shared" si="109"/>
        <v/>
      </c>
      <c r="O1363" s="6"/>
      <c r="P1363" s="6"/>
    </row>
    <row r="1364" spans="1:16" x14ac:dyDescent="0.3">
      <c r="A1364" s="6"/>
      <c r="B1364" s="7"/>
      <c r="C1364" s="6"/>
      <c r="D1364" s="6"/>
      <c r="E1364" s="6"/>
      <c r="F1364" s="25"/>
      <c r="G1364" s="25" t="str">
        <f>IF(A1364="","",SUMIFS(Paradas_Detalhadas!$I:$I,Paradas_Detalhadas!$A:$A,A1364,Paradas_Detalhadas!$B:$B,B1364,Paradas_Detalhadas!$C:$C,C1364,Paradas_Detalhadas!$D:$D,E1364))</f>
        <v/>
      </c>
      <c r="H1364" s="26" t="str">
        <f t="shared" si="105"/>
        <v/>
      </c>
      <c r="I1364" s="10"/>
      <c r="J1364" s="10"/>
      <c r="K1364" s="10" t="str">
        <f t="shared" si="106"/>
        <v/>
      </c>
      <c r="L1364" s="10" t="str">
        <f t="shared" si="107"/>
        <v/>
      </c>
      <c r="M1364" s="10" t="str">
        <f t="shared" si="108"/>
        <v/>
      </c>
      <c r="N1364" s="10" t="str">
        <f t="shared" si="109"/>
        <v/>
      </c>
      <c r="O1364" s="6"/>
      <c r="P1364" s="6"/>
    </row>
    <row r="1365" spans="1:16" x14ac:dyDescent="0.3">
      <c r="A1365" s="6"/>
      <c r="B1365" s="7"/>
      <c r="C1365" s="6"/>
      <c r="D1365" s="6"/>
      <c r="E1365" s="6"/>
      <c r="F1365" s="25"/>
      <c r="G1365" s="25" t="str">
        <f>IF(A1365="","",SUMIFS(Paradas_Detalhadas!$I:$I,Paradas_Detalhadas!$A:$A,A1365,Paradas_Detalhadas!$B:$B,B1365,Paradas_Detalhadas!$C:$C,C1365,Paradas_Detalhadas!$D:$D,E1365))</f>
        <v/>
      </c>
      <c r="H1365" s="26" t="str">
        <f t="shared" si="105"/>
        <v/>
      </c>
      <c r="I1365" s="10"/>
      <c r="J1365" s="10"/>
      <c r="K1365" s="10" t="str">
        <f t="shared" si="106"/>
        <v/>
      </c>
      <c r="L1365" s="10" t="str">
        <f t="shared" si="107"/>
        <v/>
      </c>
      <c r="M1365" s="10" t="str">
        <f t="shared" si="108"/>
        <v/>
      </c>
      <c r="N1365" s="10" t="str">
        <f t="shared" si="109"/>
        <v/>
      </c>
      <c r="O1365" s="6"/>
      <c r="P1365" s="6"/>
    </row>
    <row r="1366" spans="1:16" x14ac:dyDescent="0.3">
      <c r="A1366" s="6"/>
      <c r="B1366" s="7"/>
      <c r="C1366" s="6"/>
      <c r="D1366" s="6"/>
      <c r="E1366" s="6"/>
      <c r="F1366" s="25"/>
      <c r="G1366" s="25" t="str">
        <f>IF(A1366="","",SUMIFS(Paradas_Detalhadas!$I:$I,Paradas_Detalhadas!$A:$A,A1366,Paradas_Detalhadas!$B:$B,B1366,Paradas_Detalhadas!$C:$C,C1366,Paradas_Detalhadas!$D:$D,E1366))</f>
        <v/>
      </c>
      <c r="H1366" s="26" t="str">
        <f t="shared" si="105"/>
        <v/>
      </c>
      <c r="I1366" s="10"/>
      <c r="J1366" s="10"/>
      <c r="K1366" s="10" t="str">
        <f t="shared" si="106"/>
        <v/>
      </c>
      <c r="L1366" s="10" t="str">
        <f t="shared" si="107"/>
        <v/>
      </c>
      <c r="M1366" s="10" t="str">
        <f t="shared" si="108"/>
        <v/>
      </c>
      <c r="N1366" s="10" t="str">
        <f t="shared" si="109"/>
        <v/>
      </c>
      <c r="O1366" s="6"/>
      <c r="P1366" s="6"/>
    </row>
    <row r="1367" spans="1:16" x14ac:dyDescent="0.3">
      <c r="A1367" s="6"/>
      <c r="B1367" s="7"/>
      <c r="C1367" s="6"/>
      <c r="D1367" s="6"/>
      <c r="E1367" s="6"/>
      <c r="F1367" s="25"/>
      <c r="G1367" s="25" t="str">
        <f>IF(A1367="","",SUMIFS(Paradas_Detalhadas!$I:$I,Paradas_Detalhadas!$A:$A,A1367,Paradas_Detalhadas!$B:$B,B1367,Paradas_Detalhadas!$C:$C,C1367,Paradas_Detalhadas!$D:$D,E1367))</f>
        <v/>
      </c>
      <c r="H1367" s="26" t="str">
        <f t="shared" si="105"/>
        <v/>
      </c>
      <c r="I1367" s="10"/>
      <c r="J1367" s="10"/>
      <c r="K1367" s="10" t="str">
        <f t="shared" si="106"/>
        <v/>
      </c>
      <c r="L1367" s="10" t="str">
        <f t="shared" si="107"/>
        <v/>
      </c>
      <c r="M1367" s="10" t="str">
        <f t="shared" si="108"/>
        <v/>
      </c>
      <c r="N1367" s="10" t="str">
        <f t="shared" si="109"/>
        <v/>
      </c>
      <c r="O1367" s="6"/>
      <c r="P1367" s="6"/>
    </row>
    <row r="1368" spans="1:16" x14ac:dyDescent="0.3">
      <c r="A1368" s="6"/>
      <c r="B1368" s="7"/>
      <c r="C1368" s="6"/>
      <c r="D1368" s="6"/>
      <c r="E1368" s="6"/>
      <c r="F1368" s="25"/>
      <c r="G1368" s="25" t="str">
        <f>IF(A1368="","",SUMIFS(Paradas_Detalhadas!$I:$I,Paradas_Detalhadas!$A:$A,A1368,Paradas_Detalhadas!$B:$B,B1368,Paradas_Detalhadas!$C:$C,C1368,Paradas_Detalhadas!$D:$D,E1368))</f>
        <v/>
      </c>
      <c r="H1368" s="26" t="str">
        <f t="shared" si="105"/>
        <v/>
      </c>
      <c r="I1368" s="10"/>
      <c r="J1368" s="10"/>
      <c r="K1368" s="10" t="str">
        <f t="shared" si="106"/>
        <v/>
      </c>
      <c r="L1368" s="10" t="str">
        <f t="shared" si="107"/>
        <v/>
      </c>
      <c r="M1368" s="10" t="str">
        <f t="shared" si="108"/>
        <v/>
      </c>
      <c r="N1368" s="10" t="str">
        <f t="shared" si="109"/>
        <v/>
      </c>
      <c r="O1368" s="6"/>
      <c r="P1368" s="6"/>
    </row>
    <row r="1369" spans="1:16" x14ac:dyDescent="0.3">
      <c r="A1369" s="6"/>
      <c r="B1369" s="7"/>
      <c r="C1369" s="6"/>
      <c r="D1369" s="6"/>
      <c r="E1369" s="6"/>
      <c r="F1369" s="25"/>
      <c r="G1369" s="25" t="str">
        <f>IF(A1369="","",SUMIFS(Paradas_Detalhadas!$I:$I,Paradas_Detalhadas!$A:$A,A1369,Paradas_Detalhadas!$B:$B,B1369,Paradas_Detalhadas!$C:$C,C1369,Paradas_Detalhadas!$D:$D,E1369))</f>
        <v/>
      </c>
      <c r="H1369" s="26" t="str">
        <f t="shared" si="105"/>
        <v/>
      </c>
      <c r="I1369" s="10"/>
      <c r="J1369" s="10"/>
      <c r="K1369" s="10" t="str">
        <f t="shared" si="106"/>
        <v/>
      </c>
      <c r="L1369" s="10" t="str">
        <f t="shared" si="107"/>
        <v/>
      </c>
      <c r="M1369" s="10" t="str">
        <f t="shared" si="108"/>
        <v/>
      </c>
      <c r="N1369" s="10" t="str">
        <f t="shared" si="109"/>
        <v/>
      </c>
      <c r="O1369" s="6"/>
      <c r="P1369" s="6"/>
    </row>
    <row r="1370" spans="1:16" x14ac:dyDescent="0.3">
      <c r="A1370" s="6"/>
      <c r="B1370" s="7"/>
      <c r="C1370" s="6"/>
      <c r="D1370" s="6"/>
      <c r="E1370" s="6"/>
      <c r="F1370" s="25"/>
      <c r="G1370" s="25" t="str">
        <f>IF(A1370="","",SUMIFS(Paradas_Detalhadas!$I:$I,Paradas_Detalhadas!$A:$A,A1370,Paradas_Detalhadas!$B:$B,B1370,Paradas_Detalhadas!$C:$C,C1370,Paradas_Detalhadas!$D:$D,E1370))</f>
        <v/>
      </c>
      <c r="H1370" s="26" t="str">
        <f t="shared" si="105"/>
        <v/>
      </c>
      <c r="I1370" s="10"/>
      <c r="J1370" s="10"/>
      <c r="K1370" s="10" t="str">
        <f t="shared" si="106"/>
        <v/>
      </c>
      <c r="L1370" s="10" t="str">
        <f t="shared" si="107"/>
        <v/>
      </c>
      <c r="M1370" s="10" t="str">
        <f t="shared" si="108"/>
        <v/>
      </c>
      <c r="N1370" s="10" t="str">
        <f t="shared" si="109"/>
        <v/>
      </c>
      <c r="O1370" s="6"/>
      <c r="P1370" s="6"/>
    </row>
    <row r="1371" spans="1:16" x14ac:dyDescent="0.3">
      <c r="A1371" s="6"/>
      <c r="B1371" s="7"/>
      <c r="C1371" s="6"/>
      <c r="D1371" s="6"/>
      <c r="E1371" s="6"/>
      <c r="F1371" s="25"/>
      <c r="G1371" s="25" t="str">
        <f>IF(A1371="","",SUMIFS(Paradas_Detalhadas!$I:$I,Paradas_Detalhadas!$A:$A,A1371,Paradas_Detalhadas!$B:$B,B1371,Paradas_Detalhadas!$C:$C,C1371,Paradas_Detalhadas!$D:$D,E1371))</f>
        <v/>
      </c>
      <c r="H1371" s="26" t="str">
        <f t="shared" si="105"/>
        <v/>
      </c>
      <c r="I1371" s="10"/>
      <c r="J1371" s="10"/>
      <c r="K1371" s="10" t="str">
        <f t="shared" si="106"/>
        <v/>
      </c>
      <c r="L1371" s="10" t="str">
        <f t="shared" si="107"/>
        <v/>
      </c>
      <c r="M1371" s="10" t="str">
        <f t="shared" si="108"/>
        <v/>
      </c>
      <c r="N1371" s="10" t="str">
        <f t="shared" si="109"/>
        <v/>
      </c>
      <c r="O1371" s="6"/>
      <c r="P1371" s="6"/>
    </row>
    <row r="1372" spans="1:16" x14ac:dyDescent="0.3">
      <c r="A1372" s="6"/>
      <c r="B1372" s="7"/>
      <c r="C1372" s="6"/>
      <c r="D1372" s="6"/>
      <c r="E1372" s="6"/>
      <c r="F1372" s="25"/>
      <c r="G1372" s="25" t="str">
        <f>IF(A1372="","",SUMIFS(Paradas_Detalhadas!$I:$I,Paradas_Detalhadas!$A:$A,A1372,Paradas_Detalhadas!$B:$B,B1372,Paradas_Detalhadas!$C:$C,C1372,Paradas_Detalhadas!$D:$D,E1372))</f>
        <v/>
      </c>
      <c r="H1372" s="26" t="str">
        <f t="shared" si="105"/>
        <v/>
      </c>
      <c r="I1372" s="10"/>
      <c r="J1372" s="10"/>
      <c r="K1372" s="10" t="str">
        <f t="shared" si="106"/>
        <v/>
      </c>
      <c r="L1372" s="10" t="str">
        <f t="shared" si="107"/>
        <v/>
      </c>
      <c r="M1372" s="10" t="str">
        <f t="shared" si="108"/>
        <v/>
      </c>
      <c r="N1372" s="10" t="str">
        <f t="shared" si="109"/>
        <v/>
      </c>
      <c r="O1372" s="6"/>
      <c r="P1372" s="6"/>
    </row>
    <row r="1373" spans="1:16" x14ac:dyDescent="0.3">
      <c r="A1373" s="6"/>
      <c r="B1373" s="7"/>
      <c r="C1373" s="6"/>
      <c r="D1373" s="6"/>
      <c r="E1373" s="6"/>
      <c r="F1373" s="25"/>
      <c r="G1373" s="25" t="str">
        <f>IF(A1373="","",SUMIFS(Paradas_Detalhadas!$I:$I,Paradas_Detalhadas!$A:$A,A1373,Paradas_Detalhadas!$B:$B,B1373,Paradas_Detalhadas!$C:$C,C1373,Paradas_Detalhadas!$D:$D,E1373))</f>
        <v/>
      </c>
      <c r="H1373" s="26" t="str">
        <f t="shared" si="105"/>
        <v/>
      </c>
      <c r="I1373" s="10"/>
      <c r="J1373" s="10"/>
      <c r="K1373" s="10" t="str">
        <f t="shared" si="106"/>
        <v/>
      </c>
      <c r="L1373" s="10" t="str">
        <f t="shared" si="107"/>
        <v/>
      </c>
      <c r="M1373" s="10" t="str">
        <f t="shared" si="108"/>
        <v/>
      </c>
      <c r="N1373" s="10" t="str">
        <f t="shared" si="109"/>
        <v/>
      </c>
      <c r="O1373" s="6"/>
      <c r="P1373" s="6"/>
    </row>
    <row r="1374" spans="1:16" x14ac:dyDescent="0.3">
      <c r="A1374" s="6"/>
      <c r="B1374" s="7"/>
      <c r="C1374" s="6"/>
      <c r="D1374" s="6"/>
      <c r="E1374" s="6"/>
      <c r="F1374" s="25"/>
      <c r="G1374" s="25" t="str">
        <f>IF(A1374="","",SUMIFS(Paradas_Detalhadas!$I:$I,Paradas_Detalhadas!$A:$A,A1374,Paradas_Detalhadas!$B:$B,B1374,Paradas_Detalhadas!$C:$C,C1374,Paradas_Detalhadas!$D:$D,E1374))</f>
        <v/>
      </c>
      <c r="H1374" s="26" t="str">
        <f t="shared" si="105"/>
        <v/>
      </c>
      <c r="I1374" s="10"/>
      <c r="J1374" s="10"/>
      <c r="K1374" s="10" t="str">
        <f t="shared" si="106"/>
        <v/>
      </c>
      <c r="L1374" s="10" t="str">
        <f t="shared" si="107"/>
        <v/>
      </c>
      <c r="M1374" s="10" t="str">
        <f t="shared" si="108"/>
        <v/>
      </c>
      <c r="N1374" s="10" t="str">
        <f t="shared" si="109"/>
        <v/>
      </c>
      <c r="O1374" s="6"/>
      <c r="P1374" s="6"/>
    </row>
    <row r="1375" spans="1:16" x14ac:dyDescent="0.3">
      <c r="A1375" s="6"/>
      <c r="B1375" s="7"/>
      <c r="C1375" s="6"/>
      <c r="D1375" s="6"/>
      <c r="E1375" s="6"/>
      <c r="F1375" s="25"/>
      <c r="G1375" s="25" t="str">
        <f>IF(A1375="","",SUMIFS(Paradas_Detalhadas!$I:$I,Paradas_Detalhadas!$A:$A,A1375,Paradas_Detalhadas!$B:$B,B1375,Paradas_Detalhadas!$C:$C,C1375,Paradas_Detalhadas!$D:$D,E1375))</f>
        <v/>
      </c>
      <c r="H1375" s="26" t="str">
        <f t="shared" si="105"/>
        <v/>
      </c>
      <c r="I1375" s="10"/>
      <c r="J1375" s="10"/>
      <c r="K1375" s="10" t="str">
        <f t="shared" si="106"/>
        <v/>
      </c>
      <c r="L1375" s="10" t="str">
        <f t="shared" si="107"/>
        <v/>
      </c>
      <c r="M1375" s="10" t="str">
        <f t="shared" si="108"/>
        <v/>
      </c>
      <c r="N1375" s="10" t="str">
        <f t="shared" si="109"/>
        <v/>
      </c>
      <c r="O1375" s="6"/>
      <c r="P1375" s="6"/>
    </row>
    <row r="1376" spans="1:16" x14ac:dyDescent="0.3">
      <c r="A1376" s="6"/>
      <c r="B1376" s="7"/>
      <c r="C1376" s="6"/>
      <c r="D1376" s="6"/>
      <c r="E1376" s="6"/>
      <c r="F1376" s="25"/>
      <c r="G1376" s="25" t="str">
        <f>IF(A1376="","",SUMIFS(Paradas_Detalhadas!$I:$I,Paradas_Detalhadas!$A:$A,A1376,Paradas_Detalhadas!$B:$B,B1376,Paradas_Detalhadas!$C:$C,C1376,Paradas_Detalhadas!$D:$D,E1376))</f>
        <v/>
      </c>
      <c r="H1376" s="26" t="str">
        <f t="shared" si="105"/>
        <v/>
      </c>
      <c r="I1376" s="10"/>
      <c r="J1376" s="10"/>
      <c r="K1376" s="10" t="str">
        <f t="shared" si="106"/>
        <v/>
      </c>
      <c r="L1376" s="10" t="str">
        <f t="shared" si="107"/>
        <v/>
      </c>
      <c r="M1376" s="10" t="str">
        <f t="shared" si="108"/>
        <v/>
      </c>
      <c r="N1376" s="10" t="str">
        <f t="shared" si="109"/>
        <v/>
      </c>
      <c r="O1376" s="6"/>
      <c r="P1376" s="6"/>
    </row>
    <row r="1377" spans="1:16" x14ac:dyDescent="0.3">
      <c r="A1377" s="6"/>
      <c r="B1377" s="7"/>
      <c r="C1377" s="6"/>
      <c r="D1377" s="6"/>
      <c r="E1377" s="6"/>
      <c r="F1377" s="25"/>
      <c r="G1377" s="25" t="str">
        <f>IF(A1377="","",SUMIFS(Paradas_Detalhadas!$I:$I,Paradas_Detalhadas!$A:$A,A1377,Paradas_Detalhadas!$B:$B,B1377,Paradas_Detalhadas!$C:$C,C1377,Paradas_Detalhadas!$D:$D,E1377))</f>
        <v/>
      </c>
      <c r="H1377" s="26" t="str">
        <f t="shared" si="105"/>
        <v/>
      </c>
      <c r="I1377" s="10"/>
      <c r="J1377" s="10"/>
      <c r="K1377" s="10" t="str">
        <f t="shared" si="106"/>
        <v/>
      </c>
      <c r="L1377" s="10" t="str">
        <f t="shared" si="107"/>
        <v/>
      </c>
      <c r="M1377" s="10" t="str">
        <f t="shared" si="108"/>
        <v/>
      </c>
      <c r="N1377" s="10" t="str">
        <f t="shared" si="109"/>
        <v/>
      </c>
      <c r="O1377" s="6"/>
      <c r="P1377" s="6"/>
    </row>
    <row r="1378" spans="1:16" x14ac:dyDescent="0.3">
      <c r="A1378" s="6"/>
      <c r="B1378" s="7"/>
      <c r="C1378" s="6"/>
      <c r="D1378" s="6"/>
      <c r="E1378" s="6"/>
      <c r="F1378" s="25"/>
      <c r="G1378" s="25" t="str">
        <f>IF(A1378="","",SUMIFS(Paradas_Detalhadas!$I:$I,Paradas_Detalhadas!$A:$A,A1378,Paradas_Detalhadas!$B:$B,B1378,Paradas_Detalhadas!$C:$C,C1378,Paradas_Detalhadas!$D:$D,E1378))</f>
        <v/>
      </c>
      <c r="H1378" s="26" t="str">
        <f t="shared" si="105"/>
        <v/>
      </c>
      <c r="I1378" s="10"/>
      <c r="J1378" s="10"/>
      <c r="K1378" s="10" t="str">
        <f t="shared" si="106"/>
        <v/>
      </c>
      <c r="L1378" s="10" t="str">
        <f t="shared" si="107"/>
        <v/>
      </c>
      <c r="M1378" s="10" t="str">
        <f t="shared" si="108"/>
        <v/>
      </c>
      <c r="N1378" s="10" t="str">
        <f t="shared" si="109"/>
        <v/>
      </c>
      <c r="O1378" s="6"/>
      <c r="P1378" s="6"/>
    </row>
    <row r="1379" spans="1:16" x14ac:dyDescent="0.3">
      <c r="A1379" s="6"/>
      <c r="B1379" s="7"/>
      <c r="C1379" s="6"/>
      <c r="D1379" s="6"/>
      <c r="E1379" s="6"/>
      <c r="F1379" s="25"/>
      <c r="G1379" s="25" t="str">
        <f>IF(A1379="","",SUMIFS(Paradas_Detalhadas!$I:$I,Paradas_Detalhadas!$A:$A,A1379,Paradas_Detalhadas!$B:$B,B1379,Paradas_Detalhadas!$C:$C,C1379,Paradas_Detalhadas!$D:$D,E1379))</f>
        <v/>
      </c>
      <c r="H1379" s="26" t="str">
        <f t="shared" si="105"/>
        <v/>
      </c>
      <c r="I1379" s="10"/>
      <c r="J1379" s="10"/>
      <c r="K1379" s="10" t="str">
        <f t="shared" si="106"/>
        <v/>
      </c>
      <c r="L1379" s="10" t="str">
        <f t="shared" si="107"/>
        <v/>
      </c>
      <c r="M1379" s="10" t="str">
        <f t="shared" si="108"/>
        <v/>
      </c>
      <c r="N1379" s="10" t="str">
        <f t="shared" si="109"/>
        <v/>
      </c>
      <c r="O1379" s="6"/>
      <c r="P1379" s="6"/>
    </row>
    <row r="1380" spans="1:16" x14ac:dyDescent="0.3">
      <c r="A1380" s="6"/>
      <c r="B1380" s="7"/>
      <c r="C1380" s="6"/>
      <c r="D1380" s="6"/>
      <c r="E1380" s="6"/>
      <c r="F1380" s="25"/>
      <c r="G1380" s="25" t="str">
        <f>IF(A1380="","",SUMIFS(Paradas_Detalhadas!$I:$I,Paradas_Detalhadas!$A:$A,A1380,Paradas_Detalhadas!$B:$B,B1380,Paradas_Detalhadas!$C:$C,C1380,Paradas_Detalhadas!$D:$D,E1380))</f>
        <v/>
      </c>
      <c r="H1380" s="26" t="str">
        <f t="shared" si="105"/>
        <v/>
      </c>
      <c r="I1380" s="10"/>
      <c r="J1380" s="10"/>
      <c r="K1380" s="10" t="str">
        <f t="shared" si="106"/>
        <v/>
      </c>
      <c r="L1380" s="10" t="str">
        <f t="shared" si="107"/>
        <v/>
      </c>
      <c r="M1380" s="10" t="str">
        <f t="shared" si="108"/>
        <v/>
      </c>
      <c r="N1380" s="10" t="str">
        <f t="shared" si="109"/>
        <v/>
      </c>
      <c r="O1380" s="6"/>
      <c r="P1380" s="6"/>
    </row>
    <row r="1381" spans="1:16" x14ac:dyDescent="0.3">
      <c r="A1381" s="6"/>
      <c r="B1381" s="7"/>
      <c r="C1381" s="6"/>
      <c r="D1381" s="6"/>
      <c r="E1381" s="6"/>
      <c r="F1381" s="25"/>
      <c r="G1381" s="25" t="str">
        <f>IF(A1381="","",SUMIFS(Paradas_Detalhadas!$I:$I,Paradas_Detalhadas!$A:$A,A1381,Paradas_Detalhadas!$B:$B,B1381,Paradas_Detalhadas!$C:$C,C1381,Paradas_Detalhadas!$D:$D,E1381))</f>
        <v/>
      </c>
      <c r="H1381" s="26" t="str">
        <f t="shared" si="105"/>
        <v/>
      </c>
      <c r="I1381" s="10"/>
      <c r="J1381" s="10"/>
      <c r="K1381" s="10" t="str">
        <f t="shared" si="106"/>
        <v/>
      </c>
      <c r="L1381" s="10" t="str">
        <f t="shared" si="107"/>
        <v/>
      </c>
      <c r="M1381" s="10" t="str">
        <f t="shared" si="108"/>
        <v/>
      </c>
      <c r="N1381" s="10" t="str">
        <f t="shared" si="109"/>
        <v/>
      </c>
      <c r="O1381" s="6"/>
      <c r="P1381" s="6"/>
    </row>
    <row r="1382" spans="1:16" x14ac:dyDescent="0.3">
      <c r="A1382" s="6"/>
      <c r="B1382" s="7"/>
      <c r="C1382" s="6"/>
      <c r="D1382" s="6"/>
      <c r="E1382" s="6"/>
      <c r="F1382" s="25"/>
      <c r="G1382" s="25" t="str">
        <f>IF(A1382="","",SUMIFS(Paradas_Detalhadas!$I:$I,Paradas_Detalhadas!$A:$A,A1382,Paradas_Detalhadas!$B:$B,B1382,Paradas_Detalhadas!$C:$C,C1382,Paradas_Detalhadas!$D:$D,E1382))</f>
        <v/>
      </c>
      <c r="H1382" s="26" t="str">
        <f t="shared" si="105"/>
        <v/>
      </c>
      <c r="I1382" s="10"/>
      <c r="J1382" s="10"/>
      <c r="K1382" s="10" t="str">
        <f t="shared" si="106"/>
        <v/>
      </c>
      <c r="L1382" s="10" t="str">
        <f t="shared" si="107"/>
        <v/>
      </c>
      <c r="M1382" s="10" t="str">
        <f t="shared" si="108"/>
        <v/>
      </c>
      <c r="N1382" s="10" t="str">
        <f t="shared" si="109"/>
        <v/>
      </c>
      <c r="O1382" s="6"/>
      <c r="P1382" s="6"/>
    </row>
    <row r="1383" spans="1:16" x14ac:dyDescent="0.3">
      <c r="A1383" s="6"/>
      <c r="B1383" s="7"/>
      <c r="C1383" s="6"/>
      <c r="D1383" s="6"/>
      <c r="E1383" s="6"/>
      <c r="F1383" s="25"/>
      <c r="G1383" s="25" t="str">
        <f>IF(A1383="","",SUMIFS(Paradas_Detalhadas!$I:$I,Paradas_Detalhadas!$A:$A,A1383,Paradas_Detalhadas!$B:$B,B1383,Paradas_Detalhadas!$C:$C,C1383,Paradas_Detalhadas!$D:$D,E1383))</f>
        <v/>
      </c>
      <c r="H1383" s="26" t="str">
        <f t="shared" si="105"/>
        <v/>
      </c>
      <c r="I1383" s="10"/>
      <c r="J1383" s="10"/>
      <c r="K1383" s="10" t="str">
        <f t="shared" si="106"/>
        <v/>
      </c>
      <c r="L1383" s="10" t="str">
        <f t="shared" si="107"/>
        <v/>
      </c>
      <c r="M1383" s="10" t="str">
        <f t="shared" si="108"/>
        <v/>
      </c>
      <c r="N1383" s="10" t="str">
        <f t="shared" si="109"/>
        <v/>
      </c>
      <c r="O1383" s="6"/>
      <c r="P1383" s="6"/>
    </row>
    <row r="1384" spans="1:16" x14ac:dyDescent="0.3">
      <c r="A1384" s="6"/>
      <c r="B1384" s="7"/>
      <c r="C1384" s="6"/>
      <c r="D1384" s="6"/>
      <c r="E1384" s="6"/>
      <c r="F1384" s="25"/>
      <c r="G1384" s="25" t="str">
        <f>IF(A1384="","",SUMIFS(Paradas_Detalhadas!$I:$I,Paradas_Detalhadas!$A:$A,A1384,Paradas_Detalhadas!$B:$B,B1384,Paradas_Detalhadas!$C:$C,C1384,Paradas_Detalhadas!$D:$D,E1384))</f>
        <v/>
      </c>
      <c r="H1384" s="26" t="str">
        <f t="shared" si="105"/>
        <v/>
      </c>
      <c r="I1384" s="10"/>
      <c r="J1384" s="10"/>
      <c r="K1384" s="10" t="str">
        <f t="shared" si="106"/>
        <v/>
      </c>
      <c r="L1384" s="10" t="str">
        <f t="shared" si="107"/>
        <v/>
      </c>
      <c r="M1384" s="10" t="str">
        <f t="shared" si="108"/>
        <v/>
      </c>
      <c r="N1384" s="10" t="str">
        <f t="shared" si="109"/>
        <v/>
      </c>
      <c r="O1384" s="6"/>
      <c r="P1384" s="6"/>
    </row>
    <row r="1385" spans="1:16" x14ac:dyDescent="0.3">
      <c r="A1385" s="6"/>
      <c r="B1385" s="7"/>
      <c r="C1385" s="6"/>
      <c r="D1385" s="6"/>
      <c r="E1385" s="6"/>
      <c r="F1385" s="25"/>
      <c r="G1385" s="25" t="str">
        <f>IF(A1385="","",SUMIFS(Paradas_Detalhadas!$I:$I,Paradas_Detalhadas!$A:$A,A1385,Paradas_Detalhadas!$B:$B,B1385,Paradas_Detalhadas!$C:$C,C1385,Paradas_Detalhadas!$D:$D,E1385))</f>
        <v/>
      </c>
      <c r="H1385" s="26" t="str">
        <f t="shared" si="105"/>
        <v/>
      </c>
      <c r="I1385" s="10"/>
      <c r="J1385" s="10"/>
      <c r="K1385" s="10" t="str">
        <f t="shared" si="106"/>
        <v/>
      </c>
      <c r="L1385" s="10" t="str">
        <f t="shared" si="107"/>
        <v/>
      </c>
      <c r="M1385" s="10" t="str">
        <f t="shared" si="108"/>
        <v/>
      </c>
      <c r="N1385" s="10" t="str">
        <f t="shared" si="109"/>
        <v/>
      </c>
      <c r="O1385" s="6"/>
      <c r="P1385" s="6"/>
    </row>
    <row r="1386" spans="1:16" x14ac:dyDescent="0.3">
      <c r="A1386" s="6"/>
      <c r="B1386" s="7"/>
      <c r="C1386" s="6"/>
      <c r="D1386" s="6"/>
      <c r="E1386" s="6"/>
      <c r="F1386" s="25"/>
      <c r="G1386" s="25" t="str">
        <f>IF(A1386="","",SUMIFS(Paradas_Detalhadas!$I:$I,Paradas_Detalhadas!$A:$A,A1386,Paradas_Detalhadas!$B:$B,B1386,Paradas_Detalhadas!$C:$C,C1386,Paradas_Detalhadas!$D:$D,E1386))</f>
        <v/>
      </c>
      <c r="H1386" s="26" t="str">
        <f t="shared" si="105"/>
        <v/>
      </c>
      <c r="I1386" s="10"/>
      <c r="J1386" s="10"/>
      <c r="K1386" s="10" t="str">
        <f t="shared" si="106"/>
        <v/>
      </c>
      <c r="L1386" s="10" t="str">
        <f t="shared" si="107"/>
        <v/>
      </c>
      <c r="M1386" s="10" t="str">
        <f t="shared" si="108"/>
        <v/>
      </c>
      <c r="N1386" s="10" t="str">
        <f t="shared" si="109"/>
        <v/>
      </c>
      <c r="O1386" s="6"/>
      <c r="P1386" s="6"/>
    </row>
    <row r="1387" spans="1:16" x14ac:dyDescent="0.3">
      <c r="A1387" s="6"/>
      <c r="B1387" s="7"/>
      <c r="C1387" s="6"/>
      <c r="D1387" s="6"/>
      <c r="E1387" s="6"/>
      <c r="F1387" s="25"/>
      <c r="G1387" s="25" t="str">
        <f>IF(A1387="","",SUMIFS(Paradas_Detalhadas!$I:$I,Paradas_Detalhadas!$A:$A,A1387,Paradas_Detalhadas!$B:$B,B1387,Paradas_Detalhadas!$C:$C,C1387,Paradas_Detalhadas!$D:$D,E1387))</f>
        <v/>
      </c>
      <c r="H1387" s="26" t="str">
        <f t="shared" si="105"/>
        <v/>
      </c>
      <c r="I1387" s="10"/>
      <c r="J1387" s="10"/>
      <c r="K1387" s="10" t="str">
        <f t="shared" si="106"/>
        <v/>
      </c>
      <c r="L1387" s="10" t="str">
        <f t="shared" si="107"/>
        <v/>
      </c>
      <c r="M1387" s="10" t="str">
        <f t="shared" si="108"/>
        <v/>
      </c>
      <c r="N1387" s="10" t="str">
        <f t="shared" si="109"/>
        <v/>
      </c>
      <c r="O1387" s="6"/>
      <c r="P1387" s="6"/>
    </row>
    <row r="1388" spans="1:16" x14ac:dyDescent="0.3">
      <c r="A1388" s="6"/>
      <c r="B1388" s="7"/>
      <c r="C1388" s="6"/>
      <c r="D1388" s="6"/>
      <c r="E1388" s="6"/>
      <c r="F1388" s="25"/>
      <c r="G1388" s="25" t="str">
        <f>IF(A1388="","",SUMIFS(Paradas_Detalhadas!$I:$I,Paradas_Detalhadas!$A:$A,A1388,Paradas_Detalhadas!$B:$B,B1388,Paradas_Detalhadas!$C:$C,C1388,Paradas_Detalhadas!$D:$D,E1388))</f>
        <v/>
      </c>
      <c r="H1388" s="26" t="str">
        <f t="shared" si="105"/>
        <v/>
      </c>
      <c r="I1388" s="10"/>
      <c r="J1388" s="10"/>
      <c r="K1388" s="10" t="str">
        <f t="shared" si="106"/>
        <v/>
      </c>
      <c r="L1388" s="10" t="str">
        <f t="shared" si="107"/>
        <v/>
      </c>
      <c r="M1388" s="10" t="str">
        <f t="shared" si="108"/>
        <v/>
      </c>
      <c r="N1388" s="10" t="str">
        <f t="shared" si="109"/>
        <v/>
      </c>
      <c r="O1388" s="6"/>
      <c r="P1388" s="6"/>
    </row>
    <row r="1389" spans="1:16" x14ac:dyDescent="0.3">
      <c r="A1389" s="6"/>
      <c r="B1389" s="7"/>
      <c r="C1389" s="6"/>
      <c r="D1389" s="6"/>
      <c r="E1389" s="6"/>
      <c r="F1389" s="25"/>
      <c r="G1389" s="25" t="str">
        <f>IF(A1389="","",SUMIFS(Paradas_Detalhadas!$I:$I,Paradas_Detalhadas!$A:$A,A1389,Paradas_Detalhadas!$B:$B,B1389,Paradas_Detalhadas!$C:$C,C1389,Paradas_Detalhadas!$D:$D,E1389))</f>
        <v/>
      </c>
      <c r="H1389" s="26" t="str">
        <f t="shared" si="105"/>
        <v/>
      </c>
      <c r="I1389" s="10"/>
      <c r="J1389" s="10"/>
      <c r="K1389" s="10" t="str">
        <f t="shared" si="106"/>
        <v/>
      </c>
      <c r="L1389" s="10" t="str">
        <f t="shared" si="107"/>
        <v/>
      </c>
      <c r="M1389" s="10" t="str">
        <f t="shared" si="108"/>
        <v/>
      </c>
      <c r="N1389" s="10" t="str">
        <f t="shared" si="109"/>
        <v/>
      </c>
      <c r="O1389" s="6"/>
      <c r="P1389" s="6"/>
    </row>
    <row r="1390" spans="1:16" x14ac:dyDescent="0.3">
      <c r="A1390" s="6"/>
      <c r="B1390" s="7"/>
      <c r="C1390" s="6"/>
      <c r="D1390" s="6"/>
      <c r="E1390" s="6"/>
      <c r="F1390" s="25"/>
      <c r="G1390" s="25" t="str">
        <f>IF(A1390="","",SUMIFS(Paradas_Detalhadas!$I:$I,Paradas_Detalhadas!$A:$A,A1390,Paradas_Detalhadas!$B:$B,B1390,Paradas_Detalhadas!$C:$C,C1390,Paradas_Detalhadas!$D:$D,E1390))</f>
        <v/>
      </c>
      <c r="H1390" s="26" t="str">
        <f t="shared" ref="H1390:H1453" si="110">IF(OR(F1390="",G1390=""),"",MAX(F1390-G1390,0))</f>
        <v/>
      </c>
      <c r="I1390" s="10"/>
      <c r="J1390" s="10"/>
      <c r="K1390" s="10" t="str">
        <f t="shared" ref="K1390:K1453" si="111">IF(AND(I1390="",J1390=""),"",SUM(I1390:J1390))</f>
        <v/>
      </c>
      <c r="L1390" s="10" t="str">
        <f t="shared" ref="L1390:L1453" si="112">IFERROR(K1390/H1390,"")</f>
        <v/>
      </c>
      <c r="M1390" s="10" t="str">
        <f t="shared" ref="M1390:M1453" si="113">IFERROR(I1390/H1390,"")</f>
        <v/>
      </c>
      <c r="N1390" s="10" t="str">
        <f t="shared" ref="N1390:N1453" si="114">IFERROR(J1390/H1390,"")</f>
        <v/>
      </c>
      <c r="O1390" s="6"/>
      <c r="P1390" s="6"/>
    </row>
    <row r="1391" spans="1:16" x14ac:dyDescent="0.3">
      <c r="A1391" s="6"/>
      <c r="B1391" s="7"/>
      <c r="C1391" s="6"/>
      <c r="D1391" s="6"/>
      <c r="E1391" s="6"/>
      <c r="F1391" s="25"/>
      <c r="G1391" s="25" t="str">
        <f>IF(A1391="","",SUMIFS(Paradas_Detalhadas!$I:$I,Paradas_Detalhadas!$A:$A,A1391,Paradas_Detalhadas!$B:$B,B1391,Paradas_Detalhadas!$C:$C,C1391,Paradas_Detalhadas!$D:$D,E1391))</f>
        <v/>
      </c>
      <c r="H1391" s="26" t="str">
        <f t="shared" si="110"/>
        <v/>
      </c>
      <c r="I1391" s="10"/>
      <c r="J1391" s="10"/>
      <c r="K1391" s="10" t="str">
        <f t="shared" si="111"/>
        <v/>
      </c>
      <c r="L1391" s="10" t="str">
        <f t="shared" si="112"/>
        <v/>
      </c>
      <c r="M1391" s="10" t="str">
        <f t="shared" si="113"/>
        <v/>
      </c>
      <c r="N1391" s="10" t="str">
        <f t="shared" si="114"/>
        <v/>
      </c>
      <c r="O1391" s="6"/>
      <c r="P1391" s="6"/>
    </row>
    <row r="1392" spans="1:16" x14ac:dyDescent="0.3">
      <c r="A1392" s="6"/>
      <c r="B1392" s="7"/>
      <c r="C1392" s="6"/>
      <c r="D1392" s="6"/>
      <c r="E1392" s="6"/>
      <c r="F1392" s="25"/>
      <c r="G1392" s="25" t="str">
        <f>IF(A1392="","",SUMIFS(Paradas_Detalhadas!$I:$I,Paradas_Detalhadas!$A:$A,A1392,Paradas_Detalhadas!$B:$B,B1392,Paradas_Detalhadas!$C:$C,C1392,Paradas_Detalhadas!$D:$D,E1392))</f>
        <v/>
      </c>
      <c r="H1392" s="26" t="str">
        <f t="shared" si="110"/>
        <v/>
      </c>
      <c r="I1392" s="10"/>
      <c r="J1392" s="10"/>
      <c r="K1392" s="10" t="str">
        <f t="shared" si="111"/>
        <v/>
      </c>
      <c r="L1392" s="10" t="str">
        <f t="shared" si="112"/>
        <v/>
      </c>
      <c r="M1392" s="10" t="str">
        <f t="shared" si="113"/>
        <v/>
      </c>
      <c r="N1392" s="10" t="str">
        <f t="shared" si="114"/>
        <v/>
      </c>
      <c r="O1392" s="6"/>
      <c r="P1392" s="6"/>
    </row>
    <row r="1393" spans="1:16" x14ac:dyDescent="0.3">
      <c r="A1393" s="6"/>
      <c r="B1393" s="7"/>
      <c r="C1393" s="6"/>
      <c r="D1393" s="6"/>
      <c r="E1393" s="6"/>
      <c r="F1393" s="25"/>
      <c r="G1393" s="25" t="str">
        <f>IF(A1393="","",SUMIFS(Paradas_Detalhadas!$I:$I,Paradas_Detalhadas!$A:$A,A1393,Paradas_Detalhadas!$B:$B,B1393,Paradas_Detalhadas!$C:$C,C1393,Paradas_Detalhadas!$D:$D,E1393))</f>
        <v/>
      </c>
      <c r="H1393" s="26" t="str">
        <f t="shared" si="110"/>
        <v/>
      </c>
      <c r="I1393" s="10"/>
      <c r="J1393" s="10"/>
      <c r="K1393" s="10" t="str">
        <f t="shared" si="111"/>
        <v/>
      </c>
      <c r="L1393" s="10" t="str">
        <f t="shared" si="112"/>
        <v/>
      </c>
      <c r="M1393" s="10" t="str">
        <f t="shared" si="113"/>
        <v/>
      </c>
      <c r="N1393" s="10" t="str">
        <f t="shared" si="114"/>
        <v/>
      </c>
      <c r="O1393" s="6"/>
      <c r="P1393" s="6"/>
    </row>
    <row r="1394" spans="1:16" x14ac:dyDescent="0.3">
      <c r="A1394" s="6"/>
      <c r="B1394" s="7"/>
      <c r="C1394" s="6"/>
      <c r="D1394" s="6"/>
      <c r="E1394" s="6"/>
      <c r="F1394" s="25"/>
      <c r="G1394" s="25" t="str">
        <f>IF(A1394="","",SUMIFS(Paradas_Detalhadas!$I:$I,Paradas_Detalhadas!$A:$A,A1394,Paradas_Detalhadas!$B:$B,B1394,Paradas_Detalhadas!$C:$C,C1394,Paradas_Detalhadas!$D:$D,E1394))</f>
        <v/>
      </c>
      <c r="H1394" s="26" t="str">
        <f t="shared" si="110"/>
        <v/>
      </c>
      <c r="I1394" s="10"/>
      <c r="J1394" s="10"/>
      <c r="K1394" s="10" t="str">
        <f t="shared" si="111"/>
        <v/>
      </c>
      <c r="L1394" s="10" t="str">
        <f t="shared" si="112"/>
        <v/>
      </c>
      <c r="M1394" s="10" t="str">
        <f t="shared" si="113"/>
        <v/>
      </c>
      <c r="N1394" s="10" t="str">
        <f t="shared" si="114"/>
        <v/>
      </c>
      <c r="O1394" s="6"/>
      <c r="P1394" s="6"/>
    </row>
    <row r="1395" spans="1:16" x14ac:dyDescent="0.3">
      <c r="A1395" s="6"/>
      <c r="B1395" s="7"/>
      <c r="C1395" s="6"/>
      <c r="D1395" s="6"/>
      <c r="E1395" s="6"/>
      <c r="F1395" s="25"/>
      <c r="G1395" s="25" t="str">
        <f>IF(A1395="","",SUMIFS(Paradas_Detalhadas!$I:$I,Paradas_Detalhadas!$A:$A,A1395,Paradas_Detalhadas!$B:$B,B1395,Paradas_Detalhadas!$C:$C,C1395,Paradas_Detalhadas!$D:$D,E1395))</f>
        <v/>
      </c>
      <c r="H1395" s="26" t="str">
        <f t="shared" si="110"/>
        <v/>
      </c>
      <c r="I1395" s="10"/>
      <c r="J1395" s="10"/>
      <c r="K1395" s="10" t="str">
        <f t="shared" si="111"/>
        <v/>
      </c>
      <c r="L1395" s="10" t="str">
        <f t="shared" si="112"/>
        <v/>
      </c>
      <c r="M1395" s="10" t="str">
        <f t="shared" si="113"/>
        <v/>
      </c>
      <c r="N1395" s="10" t="str">
        <f t="shared" si="114"/>
        <v/>
      </c>
      <c r="O1395" s="6"/>
      <c r="P1395" s="6"/>
    </row>
    <row r="1396" spans="1:16" x14ac:dyDescent="0.3">
      <c r="A1396" s="6"/>
      <c r="B1396" s="7"/>
      <c r="C1396" s="6"/>
      <c r="D1396" s="6"/>
      <c r="E1396" s="6"/>
      <c r="F1396" s="25"/>
      <c r="G1396" s="25" t="str">
        <f>IF(A1396="","",SUMIFS(Paradas_Detalhadas!$I:$I,Paradas_Detalhadas!$A:$A,A1396,Paradas_Detalhadas!$B:$B,B1396,Paradas_Detalhadas!$C:$C,C1396,Paradas_Detalhadas!$D:$D,E1396))</f>
        <v/>
      </c>
      <c r="H1396" s="26" t="str">
        <f t="shared" si="110"/>
        <v/>
      </c>
      <c r="I1396" s="10"/>
      <c r="J1396" s="10"/>
      <c r="K1396" s="10" t="str">
        <f t="shared" si="111"/>
        <v/>
      </c>
      <c r="L1396" s="10" t="str">
        <f t="shared" si="112"/>
        <v/>
      </c>
      <c r="M1396" s="10" t="str">
        <f t="shared" si="113"/>
        <v/>
      </c>
      <c r="N1396" s="10" t="str">
        <f t="shared" si="114"/>
        <v/>
      </c>
      <c r="O1396" s="6"/>
      <c r="P1396" s="6"/>
    </row>
    <row r="1397" spans="1:16" x14ac:dyDescent="0.3">
      <c r="A1397" s="6"/>
      <c r="B1397" s="7"/>
      <c r="C1397" s="6"/>
      <c r="D1397" s="6"/>
      <c r="E1397" s="6"/>
      <c r="F1397" s="25"/>
      <c r="G1397" s="25" t="str">
        <f>IF(A1397="","",SUMIFS(Paradas_Detalhadas!$I:$I,Paradas_Detalhadas!$A:$A,A1397,Paradas_Detalhadas!$B:$B,B1397,Paradas_Detalhadas!$C:$C,C1397,Paradas_Detalhadas!$D:$D,E1397))</f>
        <v/>
      </c>
      <c r="H1397" s="26" t="str">
        <f t="shared" si="110"/>
        <v/>
      </c>
      <c r="I1397" s="10"/>
      <c r="J1397" s="10"/>
      <c r="K1397" s="10" t="str">
        <f t="shared" si="111"/>
        <v/>
      </c>
      <c r="L1397" s="10" t="str">
        <f t="shared" si="112"/>
        <v/>
      </c>
      <c r="M1397" s="10" t="str">
        <f t="shared" si="113"/>
        <v/>
      </c>
      <c r="N1397" s="10" t="str">
        <f t="shared" si="114"/>
        <v/>
      </c>
      <c r="O1397" s="6"/>
      <c r="P1397" s="6"/>
    </row>
    <row r="1398" spans="1:16" x14ac:dyDescent="0.3">
      <c r="A1398" s="6"/>
      <c r="B1398" s="7"/>
      <c r="C1398" s="6"/>
      <c r="D1398" s="6"/>
      <c r="E1398" s="6"/>
      <c r="F1398" s="25"/>
      <c r="G1398" s="25" t="str">
        <f>IF(A1398="","",SUMIFS(Paradas_Detalhadas!$I:$I,Paradas_Detalhadas!$A:$A,A1398,Paradas_Detalhadas!$B:$B,B1398,Paradas_Detalhadas!$C:$C,C1398,Paradas_Detalhadas!$D:$D,E1398))</f>
        <v/>
      </c>
      <c r="H1398" s="26" t="str">
        <f t="shared" si="110"/>
        <v/>
      </c>
      <c r="I1398" s="10"/>
      <c r="J1398" s="10"/>
      <c r="K1398" s="10" t="str">
        <f t="shared" si="111"/>
        <v/>
      </c>
      <c r="L1398" s="10" t="str">
        <f t="shared" si="112"/>
        <v/>
      </c>
      <c r="M1398" s="10" t="str">
        <f t="shared" si="113"/>
        <v/>
      </c>
      <c r="N1398" s="10" t="str">
        <f t="shared" si="114"/>
        <v/>
      </c>
      <c r="O1398" s="6"/>
      <c r="P1398" s="6"/>
    </row>
    <row r="1399" spans="1:16" x14ac:dyDescent="0.3">
      <c r="A1399" s="6"/>
      <c r="B1399" s="7"/>
      <c r="C1399" s="6"/>
      <c r="D1399" s="6"/>
      <c r="E1399" s="6"/>
      <c r="F1399" s="25"/>
      <c r="G1399" s="25" t="str">
        <f>IF(A1399="","",SUMIFS(Paradas_Detalhadas!$I:$I,Paradas_Detalhadas!$A:$A,A1399,Paradas_Detalhadas!$B:$B,B1399,Paradas_Detalhadas!$C:$C,C1399,Paradas_Detalhadas!$D:$D,E1399))</f>
        <v/>
      </c>
      <c r="H1399" s="26" t="str">
        <f t="shared" si="110"/>
        <v/>
      </c>
      <c r="I1399" s="10"/>
      <c r="J1399" s="10"/>
      <c r="K1399" s="10" t="str">
        <f t="shared" si="111"/>
        <v/>
      </c>
      <c r="L1399" s="10" t="str">
        <f t="shared" si="112"/>
        <v/>
      </c>
      <c r="M1399" s="10" t="str">
        <f t="shared" si="113"/>
        <v/>
      </c>
      <c r="N1399" s="10" t="str">
        <f t="shared" si="114"/>
        <v/>
      </c>
      <c r="O1399" s="6"/>
      <c r="P1399" s="6"/>
    </row>
    <row r="1400" spans="1:16" x14ac:dyDescent="0.3">
      <c r="A1400" s="6"/>
      <c r="B1400" s="7"/>
      <c r="C1400" s="6"/>
      <c r="D1400" s="6"/>
      <c r="E1400" s="6"/>
      <c r="F1400" s="25"/>
      <c r="G1400" s="25" t="str">
        <f>IF(A1400="","",SUMIFS(Paradas_Detalhadas!$I:$I,Paradas_Detalhadas!$A:$A,A1400,Paradas_Detalhadas!$B:$B,B1400,Paradas_Detalhadas!$C:$C,C1400,Paradas_Detalhadas!$D:$D,E1400))</f>
        <v/>
      </c>
      <c r="H1400" s="26" t="str">
        <f t="shared" si="110"/>
        <v/>
      </c>
      <c r="I1400" s="10"/>
      <c r="J1400" s="10"/>
      <c r="K1400" s="10" t="str">
        <f t="shared" si="111"/>
        <v/>
      </c>
      <c r="L1400" s="10" t="str">
        <f t="shared" si="112"/>
        <v/>
      </c>
      <c r="M1400" s="10" t="str">
        <f t="shared" si="113"/>
        <v/>
      </c>
      <c r="N1400" s="10" t="str">
        <f t="shared" si="114"/>
        <v/>
      </c>
      <c r="O1400" s="6"/>
      <c r="P1400" s="6"/>
    </row>
    <row r="1401" spans="1:16" x14ac:dyDescent="0.3">
      <c r="A1401" s="6"/>
      <c r="B1401" s="7"/>
      <c r="C1401" s="6"/>
      <c r="D1401" s="6"/>
      <c r="E1401" s="6"/>
      <c r="F1401" s="25"/>
      <c r="G1401" s="25" t="str">
        <f>IF(A1401="","",SUMIFS(Paradas_Detalhadas!$I:$I,Paradas_Detalhadas!$A:$A,A1401,Paradas_Detalhadas!$B:$B,B1401,Paradas_Detalhadas!$C:$C,C1401,Paradas_Detalhadas!$D:$D,E1401))</f>
        <v/>
      </c>
      <c r="H1401" s="26" t="str">
        <f t="shared" si="110"/>
        <v/>
      </c>
      <c r="I1401" s="10"/>
      <c r="J1401" s="10"/>
      <c r="K1401" s="10" t="str">
        <f t="shared" si="111"/>
        <v/>
      </c>
      <c r="L1401" s="10" t="str">
        <f t="shared" si="112"/>
        <v/>
      </c>
      <c r="M1401" s="10" t="str">
        <f t="shared" si="113"/>
        <v/>
      </c>
      <c r="N1401" s="10" t="str">
        <f t="shared" si="114"/>
        <v/>
      </c>
      <c r="O1401" s="6"/>
      <c r="P1401" s="6"/>
    </row>
    <row r="1402" spans="1:16" x14ac:dyDescent="0.3">
      <c r="A1402" s="6"/>
      <c r="B1402" s="7"/>
      <c r="C1402" s="6"/>
      <c r="D1402" s="6"/>
      <c r="E1402" s="6"/>
      <c r="F1402" s="25"/>
      <c r="G1402" s="25" t="str">
        <f>IF(A1402="","",SUMIFS(Paradas_Detalhadas!$I:$I,Paradas_Detalhadas!$A:$A,A1402,Paradas_Detalhadas!$B:$B,B1402,Paradas_Detalhadas!$C:$C,C1402,Paradas_Detalhadas!$D:$D,E1402))</f>
        <v/>
      </c>
      <c r="H1402" s="26" t="str">
        <f t="shared" si="110"/>
        <v/>
      </c>
      <c r="I1402" s="10"/>
      <c r="J1402" s="10"/>
      <c r="K1402" s="10" t="str">
        <f t="shared" si="111"/>
        <v/>
      </c>
      <c r="L1402" s="10" t="str">
        <f t="shared" si="112"/>
        <v/>
      </c>
      <c r="M1402" s="10" t="str">
        <f t="shared" si="113"/>
        <v/>
      </c>
      <c r="N1402" s="10" t="str">
        <f t="shared" si="114"/>
        <v/>
      </c>
      <c r="O1402" s="6"/>
      <c r="P1402" s="6"/>
    </row>
    <row r="1403" spans="1:16" x14ac:dyDescent="0.3">
      <c r="A1403" s="6"/>
      <c r="B1403" s="7"/>
      <c r="C1403" s="6"/>
      <c r="D1403" s="6"/>
      <c r="E1403" s="6"/>
      <c r="F1403" s="25"/>
      <c r="G1403" s="25" t="str">
        <f>IF(A1403="","",SUMIFS(Paradas_Detalhadas!$I:$I,Paradas_Detalhadas!$A:$A,A1403,Paradas_Detalhadas!$B:$B,B1403,Paradas_Detalhadas!$C:$C,C1403,Paradas_Detalhadas!$D:$D,E1403))</f>
        <v/>
      </c>
      <c r="H1403" s="26" t="str">
        <f t="shared" si="110"/>
        <v/>
      </c>
      <c r="I1403" s="10"/>
      <c r="J1403" s="10"/>
      <c r="K1403" s="10" t="str">
        <f t="shared" si="111"/>
        <v/>
      </c>
      <c r="L1403" s="10" t="str">
        <f t="shared" si="112"/>
        <v/>
      </c>
      <c r="M1403" s="10" t="str">
        <f t="shared" si="113"/>
        <v/>
      </c>
      <c r="N1403" s="10" t="str">
        <f t="shared" si="114"/>
        <v/>
      </c>
      <c r="O1403" s="6"/>
      <c r="P1403" s="6"/>
    </row>
    <row r="1404" spans="1:16" x14ac:dyDescent="0.3">
      <c r="A1404" s="6"/>
      <c r="B1404" s="7"/>
      <c r="C1404" s="6"/>
      <c r="D1404" s="6"/>
      <c r="E1404" s="6"/>
      <c r="F1404" s="25"/>
      <c r="G1404" s="25" t="str">
        <f>IF(A1404="","",SUMIFS(Paradas_Detalhadas!$I:$I,Paradas_Detalhadas!$A:$A,A1404,Paradas_Detalhadas!$B:$B,B1404,Paradas_Detalhadas!$C:$C,C1404,Paradas_Detalhadas!$D:$D,E1404))</f>
        <v/>
      </c>
      <c r="H1404" s="26" t="str">
        <f t="shared" si="110"/>
        <v/>
      </c>
      <c r="I1404" s="10"/>
      <c r="J1404" s="10"/>
      <c r="K1404" s="10" t="str">
        <f t="shared" si="111"/>
        <v/>
      </c>
      <c r="L1404" s="10" t="str">
        <f t="shared" si="112"/>
        <v/>
      </c>
      <c r="M1404" s="10" t="str">
        <f t="shared" si="113"/>
        <v/>
      </c>
      <c r="N1404" s="10" t="str">
        <f t="shared" si="114"/>
        <v/>
      </c>
      <c r="O1404" s="6"/>
      <c r="P1404" s="6"/>
    </row>
    <row r="1405" spans="1:16" x14ac:dyDescent="0.3">
      <c r="A1405" s="6"/>
      <c r="B1405" s="7"/>
      <c r="C1405" s="6"/>
      <c r="D1405" s="6"/>
      <c r="E1405" s="6"/>
      <c r="F1405" s="25"/>
      <c r="G1405" s="25" t="str">
        <f>IF(A1405="","",SUMIFS(Paradas_Detalhadas!$I:$I,Paradas_Detalhadas!$A:$A,A1405,Paradas_Detalhadas!$B:$B,B1405,Paradas_Detalhadas!$C:$C,C1405,Paradas_Detalhadas!$D:$D,E1405))</f>
        <v/>
      </c>
      <c r="H1405" s="26" t="str">
        <f t="shared" si="110"/>
        <v/>
      </c>
      <c r="I1405" s="10"/>
      <c r="J1405" s="10"/>
      <c r="K1405" s="10" t="str">
        <f t="shared" si="111"/>
        <v/>
      </c>
      <c r="L1405" s="10" t="str">
        <f t="shared" si="112"/>
        <v/>
      </c>
      <c r="M1405" s="10" t="str">
        <f t="shared" si="113"/>
        <v/>
      </c>
      <c r="N1405" s="10" t="str">
        <f t="shared" si="114"/>
        <v/>
      </c>
      <c r="O1405" s="6"/>
      <c r="P1405" s="6"/>
    </row>
    <row r="1406" spans="1:16" x14ac:dyDescent="0.3">
      <c r="A1406" s="6"/>
      <c r="B1406" s="7"/>
      <c r="C1406" s="6"/>
      <c r="D1406" s="6"/>
      <c r="E1406" s="6"/>
      <c r="F1406" s="25"/>
      <c r="G1406" s="25" t="str">
        <f>IF(A1406="","",SUMIFS(Paradas_Detalhadas!$I:$I,Paradas_Detalhadas!$A:$A,A1406,Paradas_Detalhadas!$B:$B,B1406,Paradas_Detalhadas!$C:$C,C1406,Paradas_Detalhadas!$D:$D,E1406))</f>
        <v/>
      </c>
      <c r="H1406" s="26" t="str">
        <f t="shared" si="110"/>
        <v/>
      </c>
      <c r="I1406" s="10"/>
      <c r="J1406" s="10"/>
      <c r="K1406" s="10" t="str">
        <f t="shared" si="111"/>
        <v/>
      </c>
      <c r="L1406" s="10" t="str">
        <f t="shared" si="112"/>
        <v/>
      </c>
      <c r="M1406" s="10" t="str">
        <f t="shared" si="113"/>
        <v/>
      </c>
      <c r="N1406" s="10" t="str">
        <f t="shared" si="114"/>
        <v/>
      </c>
      <c r="O1406" s="6"/>
      <c r="P1406" s="6"/>
    </row>
    <row r="1407" spans="1:16" x14ac:dyDescent="0.3">
      <c r="A1407" s="6"/>
      <c r="B1407" s="7"/>
      <c r="C1407" s="6"/>
      <c r="D1407" s="6"/>
      <c r="E1407" s="6"/>
      <c r="F1407" s="25"/>
      <c r="G1407" s="25" t="str">
        <f>IF(A1407="","",SUMIFS(Paradas_Detalhadas!$I:$I,Paradas_Detalhadas!$A:$A,A1407,Paradas_Detalhadas!$B:$B,B1407,Paradas_Detalhadas!$C:$C,C1407,Paradas_Detalhadas!$D:$D,E1407))</f>
        <v/>
      </c>
      <c r="H1407" s="26" t="str">
        <f t="shared" si="110"/>
        <v/>
      </c>
      <c r="I1407" s="10"/>
      <c r="J1407" s="10"/>
      <c r="K1407" s="10" t="str">
        <f t="shared" si="111"/>
        <v/>
      </c>
      <c r="L1407" s="10" t="str">
        <f t="shared" si="112"/>
        <v/>
      </c>
      <c r="M1407" s="10" t="str">
        <f t="shared" si="113"/>
        <v/>
      </c>
      <c r="N1407" s="10" t="str">
        <f t="shared" si="114"/>
        <v/>
      </c>
      <c r="O1407" s="6"/>
      <c r="P1407" s="6"/>
    </row>
    <row r="1408" spans="1:16" x14ac:dyDescent="0.3">
      <c r="A1408" s="6"/>
      <c r="B1408" s="7"/>
      <c r="C1408" s="6"/>
      <c r="D1408" s="6"/>
      <c r="E1408" s="6"/>
      <c r="F1408" s="25"/>
      <c r="G1408" s="25" t="str">
        <f>IF(A1408="","",SUMIFS(Paradas_Detalhadas!$I:$I,Paradas_Detalhadas!$A:$A,A1408,Paradas_Detalhadas!$B:$B,B1408,Paradas_Detalhadas!$C:$C,C1408,Paradas_Detalhadas!$D:$D,E1408))</f>
        <v/>
      </c>
      <c r="H1408" s="26" t="str">
        <f t="shared" si="110"/>
        <v/>
      </c>
      <c r="I1408" s="10"/>
      <c r="J1408" s="10"/>
      <c r="K1408" s="10" t="str">
        <f t="shared" si="111"/>
        <v/>
      </c>
      <c r="L1408" s="10" t="str">
        <f t="shared" si="112"/>
        <v/>
      </c>
      <c r="M1408" s="10" t="str">
        <f t="shared" si="113"/>
        <v/>
      </c>
      <c r="N1408" s="10" t="str">
        <f t="shared" si="114"/>
        <v/>
      </c>
      <c r="O1408" s="6"/>
      <c r="P1408" s="6"/>
    </row>
    <row r="1409" spans="1:16" x14ac:dyDescent="0.3">
      <c r="A1409" s="6"/>
      <c r="B1409" s="7"/>
      <c r="C1409" s="6"/>
      <c r="D1409" s="6"/>
      <c r="E1409" s="6"/>
      <c r="F1409" s="25"/>
      <c r="G1409" s="25" t="str">
        <f>IF(A1409="","",SUMIFS(Paradas_Detalhadas!$I:$I,Paradas_Detalhadas!$A:$A,A1409,Paradas_Detalhadas!$B:$B,B1409,Paradas_Detalhadas!$C:$C,C1409,Paradas_Detalhadas!$D:$D,E1409))</f>
        <v/>
      </c>
      <c r="H1409" s="26" t="str">
        <f t="shared" si="110"/>
        <v/>
      </c>
      <c r="I1409" s="10"/>
      <c r="J1409" s="10"/>
      <c r="K1409" s="10" t="str">
        <f t="shared" si="111"/>
        <v/>
      </c>
      <c r="L1409" s="10" t="str">
        <f t="shared" si="112"/>
        <v/>
      </c>
      <c r="M1409" s="10" t="str">
        <f t="shared" si="113"/>
        <v/>
      </c>
      <c r="N1409" s="10" t="str">
        <f t="shared" si="114"/>
        <v/>
      </c>
      <c r="O1409" s="6"/>
      <c r="P1409" s="6"/>
    </row>
    <row r="1410" spans="1:16" x14ac:dyDescent="0.3">
      <c r="A1410" s="6"/>
      <c r="B1410" s="7"/>
      <c r="C1410" s="6"/>
      <c r="D1410" s="6"/>
      <c r="E1410" s="6"/>
      <c r="F1410" s="25"/>
      <c r="G1410" s="25" t="str">
        <f>IF(A1410="","",SUMIFS(Paradas_Detalhadas!$I:$I,Paradas_Detalhadas!$A:$A,A1410,Paradas_Detalhadas!$B:$B,B1410,Paradas_Detalhadas!$C:$C,C1410,Paradas_Detalhadas!$D:$D,E1410))</f>
        <v/>
      </c>
      <c r="H1410" s="26" t="str">
        <f t="shared" si="110"/>
        <v/>
      </c>
      <c r="I1410" s="10"/>
      <c r="J1410" s="10"/>
      <c r="K1410" s="10" t="str">
        <f t="shared" si="111"/>
        <v/>
      </c>
      <c r="L1410" s="10" t="str">
        <f t="shared" si="112"/>
        <v/>
      </c>
      <c r="M1410" s="10" t="str">
        <f t="shared" si="113"/>
        <v/>
      </c>
      <c r="N1410" s="10" t="str">
        <f t="shared" si="114"/>
        <v/>
      </c>
      <c r="O1410" s="6"/>
      <c r="P1410" s="6"/>
    </row>
    <row r="1411" spans="1:16" x14ac:dyDescent="0.3">
      <c r="A1411" s="6"/>
      <c r="B1411" s="7"/>
      <c r="C1411" s="6"/>
      <c r="D1411" s="6"/>
      <c r="E1411" s="6"/>
      <c r="F1411" s="25"/>
      <c r="G1411" s="25" t="str">
        <f>IF(A1411="","",SUMIFS(Paradas_Detalhadas!$I:$I,Paradas_Detalhadas!$A:$A,A1411,Paradas_Detalhadas!$B:$B,B1411,Paradas_Detalhadas!$C:$C,C1411,Paradas_Detalhadas!$D:$D,E1411))</f>
        <v/>
      </c>
      <c r="H1411" s="26" t="str">
        <f t="shared" si="110"/>
        <v/>
      </c>
      <c r="I1411" s="10"/>
      <c r="J1411" s="10"/>
      <c r="K1411" s="10" t="str">
        <f t="shared" si="111"/>
        <v/>
      </c>
      <c r="L1411" s="10" t="str">
        <f t="shared" si="112"/>
        <v/>
      </c>
      <c r="M1411" s="10" t="str">
        <f t="shared" si="113"/>
        <v/>
      </c>
      <c r="N1411" s="10" t="str">
        <f t="shared" si="114"/>
        <v/>
      </c>
      <c r="O1411" s="6"/>
      <c r="P1411" s="6"/>
    </row>
    <row r="1412" spans="1:16" x14ac:dyDescent="0.3">
      <c r="A1412" s="6"/>
      <c r="B1412" s="7"/>
      <c r="C1412" s="6"/>
      <c r="D1412" s="6"/>
      <c r="E1412" s="6"/>
      <c r="F1412" s="25"/>
      <c r="G1412" s="25" t="str">
        <f>IF(A1412="","",SUMIFS(Paradas_Detalhadas!$I:$I,Paradas_Detalhadas!$A:$A,A1412,Paradas_Detalhadas!$B:$B,B1412,Paradas_Detalhadas!$C:$C,C1412,Paradas_Detalhadas!$D:$D,E1412))</f>
        <v/>
      </c>
      <c r="H1412" s="26" t="str">
        <f t="shared" si="110"/>
        <v/>
      </c>
      <c r="I1412" s="10"/>
      <c r="J1412" s="10"/>
      <c r="K1412" s="10" t="str">
        <f t="shared" si="111"/>
        <v/>
      </c>
      <c r="L1412" s="10" t="str">
        <f t="shared" si="112"/>
        <v/>
      </c>
      <c r="M1412" s="10" t="str">
        <f t="shared" si="113"/>
        <v/>
      </c>
      <c r="N1412" s="10" t="str">
        <f t="shared" si="114"/>
        <v/>
      </c>
      <c r="O1412" s="6"/>
      <c r="P1412" s="6"/>
    </row>
    <row r="1413" spans="1:16" x14ac:dyDescent="0.3">
      <c r="A1413" s="6"/>
      <c r="B1413" s="7"/>
      <c r="C1413" s="6"/>
      <c r="D1413" s="6"/>
      <c r="E1413" s="6"/>
      <c r="F1413" s="25"/>
      <c r="G1413" s="25" t="str">
        <f>IF(A1413="","",SUMIFS(Paradas_Detalhadas!$I:$I,Paradas_Detalhadas!$A:$A,A1413,Paradas_Detalhadas!$B:$B,B1413,Paradas_Detalhadas!$C:$C,C1413,Paradas_Detalhadas!$D:$D,E1413))</f>
        <v/>
      </c>
      <c r="H1413" s="26" t="str">
        <f t="shared" si="110"/>
        <v/>
      </c>
      <c r="I1413" s="10"/>
      <c r="J1413" s="10"/>
      <c r="K1413" s="10" t="str">
        <f t="shared" si="111"/>
        <v/>
      </c>
      <c r="L1413" s="10" t="str">
        <f t="shared" si="112"/>
        <v/>
      </c>
      <c r="M1413" s="10" t="str">
        <f t="shared" si="113"/>
        <v/>
      </c>
      <c r="N1413" s="10" t="str">
        <f t="shared" si="114"/>
        <v/>
      </c>
      <c r="O1413" s="6"/>
      <c r="P1413" s="6"/>
    </row>
    <row r="1414" spans="1:16" x14ac:dyDescent="0.3">
      <c r="A1414" s="6"/>
      <c r="B1414" s="7"/>
      <c r="C1414" s="6"/>
      <c r="D1414" s="6"/>
      <c r="E1414" s="6"/>
      <c r="F1414" s="25"/>
      <c r="G1414" s="25" t="str">
        <f>IF(A1414="","",SUMIFS(Paradas_Detalhadas!$I:$I,Paradas_Detalhadas!$A:$A,A1414,Paradas_Detalhadas!$B:$B,B1414,Paradas_Detalhadas!$C:$C,C1414,Paradas_Detalhadas!$D:$D,E1414))</f>
        <v/>
      </c>
      <c r="H1414" s="26" t="str">
        <f t="shared" si="110"/>
        <v/>
      </c>
      <c r="I1414" s="10"/>
      <c r="J1414" s="10"/>
      <c r="K1414" s="10" t="str">
        <f t="shared" si="111"/>
        <v/>
      </c>
      <c r="L1414" s="10" t="str">
        <f t="shared" si="112"/>
        <v/>
      </c>
      <c r="M1414" s="10" t="str">
        <f t="shared" si="113"/>
        <v/>
      </c>
      <c r="N1414" s="10" t="str">
        <f t="shared" si="114"/>
        <v/>
      </c>
      <c r="O1414" s="6"/>
      <c r="P1414" s="6"/>
    </row>
    <row r="1415" spans="1:16" x14ac:dyDescent="0.3">
      <c r="A1415" s="6"/>
      <c r="B1415" s="7"/>
      <c r="C1415" s="6"/>
      <c r="D1415" s="6"/>
      <c r="E1415" s="6"/>
      <c r="F1415" s="25"/>
      <c r="G1415" s="25" t="str">
        <f>IF(A1415="","",SUMIFS(Paradas_Detalhadas!$I:$I,Paradas_Detalhadas!$A:$A,A1415,Paradas_Detalhadas!$B:$B,B1415,Paradas_Detalhadas!$C:$C,C1415,Paradas_Detalhadas!$D:$D,E1415))</f>
        <v/>
      </c>
      <c r="H1415" s="26" t="str">
        <f t="shared" si="110"/>
        <v/>
      </c>
      <c r="I1415" s="10"/>
      <c r="J1415" s="10"/>
      <c r="K1415" s="10" t="str">
        <f t="shared" si="111"/>
        <v/>
      </c>
      <c r="L1415" s="10" t="str">
        <f t="shared" si="112"/>
        <v/>
      </c>
      <c r="M1415" s="10" t="str">
        <f t="shared" si="113"/>
        <v/>
      </c>
      <c r="N1415" s="10" t="str">
        <f t="shared" si="114"/>
        <v/>
      </c>
      <c r="O1415" s="6"/>
      <c r="P1415" s="6"/>
    </row>
    <row r="1416" spans="1:16" x14ac:dyDescent="0.3">
      <c r="A1416" s="6"/>
      <c r="B1416" s="7"/>
      <c r="C1416" s="6"/>
      <c r="D1416" s="6"/>
      <c r="E1416" s="6"/>
      <c r="F1416" s="25"/>
      <c r="G1416" s="25" t="str">
        <f>IF(A1416="","",SUMIFS(Paradas_Detalhadas!$I:$I,Paradas_Detalhadas!$A:$A,A1416,Paradas_Detalhadas!$B:$B,B1416,Paradas_Detalhadas!$C:$C,C1416,Paradas_Detalhadas!$D:$D,E1416))</f>
        <v/>
      </c>
      <c r="H1416" s="26" t="str">
        <f t="shared" si="110"/>
        <v/>
      </c>
      <c r="I1416" s="10"/>
      <c r="J1416" s="10"/>
      <c r="K1416" s="10" t="str">
        <f t="shared" si="111"/>
        <v/>
      </c>
      <c r="L1416" s="10" t="str">
        <f t="shared" si="112"/>
        <v/>
      </c>
      <c r="M1416" s="10" t="str">
        <f t="shared" si="113"/>
        <v/>
      </c>
      <c r="N1416" s="10" t="str">
        <f t="shared" si="114"/>
        <v/>
      </c>
      <c r="O1416" s="6"/>
      <c r="P1416" s="6"/>
    </row>
    <row r="1417" spans="1:16" x14ac:dyDescent="0.3">
      <c r="A1417" s="6"/>
      <c r="B1417" s="7"/>
      <c r="C1417" s="6"/>
      <c r="D1417" s="6"/>
      <c r="E1417" s="6"/>
      <c r="F1417" s="25"/>
      <c r="G1417" s="25" t="str">
        <f>IF(A1417="","",SUMIFS(Paradas_Detalhadas!$I:$I,Paradas_Detalhadas!$A:$A,A1417,Paradas_Detalhadas!$B:$B,B1417,Paradas_Detalhadas!$C:$C,C1417,Paradas_Detalhadas!$D:$D,E1417))</f>
        <v/>
      </c>
      <c r="H1417" s="26" t="str">
        <f t="shared" si="110"/>
        <v/>
      </c>
      <c r="I1417" s="10"/>
      <c r="J1417" s="10"/>
      <c r="K1417" s="10" t="str">
        <f t="shared" si="111"/>
        <v/>
      </c>
      <c r="L1417" s="10" t="str">
        <f t="shared" si="112"/>
        <v/>
      </c>
      <c r="M1417" s="10" t="str">
        <f t="shared" si="113"/>
        <v/>
      </c>
      <c r="N1417" s="10" t="str">
        <f t="shared" si="114"/>
        <v/>
      </c>
      <c r="O1417" s="6"/>
      <c r="P1417" s="6"/>
    </row>
    <row r="1418" spans="1:16" x14ac:dyDescent="0.3">
      <c r="A1418" s="6"/>
      <c r="B1418" s="7"/>
      <c r="C1418" s="6"/>
      <c r="D1418" s="6"/>
      <c r="E1418" s="6"/>
      <c r="F1418" s="25"/>
      <c r="G1418" s="25" t="str">
        <f>IF(A1418="","",SUMIFS(Paradas_Detalhadas!$I:$I,Paradas_Detalhadas!$A:$A,A1418,Paradas_Detalhadas!$B:$B,B1418,Paradas_Detalhadas!$C:$C,C1418,Paradas_Detalhadas!$D:$D,E1418))</f>
        <v/>
      </c>
      <c r="H1418" s="26" t="str">
        <f t="shared" si="110"/>
        <v/>
      </c>
      <c r="I1418" s="10"/>
      <c r="J1418" s="10"/>
      <c r="K1418" s="10" t="str">
        <f t="shared" si="111"/>
        <v/>
      </c>
      <c r="L1418" s="10" t="str">
        <f t="shared" si="112"/>
        <v/>
      </c>
      <c r="M1418" s="10" t="str">
        <f t="shared" si="113"/>
        <v/>
      </c>
      <c r="N1418" s="10" t="str">
        <f t="shared" si="114"/>
        <v/>
      </c>
      <c r="O1418" s="6"/>
      <c r="P1418" s="6"/>
    </row>
    <row r="1419" spans="1:16" x14ac:dyDescent="0.3">
      <c r="A1419" s="6"/>
      <c r="B1419" s="7"/>
      <c r="C1419" s="6"/>
      <c r="D1419" s="6"/>
      <c r="E1419" s="6"/>
      <c r="F1419" s="25"/>
      <c r="G1419" s="25" t="str">
        <f>IF(A1419="","",SUMIFS(Paradas_Detalhadas!$I:$I,Paradas_Detalhadas!$A:$A,A1419,Paradas_Detalhadas!$B:$B,B1419,Paradas_Detalhadas!$C:$C,C1419,Paradas_Detalhadas!$D:$D,E1419))</f>
        <v/>
      </c>
      <c r="H1419" s="26" t="str">
        <f t="shared" si="110"/>
        <v/>
      </c>
      <c r="I1419" s="10"/>
      <c r="J1419" s="10"/>
      <c r="K1419" s="10" t="str">
        <f t="shared" si="111"/>
        <v/>
      </c>
      <c r="L1419" s="10" t="str">
        <f t="shared" si="112"/>
        <v/>
      </c>
      <c r="M1419" s="10" t="str">
        <f t="shared" si="113"/>
        <v/>
      </c>
      <c r="N1419" s="10" t="str">
        <f t="shared" si="114"/>
        <v/>
      </c>
      <c r="O1419" s="6"/>
      <c r="P1419" s="6"/>
    </row>
    <row r="1420" spans="1:16" x14ac:dyDescent="0.3">
      <c r="A1420" s="6"/>
      <c r="B1420" s="7"/>
      <c r="C1420" s="6"/>
      <c r="D1420" s="6"/>
      <c r="E1420" s="6"/>
      <c r="F1420" s="25"/>
      <c r="G1420" s="25" t="str">
        <f>IF(A1420="","",SUMIFS(Paradas_Detalhadas!$I:$I,Paradas_Detalhadas!$A:$A,A1420,Paradas_Detalhadas!$B:$B,B1420,Paradas_Detalhadas!$C:$C,C1420,Paradas_Detalhadas!$D:$D,E1420))</f>
        <v/>
      </c>
      <c r="H1420" s="26" t="str">
        <f t="shared" si="110"/>
        <v/>
      </c>
      <c r="I1420" s="10"/>
      <c r="J1420" s="10"/>
      <c r="K1420" s="10" t="str">
        <f t="shared" si="111"/>
        <v/>
      </c>
      <c r="L1420" s="10" t="str">
        <f t="shared" si="112"/>
        <v/>
      </c>
      <c r="M1420" s="10" t="str">
        <f t="shared" si="113"/>
        <v/>
      </c>
      <c r="N1420" s="10" t="str">
        <f t="shared" si="114"/>
        <v/>
      </c>
      <c r="O1420" s="6"/>
      <c r="P1420" s="6"/>
    </row>
    <row r="1421" spans="1:16" x14ac:dyDescent="0.3">
      <c r="A1421" s="6"/>
      <c r="B1421" s="7"/>
      <c r="C1421" s="6"/>
      <c r="D1421" s="6"/>
      <c r="E1421" s="6"/>
      <c r="F1421" s="25"/>
      <c r="G1421" s="25" t="str">
        <f>IF(A1421="","",SUMIFS(Paradas_Detalhadas!$I:$I,Paradas_Detalhadas!$A:$A,A1421,Paradas_Detalhadas!$B:$B,B1421,Paradas_Detalhadas!$C:$C,C1421,Paradas_Detalhadas!$D:$D,E1421))</f>
        <v/>
      </c>
      <c r="H1421" s="26" t="str">
        <f t="shared" si="110"/>
        <v/>
      </c>
      <c r="I1421" s="10"/>
      <c r="J1421" s="10"/>
      <c r="K1421" s="10" t="str">
        <f t="shared" si="111"/>
        <v/>
      </c>
      <c r="L1421" s="10" t="str">
        <f t="shared" si="112"/>
        <v/>
      </c>
      <c r="M1421" s="10" t="str">
        <f t="shared" si="113"/>
        <v/>
      </c>
      <c r="N1421" s="10" t="str">
        <f t="shared" si="114"/>
        <v/>
      </c>
      <c r="O1421" s="6"/>
      <c r="P1421" s="6"/>
    </row>
    <row r="1422" spans="1:16" x14ac:dyDescent="0.3">
      <c r="A1422" s="6"/>
      <c r="B1422" s="7"/>
      <c r="C1422" s="6"/>
      <c r="D1422" s="6"/>
      <c r="E1422" s="6"/>
      <c r="F1422" s="25"/>
      <c r="G1422" s="25" t="str">
        <f>IF(A1422="","",SUMIFS(Paradas_Detalhadas!$I:$I,Paradas_Detalhadas!$A:$A,A1422,Paradas_Detalhadas!$B:$B,B1422,Paradas_Detalhadas!$C:$C,C1422,Paradas_Detalhadas!$D:$D,E1422))</f>
        <v/>
      </c>
      <c r="H1422" s="26" t="str">
        <f t="shared" si="110"/>
        <v/>
      </c>
      <c r="I1422" s="10"/>
      <c r="J1422" s="10"/>
      <c r="K1422" s="10" t="str">
        <f t="shared" si="111"/>
        <v/>
      </c>
      <c r="L1422" s="10" t="str">
        <f t="shared" si="112"/>
        <v/>
      </c>
      <c r="M1422" s="10" t="str">
        <f t="shared" si="113"/>
        <v/>
      </c>
      <c r="N1422" s="10" t="str">
        <f t="shared" si="114"/>
        <v/>
      </c>
      <c r="O1422" s="6"/>
      <c r="P1422" s="6"/>
    </row>
    <row r="1423" spans="1:16" x14ac:dyDescent="0.3">
      <c r="A1423" s="6"/>
      <c r="B1423" s="7"/>
      <c r="C1423" s="6"/>
      <c r="D1423" s="6"/>
      <c r="E1423" s="6"/>
      <c r="F1423" s="25"/>
      <c r="G1423" s="25" t="str">
        <f>IF(A1423="","",SUMIFS(Paradas_Detalhadas!$I:$I,Paradas_Detalhadas!$A:$A,A1423,Paradas_Detalhadas!$B:$B,B1423,Paradas_Detalhadas!$C:$C,C1423,Paradas_Detalhadas!$D:$D,E1423))</f>
        <v/>
      </c>
      <c r="H1423" s="26" t="str">
        <f t="shared" si="110"/>
        <v/>
      </c>
      <c r="I1423" s="10"/>
      <c r="J1423" s="10"/>
      <c r="K1423" s="10" t="str">
        <f t="shared" si="111"/>
        <v/>
      </c>
      <c r="L1423" s="10" t="str">
        <f t="shared" si="112"/>
        <v/>
      </c>
      <c r="M1423" s="10" t="str">
        <f t="shared" si="113"/>
        <v/>
      </c>
      <c r="N1423" s="10" t="str">
        <f t="shared" si="114"/>
        <v/>
      </c>
      <c r="O1423" s="6"/>
      <c r="P1423" s="6"/>
    </row>
    <row r="1424" spans="1:16" x14ac:dyDescent="0.3">
      <c r="A1424" s="6"/>
      <c r="B1424" s="7"/>
      <c r="C1424" s="6"/>
      <c r="D1424" s="6"/>
      <c r="E1424" s="6"/>
      <c r="F1424" s="25"/>
      <c r="G1424" s="25" t="str">
        <f>IF(A1424="","",SUMIFS(Paradas_Detalhadas!$I:$I,Paradas_Detalhadas!$A:$A,A1424,Paradas_Detalhadas!$B:$B,B1424,Paradas_Detalhadas!$C:$C,C1424,Paradas_Detalhadas!$D:$D,E1424))</f>
        <v/>
      </c>
      <c r="H1424" s="26" t="str">
        <f t="shared" si="110"/>
        <v/>
      </c>
      <c r="I1424" s="10"/>
      <c r="J1424" s="10"/>
      <c r="K1424" s="10" t="str">
        <f t="shared" si="111"/>
        <v/>
      </c>
      <c r="L1424" s="10" t="str">
        <f t="shared" si="112"/>
        <v/>
      </c>
      <c r="M1424" s="10" t="str">
        <f t="shared" si="113"/>
        <v/>
      </c>
      <c r="N1424" s="10" t="str">
        <f t="shared" si="114"/>
        <v/>
      </c>
      <c r="O1424" s="6"/>
      <c r="P1424" s="6"/>
    </row>
    <row r="1425" spans="1:16" x14ac:dyDescent="0.3">
      <c r="A1425" s="6"/>
      <c r="B1425" s="7"/>
      <c r="C1425" s="6"/>
      <c r="D1425" s="6"/>
      <c r="E1425" s="6"/>
      <c r="F1425" s="25"/>
      <c r="G1425" s="25" t="str">
        <f>IF(A1425="","",SUMIFS(Paradas_Detalhadas!$I:$I,Paradas_Detalhadas!$A:$A,A1425,Paradas_Detalhadas!$B:$B,B1425,Paradas_Detalhadas!$C:$C,C1425,Paradas_Detalhadas!$D:$D,E1425))</f>
        <v/>
      </c>
      <c r="H1425" s="26" t="str">
        <f t="shared" si="110"/>
        <v/>
      </c>
      <c r="I1425" s="10"/>
      <c r="J1425" s="10"/>
      <c r="K1425" s="10" t="str">
        <f t="shared" si="111"/>
        <v/>
      </c>
      <c r="L1425" s="10" t="str">
        <f t="shared" si="112"/>
        <v/>
      </c>
      <c r="M1425" s="10" t="str">
        <f t="shared" si="113"/>
        <v/>
      </c>
      <c r="N1425" s="10" t="str">
        <f t="shared" si="114"/>
        <v/>
      </c>
      <c r="O1425" s="6"/>
      <c r="P1425" s="6"/>
    </row>
    <row r="1426" spans="1:16" x14ac:dyDescent="0.3">
      <c r="A1426" s="6"/>
      <c r="B1426" s="7"/>
      <c r="C1426" s="6"/>
      <c r="D1426" s="6"/>
      <c r="E1426" s="6"/>
      <c r="F1426" s="25"/>
      <c r="G1426" s="25" t="str">
        <f>IF(A1426="","",SUMIFS(Paradas_Detalhadas!$I:$I,Paradas_Detalhadas!$A:$A,A1426,Paradas_Detalhadas!$B:$B,B1426,Paradas_Detalhadas!$C:$C,C1426,Paradas_Detalhadas!$D:$D,E1426))</f>
        <v/>
      </c>
      <c r="H1426" s="26" t="str">
        <f t="shared" si="110"/>
        <v/>
      </c>
      <c r="I1426" s="10"/>
      <c r="J1426" s="10"/>
      <c r="K1426" s="10" t="str">
        <f t="shared" si="111"/>
        <v/>
      </c>
      <c r="L1426" s="10" t="str">
        <f t="shared" si="112"/>
        <v/>
      </c>
      <c r="M1426" s="10" t="str">
        <f t="shared" si="113"/>
        <v/>
      </c>
      <c r="N1426" s="10" t="str">
        <f t="shared" si="114"/>
        <v/>
      </c>
      <c r="O1426" s="6"/>
      <c r="P1426" s="6"/>
    </row>
    <row r="1427" spans="1:16" x14ac:dyDescent="0.3">
      <c r="A1427" s="6"/>
      <c r="B1427" s="7"/>
      <c r="C1427" s="6"/>
      <c r="D1427" s="6"/>
      <c r="E1427" s="6"/>
      <c r="F1427" s="25"/>
      <c r="G1427" s="25" t="str">
        <f>IF(A1427="","",SUMIFS(Paradas_Detalhadas!$I:$I,Paradas_Detalhadas!$A:$A,A1427,Paradas_Detalhadas!$B:$B,B1427,Paradas_Detalhadas!$C:$C,C1427,Paradas_Detalhadas!$D:$D,E1427))</f>
        <v/>
      </c>
      <c r="H1427" s="26" t="str">
        <f t="shared" si="110"/>
        <v/>
      </c>
      <c r="I1427" s="10"/>
      <c r="J1427" s="10"/>
      <c r="K1427" s="10" t="str">
        <f t="shared" si="111"/>
        <v/>
      </c>
      <c r="L1427" s="10" t="str">
        <f t="shared" si="112"/>
        <v/>
      </c>
      <c r="M1427" s="10" t="str">
        <f t="shared" si="113"/>
        <v/>
      </c>
      <c r="N1427" s="10" t="str">
        <f t="shared" si="114"/>
        <v/>
      </c>
      <c r="O1427" s="6"/>
      <c r="P1427" s="6"/>
    </row>
    <row r="1428" spans="1:16" x14ac:dyDescent="0.3">
      <c r="A1428" s="6"/>
      <c r="B1428" s="7"/>
      <c r="C1428" s="6"/>
      <c r="D1428" s="6"/>
      <c r="E1428" s="6"/>
      <c r="F1428" s="25"/>
      <c r="G1428" s="25" t="str">
        <f>IF(A1428="","",SUMIFS(Paradas_Detalhadas!$I:$I,Paradas_Detalhadas!$A:$A,A1428,Paradas_Detalhadas!$B:$B,B1428,Paradas_Detalhadas!$C:$C,C1428,Paradas_Detalhadas!$D:$D,E1428))</f>
        <v/>
      </c>
      <c r="H1428" s="26" t="str">
        <f t="shared" si="110"/>
        <v/>
      </c>
      <c r="I1428" s="10"/>
      <c r="J1428" s="10"/>
      <c r="K1428" s="10" t="str">
        <f t="shared" si="111"/>
        <v/>
      </c>
      <c r="L1428" s="10" t="str">
        <f t="shared" si="112"/>
        <v/>
      </c>
      <c r="M1428" s="10" t="str">
        <f t="shared" si="113"/>
        <v/>
      </c>
      <c r="N1428" s="10" t="str">
        <f t="shared" si="114"/>
        <v/>
      </c>
      <c r="O1428" s="6"/>
      <c r="P1428" s="6"/>
    </row>
    <row r="1429" spans="1:16" x14ac:dyDescent="0.3">
      <c r="A1429" s="6"/>
      <c r="B1429" s="7"/>
      <c r="C1429" s="6"/>
      <c r="D1429" s="6"/>
      <c r="E1429" s="6"/>
      <c r="F1429" s="25"/>
      <c r="G1429" s="25" t="str">
        <f>IF(A1429="","",SUMIFS(Paradas_Detalhadas!$I:$I,Paradas_Detalhadas!$A:$A,A1429,Paradas_Detalhadas!$B:$B,B1429,Paradas_Detalhadas!$C:$C,C1429,Paradas_Detalhadas!$D:$D,E1429))</f>
        <v/>
      </c>
      <c r="H1429" s="26" t="str">
        <f t="shared" si="110"/>
        <v/>
      </c>
      <c r="I1429" s="10"/>
      <c r="J1429" s="10"/>
      <c r="K1429" s="10" t="str">
        <f t="shared" si="111"/>
        <v/>
      </c>
      <c r="L1429" s="10" t="str">
        <f t="shared" si="112"/>
        <v/>
      </c>
      <c r="M1429" s="10" t="str">
        <f t="shared" si="113"/>
        <v/>
      </c>
      <c r="N1429" s="10" t="str">
        <f t="shared" si="114"/>
        <v/>
      </c>
      <c r="O1429" s="6"/>
      <c r="P1429" s="6"/>
    </row>
    <row r="1430" spans="1:16" x14ac:dyDescent="0.3">
      <c r="A1430" s="6"/>
      <c r="B1430" s="7"/>
      <c r="C1430" s="6"/>
      <c r="D1430" s="6"/>
      <c r="E1430" s="6"/>
      <c r="F1430" s="25"/>
      <c r="G1430" s="25" t="str">
        <f>IF(A1430="","",SUMIFS(Paradas_Detalhadas!$I:$I,Paradas_Detalhadas!$A:$A,A1430,Paradas_Detalhadas!$B:$B,B1430,Paradas_Detalhadas!$C:$C,C1430,Paradas_Detalhadas!$D:$D,E1430))</f>
        <v/>
      </c>
      <c r="H1430" s="26" t="str">
        <f t="shared" si="110"/>
        <v/>
      </c>
      <c r="I1430" s="10"/>
      <c r="J1430" s="10"/>
      <c r="K1430" s="10" t="str">
        <f t="shared" si="111"/>
        <v/>
      </c>
      <c r="L1430" s="10" t="str">
        <f t="shared" si="112"/>
        <v/>
      </c>
      <c r="M1430" s="10" t="str">
        <f t="shared" si="113"/>
        <v/>
      </c>
      <c r="N1430" s="10" t="str">
        <f t="shared" si="114"/>
        <v/>
      </c>
      <c r="O1430" s="6"/>
      <c r="P1430" s="6"/>
    </row>
    <row r="1431" spans="1:16" x14ac:dyDescent="0.3">
      <c r="A1431" s="6"/>
      <c r="B1431" s="7"/>
      <c r="C1431" s="6"/>
      <c r="D1431" s="6"/>
      <c r="E1431" s="6"/>
      <c r="F1431" s="25"/>
      <c r="G1431" s="25" t="str">
        <f>IF(A1431="","",SUMIFS(Paradas_Detalhadas!$I:$I,Paradas_Detalhadas!$A:$A,A1431,Paradas_Detalhadas!$B:$B,B1431,Paradas_Detalhadas!$C:$C,C1431,Paradas_Detalhadas!$D:$D,E1431))</f>
        <v/>
      </c>
      <c r="H1431" s="26" t="str">
        <f t="shared" si="110"/>
        <v/>
      </c>
      <c r="I1431" s="10"/>
      <c r="J1431" s="10"/>
      <c r="K1431" s="10" t="str">
        <f t="shared" si="111"/>
        <v/>
      </c>
      <c r="L1431" s="10" t="str">
        <f t="shared" si="112"/>
        <v/>
      </c>
      <c r="M1431" s="10" t="str">
        <f t="shared" si="113"/>
        <v/>
      </c>
      <c r="N1431" s="10" t="str">
        <f t="shared" si="114"/>
        <v/>
      </c>
      <c r="O1431" s="6"/>
      <c r="P1431" s="6"/>
    </row>
    <row r="1432" spans="1:16" x14ac:dyDescent="0.3">
      <c r="A1432" s="6"/>
      <c r="B1432" s="7"/>
      <c r="C1432" s="6"/>
      <c r="D1432" s="6"/>
      <c r="E1432" s="6"/>
      <c r="F1432" s="25"/>
      <c r="G1432" s="25" t="str">
        <f>IF(A1432="","",SUMIFS(Paradas_Detalhadas!$I:$I,Paradas_Detalhadas!$A:$A,A1432,Paradas_Detalhadas!$B:$B,B1432,Paradas_Detalhadas!$C:$C,C1432,Paradas_Detalhadas!$D:$D,E1432))</f>
        <v/>
      </c>
      <c r="H1432" s="26" t="str">
        <f t="shared" si="110"/>
        <v/>
      </c>
      <c r="I1432" s="10"/>
      <c r="J1432" s="10"/>
      <c r="K1432" s="10" t="str">
        <f t="shared" si="111"/>
        <v/>
      </c>
      <c r="L1432" s="10" t="str">
        <f t="shared" si="112"/>
        <v/>
      </c>
      <c r="M1432" s="10" t="str">
        <f t="shared" si="113"/>
        <v/>
      </c>
      <c r="N1432" s="10" t="str">
        <f t="shared" si="114"/>
        <v/>
      </c>
      <c r="O1432" s="6"/>
      <c r="P1432" s="6"/>
    </row>
    <row r="1433" spans="1:16" x14ac:dyDescent="0.3">
      <c r="A1433" s="6"/>
      <c r="B1433" s="7"/>
      <c r="C1433" s="6"/>
      <c r="D1433" s="6"/>
      <c r="E1433" s="6"/>
      <c r="F1433" s="25"/>
      <c r="G1433" s="25" t="str">
        <f>IF(A1433="","",SUMIFS(Paradas_Detalhadas!$I:$I,Paradas_Detalhadas!$A:$A,A1433,Paradas_Detalhadas!$B:$B,B1433,Paradas_Detalhadas!$C:$C,C1433,Paradas_Detalhadas!$D:$D,E1433))</f>
        <v/>
      </c>
      <c r="H1433" s="26" t="str">
        <f t="shared" si="110"/>
        <v/>
      </c>
      <c r="I1433" s="10"/>
      <c r="J1433" s="10"/>
      <c r="K1433" s="10" t="str">
        <f t="shared" si="111"/>
        <v/>
      </c>
      <c r="L1433" s="10" t="str">
        <f t="shared" si="112"/>
        <v/>
      </c>
      <c r="M1433" s="10" t="str">
        <f t="shared" si="113"/>
        <v/>
      </c>
      <c r="N1433" s="10" t="str">
        <f t="shared" si="114"/>
        <v/>
      </c>
      <c r="O1433" s="6"/>
      <c r="P1433" s="6"/>
    </row>
    <row r="1434" spans="1:16" x14ac:dyDescent="0.3">
      <c r="A1434" s="6"/>
      <c r="B1434" s="7"/>
      <c r="C1434" s="6"/>
      <c r="D1434" s="6"/>
      <c r="E1434" s="6"/>
      <c r="F1434" s="25"/>
      <c r="G1434" s="25" t="str">
        <f>IF(A1434="","",SUMIFS(Paradas_Detalhadas!$I:$I,Paradas_Detalhadas!$A:$A,A1434,Paradas_Detalhadas!$B:$B,B1434,Paradas_Detalhadas!$C:$C,C1434,Paradas_Detalhadas!$D:$D,E1434))</f>
        <v/>
      </c>
      <c r="H1434" s="26" t="str">
        <f t="shared" si="110"/>
        <v/>
      </c>
      <c r="I1434" s="10"/>
      <c r="J1434" s="10"/>
      <c r="K1434" s="10" t="str">
        <f t="shared" si="111"/>
        <v/>
      </c>
      <c r="L1434" s="10" t="str">
        <f t="shared" si="112"/>
        <v/>
      </c>
      <c r="M1434" s="10" t="str">
        <f t="shared" si="113"/>
        <v/>
      </c>
      <c r="N1434" s="10" t="str">
        <f t="shared" si="114"/>
        <v/>
      </c>
      <c r="O1434" s="6"/>
      <c r="P1434" s="6"/>
    </row>
    <row r="1435" spans="1:16" x14ac:dyDescent="0.3">
      <c r="A1435" s="6"/>
      <c r="B1435" s="7"/>
      <c r="C1435" s="6"/>
      <c r="D1435" s="6"/>
      <c r="E1435" s="6"/>
      <c r="F1435" s="25"/>
      <c r="G1435" s="25" t="str">
        <f>IF(A1435="","",SUMIFS(Paradas_Detalhadas!$I:$I,Paradas_Detalhadas!$A:$A,A1435,Paradas_Detalhadas!$B:$B,B1435,Paradas_Detalhadas!$C:$C,C1435,Paradas_Detalhadas!$D:$D,E1435))</f>
        <v/>
      </c>
      <c r="H1435" s="26" t="str">
        <f t="shared" si="110"/>
        <v/>
      </c>
      <c r="I1435" s="10"/>
      <c r="J1435" s="10"/>
      <c r="K1435" s="10" t="str">
        <f t="shared" si="111"/>
        <v/>
      </c>
      <c r="L1435" s="10" t="str">
        <f t="shared" si="112"/>
        <v/>
      </c>
      <c r="M1435" s="10" t="str">
        <f t="shared" si="113"/>
        <v/>
      </c>
      <c r="N1435" s="10" t="str">
        <f t="shared" si="114"/>
        <v/>
      </c>
      <c r="O1435" s="6"/>
      <c r="P1435" s="6"/>
    </row>
    <row r="1436" spans="1:16" x14ac:dyDescent="0.3">
      <c r="A1436" s="6"/>
      <c r="B1436" s="7"/>
      <c r="C1436" s="6"/>
      <c r="D1436" s="6"/>
      <c r="E1436" s="6"/>
      <c r="F1436" s="25"/>
      <c r="G1436" s="25" t="str">
        <f>IF(A1436="","",SUMIFS(Paradas_Detalhadas!$I:$I,Paradas_Detalhadas!$A:$A,A1436,Paradas_Detalhadas!$B:$B,B1436,Paradas_Detalhadas!$C:$C,C1436,Paradas_Detalhadas!$D:$D,E1436))</f>
        <v/>
      </c>
      <c r="H1436" s="26" t="str">
        <f t="shared" si="110"/>
        <v/>
      </c>
      <c r="I1436" s="10"/>
      <c r="J1436" s="10"/>
      <c r="K1436" s="10" t="str">
        <f t="shared" si="111"/>
        <v/>
      </c>
      <c r="L1436" s="10" t="str">
        <f t="shared" si="112"/>
        <v/>
      </c>
      <c r="M1436" s="10" t="str">
        <f t="shared" si="113"/>
        <v/>
      </c>
      <c r="N1436" s="10" t="str">
        <f t="shared" si="114"/>
        <v/>
      </c>
      <c r="O1436" s="6"/>
      <c r="P1436" s="6"/>
    </row>
    <row r="1437" spans="1:16" x14ac:dyDescent="0.3">
      <c r="A1437" s="6"/>
      <c r="B1437" s="7"/>
      <c r="C1437" s="6"/>
      <c r="D1437" s="6"/>
      <c r="E1437" s="6"/>
      <c r="F1437" s="25"/>
      <c r="G1437" s="25" t="str">
        <f>IF(A1437="","",SUMIFS(Paradas_Detalhadas!$I:$I,Paradas_Detalhadas!$A:$A,A1437,Paradas_Detalhadas!$B:$B,B1437,Paradas_Detalhadas!$C:$C,C1437,Paradas_Detalhadas!$D:$D,E1437))</f>
        <v/>
      </c>
      <c r="H1437" s="26" t="str">
        <f t="shared" si="110"/>
        <v/>
      </c>
      <c r="I1437" s="10"/>
      <c r="J1437" s="10"/>
      <c r="K1437" s="10" t="str">
        <f t="shared" si="111"/>
        <v/>
      </c>
      <c r="L1437" s="10" t="str">
        <f t="shared" si="112"/>
        <v/>
      </c>
      <c r="M1437" s="10" t="str">
        <f t="shared" si="113"/>
        <v/>
      </c>
      <c r="N1437" s="10" t="str">
        <f t="shared" si="114"/>
        <v/>
      </c>
      <c r="O1437" s="6"/>
      <c r="P1437" s="6"/>
    </row>
    <row r="1438" spans="1:16" x14ac:dyDescent="0.3">
      <c r="A1438" s="6"/>
      <c r="B1438" s="7"/>
      <c r="C1438" s="6"/>
      <c r="D1438" s="6"/>
      <c r="E1438" s="6"/>
      <c r="F1438" s="25"/>
      <c r="G1438" s="25" t="str">
        <f>IF(A1438="","",SUMIFS(Paradas_Detalhadas!$I:$I,Paradas_Detalhadas!$A:$A,A1438,Paradas_Detalhadas!$B:$B,B1438,Paradas_Detalhadas!$C:$C,C1438,Paradas_Detalhadas!$D:$D,E1438))</f>
        <v/>
      </c>
      <c r="H1438" s="26" t="str">
        <f t="shared" si="110"/>
        <v/>
      </c>
      <c r="I1438" s="10"/>
      <c r="J1438" s="10"/>
      <c r="K1438" s="10" t="str">
        <f t="shared" si="111"/>
        <v/>
      </c>
      <c r="L1438" s="10" t="str">
        <f t="shared" si="112"/>
        <v/>
      </c>
      <c r="M1438" s="10" t="str">
        <f t="shared" si="113"/>
        <v/>
      </c>
      <c r="N1438" s="10" t="str">
        <f t="shared" si="114"/>
        <v/>
      </c>
      <c r="O1438" s="6"/>
      <c r="P1438" s="6"/>
    </row>
    <row r="1439" spans="1:16" x14ac:dyDescent="0.3">
      <c r="A1439" s="6"/>
      <c r="B1439" s="7"/>
      <c r="C1439" s="6"/>
      <c r="D1439" s="6"/>
      <c r="E1439" s="6"/>
      <c r="F1439" s="25"/>
      <c r="G1439" s="25" t="str">
        <f>IF(A1439="","",SUMIFS(Paradas_Detalhadas!$I:$I,Paradas_Detalhadas!$A:$A,A1439,Paradas_Detalhadas!$B:$B,B1439,Paradas_Detalhadas!$C:$C,C1439,Paradas_Detalhadas!$D:$D,E1439))</f>
        <v/>
      </c>
      <c r="H1439" s="26" t="str">
        <f t="shared" si="110"/>
        <v/>
      </c>
      <c r="I1439" s="10"/>
      <c r="J1439" s="10"/>
      <c r="K1439" s="10" t="str">
        <f t="shared" si="111"/>
        <v/>
      </c>
      <c r="L1439" s="10" t="str">
        <f t="shared" si="112"/>
        <v/>
      </c>
      <c r="M1439" s="10" t="str">
        <f t="shared" si="113"/>
        <v/>
      </c>
      <c r="N1439" s="10" t="str">
        <f t="shared" si="114"/>
        <v/>
      </c>
      <c r="O1439" s="6"/>
      <c r="P1439" s="6"/>
    </row>
    <row r="1440" spans="1:16" x14ac:dyDescent="0.3">
      <c r="A1440" s="6"/>
      <c r="B1440" s="7"/>
      <c r="C1440" s="6"/>
      <c r="D1440" s="6"/>
      <c r="E1440" s="6"/>
      <c r="F1440" s="25"/>
      <c r="G1440" s="25" t="str">
        <f>IF(A1440="","",SUMIFS(Paradas_Detalhadas!$I:$I,Paradas_Detalhadas!$A:$A,A1440,Paradas_Detalhadas!$B:$B,B1440,Paradas_Detalhadas!$C:$C,C1440,Paradas_Detalhadas!$D:$D,E1440))</f>
        <v/>
      </c>
      <c r="H1440" s="26" t="str">
        <f t="shared" si="110"/>
        <v/>
      </c>
      <c r="I1440" s="10"/>
      <c r="J1440" s="10"/>
      <c r="K1440" s="10" t="str">
        <f t="shared" si="111"/>
        <v/>
      </c>
      <c r="L1440" s="10" t="str">
        <f t="shared" si="112"/>
        <v/>
      </c>
      <c r="M1440" s="10" t="str">
        <f t="shared" si="113"/>
        <v/>
      </c>
      <c r="N1440" s="10" t="str">
        <f t="shared" si="114"/>
        <v/>
      </c>
      <c r="O1440" s="6"/>
      <c r="P1440" s="6"/>
    </row>
    <row r="1441" spans="1:16" x14ac:dyDescent="0.3">
      <c r="A1441" s="6"/>
      <c r="B1441" s="7"/>
      <c r="C1441" s="6"/>
      <c r="D1441" s="6"/>
      <c r="E1441" s="6"/>
      <c r="F1441" s="25"/>
      <c r="G1441" s="25" t="str">
        <f>IF(A1441="","",SUMIFS(Paradas_Detalhadas!$I:$I,Paradas_Detalhadas!$A:$A,A1441,Paradas_Detalhadas!$B:$B,B1441,Paradas_Detalhadas!$C:$C,C1441,Paradas_Detalhadas!$D:$D,E1441))</f>
        <v/>
      </c>
      <c r="H1441" s="26" t="str">
        <f t="shared" si="110"/>
        <v/>
      </c>
      <c r="I1441" s="10"/>
      <c r="J1441" s="10"/>
      <c r="K1441" s="10" t="str">
        <f t="shared" si="111"/>
        <v/>
      </c>
      <c r="L1441" s="10" t="str">
        <f t="shared" si="112"/>
        <v/>
      </c>
      <c r="M1441" s="10" t="str">
        <f t="shared" si="113"/>
        <v/>
      </c>
      <c r="N1441" s="10" t="str">
        <f t="shared" si="114"/>
        <v/>
      </c>
      <c r="O1441" s="6"/>
      <c r="P1441" s="6"/>
    </row>
    <row r="1442" spans="1:16" x14ac:dyDescent="0.3">
      <c r="A1442" s="6"/>
      <c r="B1442" s="7"/>
      <c r="C1442" s="6"/>
      <c r="D1442" s="6"/>
      <c r="E1442" s="6"/>
      <c r="F1442" s="25"/>
      <c r="G1442" s="25" t="str">
        <f>IF(A1442="","",SUMIFS(Paradas_Detalhadas!$I:$I,Paradas_Detalhadas!$A:$A,A1442,Paradas_Detalhadas!$B:$B,B1442,Paradas_Detalhadas!$C:$C,C1442,Paradas_Detalhadas!$D:$D,E1442))</f>
        <v/>
      </c>
      <c r="H1442" s="26" t="str">
        <f t="shared" si="110"/>
        <v/>
      </c>
      <c r="I1442" s="10"/>
      <c r="J1442" s="10"/>
      <c r="K1442" s="10" t="str">
        <f t="shared" si="111"/>
        <v/>
      </c>
      <c r="L1442" s="10" t="str">
        <f t="shared" si="112"/>
        <v/>
      </c>
      <c r="M1442" s="10" t="str">
        <f t="shared" si="113"/>
        <v/>
      </c>
      <c r="N1442" s="10" t="str">
        <f t="shared" si="114"/>
        <v/>
      </c>
      <c r="O1442" s="6"/>
      <c r="P1442" s="6"/>
    </row>
    <row r="1443" spans="1:16" x14ac:dyDescent="0.3">
      <c r="A1443" s="6"/>
      <c r="B1443" s="7"/>
      <c r="C1443" s="6"/>
      <c r="D1443" s="6"/>
      <c r="E1443" s="6"/>
      <c r="F1443" s="25"/>
      <c r="G1443" s="25" t="str">
        <f>IF(A1443="","",SUMIFS(Paradas_Detalhadas!$I:$I,Paradas_Detalhadas!$A:$A,A1443,Paradas_Detalhadas!$B:$B,B1443,Paradas_Detalhadas!$C:$C,C1443,Paradas_Detalhadas!$D:$D,E1443))</f>
        <v/>
      </c>
      <c r="H1443" s="26" t="str">
        <f t="shared" si="110"/>
        <v/>
      </c>
      <c r="I1443" s="10"/>
      <c r="J1443" s="10"/>
      <c r="K1443" s="10" t="str">
        <f t="shared" si="111"/>
        <v/>
      </c>
      <c r="L1443" s="10" t="str">
        <f t="shared" si="112"/>
        <v/>
      </c>
      <c r="M1443" s="10" t="str">
        <f t="shared" si="113"/>
        <v/>
      </c>
      <c r="N1443" s="10" t="str">
        <f t="shared" si="114"/>
        <v/>
      </c>
      <c r="O1443" s="6"/>
      <c r="P1443" s="6"/>
    </row>
    <row r="1444" spans="1:16" x14ac:dyDescent="0.3">
      <c r="A1444" s="6"/>
      <c r="B1444" s="7"/>
      <c r="C1444" s="6"/>
      <c r="D1444" s="6"/>
      <c r="E1444" s="6"/>
      <c r="F1444" s="25"/>
      <c r="G1444" s="25" t="str">
        <f>IF(A1444="","",SUMIFS(Paradas_Detalhadas!$I:$I,Paradas_Detalhadas!$A:$A,A1444,Paradas_Detalhadas!$B:$B,B1444,Paradas_Detalhadas!$C:$C,C1444,Paradas_Detalhadas!$D:$D,E1444))</f>
        <v/>
      </c>
      <c r="H1444" s="26" t="str">
        <f t="shared" si="110"/>
        <v/>
      </c>
      <c r="I1444" s="10"/>
      <c r="J1444" s="10"/>
      <c r="K1444" s="10" t="str">
        <f t="shared" si="111"/>
        <v/>
      </c>
      <c r="L1444" s="10" t="str">
        <f t="shared" si="112"/>
        <v/>
      </c>
      <c r="M1444" s="10" t="str">
        <f t="shared" si="113"/>
        <v/>
      </c>
      <c r="N1444" s="10" t="str">
        <f t="shared" si="114"/>
        <v/>
      </c>
      <c r="O1444" s="6"/>
      <c r="P1444" s="6"/>
    </row>
    <row r="1445" spans="1:16" x14ac:dyDescent="0.3">
      <c r="A1445" s="6"/>
      <c r="B1445" s="7"/>
      <c r="C1445" s="6"/>
      <c r="D1445" s="6"/>
      <c r="E1445" s="6"/>
      <c r="F1445" s="25"/>
      <c r="G1445" s="25" t="str">
        <f>IF(A1445="","",SUMIFS(Paradas_Detalhadas!$I:$I,Paradas_Detalhadas!$A:$A,A1445,Paradas_Detalhadas!$B:$B,B1445,Paradas_Detalhadas!$C:$C,C1445,Paradas_Detalhadas!$D:$D,E1445))</f>
        <v/>
      </c>
      <c r="H1445" s="26" t="str">
        <f t="shared" si="110"/>
        <v/>
      </c>
      <c r="I1445" s="10"/>
      <c r="J1445" s="10"/>
      <c r="K1445" s="10" t="str">
        <f t="shared" si="111"/>
        <v/>
      </c>
      <c r="L1445" s="10" t="str">
        <f t="shared" si="112"/>
        <v/>
      </c>
      <c r="M1445" s="10" t="str">
        <f t="shared" si="113"/>
        <v/>
      </c>
      <c r="N1445" s="10" t="str">
        <f t="shared" si="114"/>
        <v/>
      </c>
      <c r="O1445" s="6"/>
      <c r="P1445" s="6"/>
    </row>
    <row r="1446" spans="1:16" x14ac:dyDescent="0.3">
      <c r="A1446" s="6"/>
      <c r="B1446" s="7"/>
      <c r="C1446" s="6"/>
      <c r="D1446" s="6"/>
      <c r="E1446" s="6"/>
      <c r="F1446" s="25"/>
      <c r="G1446" s="25" t="str">
        <f>IF(A1446="","",SUMIFS(Paradas_Detalhadas!$I:$I,Paradas_Detalhadas!$A:$A,A1446,Paradas_Detalhadas!$B:$B,B1446,Paradas_Detalhadas!$C:$C,C1446,Paradas_Detalhadas!$D:$D,E1446))</f>
        <v/>
      </c>
      <c r="H1446" s="26" t="str">
        <f t="shared" si="110"/>
        <v/>
      </c>
      <c r="I1446" s="10"/>
      <c r="J1446" s="10"/>
      <c r="K1446" s="10" t="str">
        <f t="shared" si="111"/>
        <v/>
      </c>
      <c r="L1446" s="10" t="str">
        <f t="shared" si="112"/>
        <v/>
      </c>
      <c r="M1446" s="10" t="str">
        <f t="shared" si="113"/>
        <v/>
      </c>
      <c r="N1446" s="10" t="str">
        <f t="shared" si="114"/>
        <v/>
      </c>
      <c r="O1446" s="6"/>
      <c r="P1446" s="6"/>
    </row>
    <row r="1447" spans="1:16" x14ac:dyDescent="0.3">
      <c r="A1447" s="6"/>
      <c r="B1447" s="7"/>
      <c r="C1447" s="6"/>
      <c r="D1447" s="6"/>
      <c r="E1447" s="6"/>
      <c r="F1447" s="25"/>
      <c r="G1447" s="25" t="str">
        <f>IF(A1447="","",SUMIFS(Paradas_Detalhadas!$I:$I,Paradas_Detalhadas!$A:$A,A1447,Paradas_Detalhadas!$B:$B,B1447,Paradas_Detalhadas!$C:$C,C1447,Paradas_Detalhadas!$D:$D,E1447))</f>
        <v/>
      </c>
      <c r="H1447" s="26" t="str">
        <f t="shared" si="110"/>
        <v/>
      </c>
      <c r="I1447" s="10"/>
      <c r="J1447" s="10"/>
      <c r="K1447" s="10" t="str">
        <f t="shared" si="111"/>
        <v/>
      </c>
      <c r="L1447" s="10" t="str">
        <f t="shared" si="112"/>
        <v/>
      </c>
      <c r="M1447" s="10" t="str">
        <f t="shared" si="113"/>
        <v/>
      </c>
      <c r="N1447" s="10" t="str">
        <f t="shared" si="114"/>
        <v/>
      </c>
      <c r="O1447" s="6"/>
      <c r="P1447" s="6"/>
    </row>
    <row r="1448" spans="1:16" x14ac:dyDescent="0.3">
      <c r="A1448" s="6"/>
      <c r="B1448" s="7"/>
      <c r="C1448" s="6"/>
      <c r="D1448" s="6"/>
      <c r="E1448" s="6"/>
      <c r="F1448" s="25"/>
      <c r="G1448" s="25" t="str">
        <f>IF(A1448="","",SUMIFS(Paradas_Detalhadas!$I:$I,Paradas_Detalhadas!$A:$A,A1448,Paradas_Detalhadas!$B:$B,B1448,Paradas_Detalhadas!$C:$C,C1448,Paradas_Detalhadas!$D:$D,E1448))</f>
        <v/>
      </c>
      <c r="H1448" s="26" t="str">
        <f t="shared" si="110"/>
        <v/>
      </c>
      <c r="I1448" s="10"/>
      <c r="J1448" s="10"/>
      <c r="K1448" s="10" t="str">
        <f t="shared" si="111"/>
        <v/>
      </c>
      <c r="L1448" s="10" t="str">
        <f t="shared" si="112"/>
        <v/>
      </c>
      <c r="M1448" s="10" t="str">
        <f t="shared" si="113"/>
        <v/>
      </c>
      <c r="N1448" s="10" t="str">
        <f t="shared" si="114"/>
        <v/>
      </c>
      <c r="O1448" s="6"/>
      <c r="P1448" s="6"/>
    </row>
    <row r="1449" spans="1:16" x14ac:dyDescent="0.3">
      <c r="A1449" s="6"/>
      <c r="B1449" s="7"/>
      <c r="C1449" s="6"/>
      <c r="D1449" s="6"/>
      <c r="E1449" s="6"/>
      <c r="F1449" s="25"/>
      <c r="G1449" s="25" t="str">
        <f>IF(A1449="","",SUMIFS(Paradas_Detalhadas!$I:$I,Paradas_Detalhadas!$A:$A,A1449,Paradas_Detalhadas!$B:$B,B1449,Paradas_Detalhadas!$C:$C,C1449,Paradas_Detalhadas!$D:$D,E1449))</f>
        <v/>
      </c>
      <c r="H1449" s="26" t="str">
        <f t="shared" si="110"/>
        <v/>
      </c>
      <c r="I1449" s="10"/>
      <c r="J1449" s="10"/>
      <c r="K1449" s="10" t="str">
        <f t="shared" si="111"/>
        <v/>
      </c>
      <c r="L1449" s="10" t="str">
        <f t="shared" si="112"/>
        <v/>
      </c>
      <c r="M1449" s="10" t="str">
        <f t="shared" si="113"/>
        <v/>
      </c>
      <c r="N1449" s="10" t="str">
        <f t="shared" si="114"/>
        <v/>
      </c>
      <c r="O1449" s="6"/>
      <c r="P1449" s="6"/>
    </row>
    <row r="1450" spans="1:16" x14ac:dyDescent="0.3">
      <c r="A1450" s="6"/>
      <c r="B1450" s="7"/>
      <c r="C1450" s="6"/>
      <c r="D1450" s="6"/>
      <c r="E1450" s="6"/>
      <c r="F1450" s="25"/>
      <c r="G1450" s="25" t="str">
        <f>IF(A1450="","",SUMIFS(Paradas_Detalhadas!$I:$I,Paradas_Detalhadas!$A:$A,A1450,Paradas_Detalhadas!$B:$B,B1450,Paradas_Detalhadas!$C:$C,C1450,Paradas_Detalhadas!$D:$D,E1450))</f>
        <v/>
      </c>
      <c r="H1450" s="26" t="str">
        <f t="shared" si="110"/>
        <v/>
      </c>
      <c r="I1450" s="10"/>
      <c r="J1450" s="10"/>
      <c r="K1450" s="10" t="str">
        <f t="shared" si="111"/>
        <v/>
      </c>
      <c r="L1450" s="10" t="str">
        <f t="shared" si="112"/>
        <v/>
      </c>
      <c r="M1450" s="10" t="str">
        <f t="shared" si="113"/>
        <v/>
      </c>
      <c r="N1450" s="10" t="str">
        <f t="shared" si="114"/>
        <v/>
      </c>
      <c r="O1450" s="6"/>
      <c r="P1450" s="6"/>
    </row>
    <row r="1451" spans="1:16" x14ac:dyDescent="0.3">
      <c r="A1451" s="6"/>
      <c r="B1451" s="7"/>
      <c r="C1451" s="6"/>
      <c r="D1451" s="6"/>
      <c r="E1451" s="6"/>
      <c r="F1451" s="25"/>
      <c r="G1451" s="25" t="str">
        <f>IF(A1451="","",SUMIFS(Paradas_Detalhadas!$I:$I,Paradas_Detalhadas!$A:$A,A1451,Paradas_Detalhadas!$B:$B,B1451,Paradas_Detalhadas!$C:$C,C1451,Paradas_Detalhadas!$D:$D,E1451))</f>
        <v/>
      </c>
      <c r="H1451" s="26" t="str">
        <f t="shared" si="110"/>
        <v/>
      </c>
      <c r="I1451" s="10"/>
      <c r="J1451" s="10"/>
      <c r="K1451" s="10" t="str">
        <f t="shared" si="111"/>
        <v/>
      </c>
      <c r="L1451" s="10" t="str">
        <f t="shared" si="112"/>
        <v/>
      </c>
      <c r="M1451" s="10" t="str">
        <f t="shared" si="113"/>
        <v/>
      </c>
      <c r="N1451" s="10" t="str">
        <f t="shared" si="114"/>
        <v/>
      </c>
      <c r="O1451" s="6"/>
      <c r="P1451" s="6"/>
    </row>
    <row r="1452" spans="1:16" x14ac:dyDescent="0.3">
      <c r="A1452" s="6"/>
      <c r="B1452" s="7"/>
      <c r="C1452" s="6"/>
      <c r="D1452" s="6"/>
      <c r="E1452" s="6"/>
      <c r="F1452" s="25"/>
      <c r="G1452" s="25" t="str">
        <f>IF(A1452="","",SUMIFS(Paradas_Detalhadas!$I:$I,Paradas_Detalhadas!$A:$A,A1452,Paradas_Detalhadas!$B:$B,B1452,Paradas_Detalhadas!$C:$C,C1452,Paradas_Detalhadas!$D:$D,E1452))</f>
        <v/>
      </c>
      <c r="H1452" s="26" t="str">
        <f t="shared" si="110"/>
        <v/>
      </c>
      <c r="I1452" s="10"/>
      <c r="J1452" s="10"/>
      <c r="K1452" s="10" t="str">
        <f t="shared" si="111"/>
        <v/>
      </c>
      <c r="L1452" s="10" t="str">
        <f t="shared" si="112"/>
        <v/>
      </c>
      <c r="M1452" s="10" t="str">
        <f t="shared" si="113"/>
        <v/>
      </c>
      <c r="N1452" s="10" t="str">
        <f t="shared" si="114"/>
        <v/>
      </c>
      <c r="O1452" s="6"/>
      <c r="P1452" s="6"/>
    </row>
    <row r="1453" spans="1:16" x14ac:dyDescent="0.3">
      <c r="A1453" s="6"/>
      <c r="B1453" s="7"/>
      <c r="C1453" s="6"/>
      <c r="D1453" s="6"/>
      <c r="E1453" s="6"/>
      <c r="F1453" s="25"/>
      <c r="G1453" s="25" t="str">
        <f>IF(A1453="","",SUMIFS(Paradas_Detalhadas!$I:$I,Paradas_Detalhadas!$A:$A,A1453,Paradas_Detalhadas!$B:$B,B1453,Paradas_Detalhadas!$C:$C,C1453,Paradas_Detalhadas!$D:$D,E1453))</f>
        <v/>
      </c>
      <c r="H1453" s="26" t="str">
        <f t="shared" si="110"/>
        <v/>
      </c>
      <c r="I1453" s="10"/>
      <c r="J1453" s="10"/>
      <c r="K1453" s="10" t="str">
        <f t="shared" si="111"/>
        <v/>
      </c>
      <c r="L1453" s="10" t="str">
        <f t="shared" si="112"/>
        <v/>
      </c>
      <c r="M1453" s="10" t="str">
        <f t="shared" si="113"/>
        <v/>
      </c>
      <c r="N1453" s="10" t="str">
        <f t="shared" si="114"/>
        <v/>
      </c>
      <c r="O1453" s="6"/>
      <c r="P1453" s="6"/>
    </row>
    <row r="1454" spans="1:16" x14ac:dyDescent="0.3">
      <c r="A1454" s="6"/>
      <c r="B1454" s="7"/>
      <c r="C1454" s="6"/>
      <c r="D1454" s="6"/>
      <c r="E1454" s="6"/>
      <c r="F1454" s="25"/>
      <c r="G1454" s="25" t="str">
        <f>IF(A1454="","",SUMIFS(Paradas_Detalhadas!$I:$I,Paradas_Detalhadas!$A:$A,A1454,Paradas_Detalhadas!$B:$B,B1454,Paradas_Detalhadas!$C:$C,C1454,Paradas_Detalhadas!$D:$D,E1454))</f>
        <v/>
      </c>
      <c r="H1454" s="26" t="str">
        <f t="shared" ref="H1454:H1501" si="115">IF(OR(F1454="",G1454=""),"",MAX(F1454-G1454,0))</f>
        <v/>
      </c>
      <c r="I1454" s="10"/>
      <c r="J1454" s="10"/>
      <c r="K1454" s="10" t="str">
        <f t="shared" ref="K1454:K1501" si="116">IF(AND(I1454="",J1454=""),"",SUM(I1454:J1454))</f>
        <v/>
      </c>
      <c r="L1454" s="10" t="str">
        <f t="shared" ref="L1454:L1501" si="117">IFERROR(K1454/H1454,"")</f>
        <v/>
      </c>
      <c r="M1454" s="10" t="str">
        <f t="shared" ref="M1454:M1501" si="118">IFERROR(I1454/H1454,"")</f>
        <v/>
      </c>
      <c r="N1454" s="10" t="str">
        <f t="shared" ref="N1454:N1501" si="119">IFERROR(J1454/H1454,"")</f>
        <v/>
      </c>
      <c r="O1454" s="6"/>
      <c r="P1454" s="6"/>
    </row>
    <row r="1455" spans="1:16" x14ac:dyDescent="0.3">
      <c r="A1455" s="6"/>
      <c r="B1455" s="7"/>
      <c r="C1455" s="6"/>
      <c r="D1455" s="6"/>
      <c r="E1455" s="6"/>
      <c r="F1455" s="25"/>
      <c r="G1455" s="25" t="str">
        <f>IF(A1455="","",SUMIFS(Paradas_Detalhadas!$I:$I,Paradas_Detalhadas!$A:$A,A1455,Paradas_Detalhadas!$B:$B,B1455,Paradas_Detalhadas!$C:$C,C1455,Paradas_Detalhadas!$D:$D,E1455))</f>
        <v/>
      </c>
      <c r="H1455" s="26" t="str">
        <f t="shared" si="115"/>
        <v/>
      </c>
      <c r="I1455" s="10"/>
      <c r="J1455" s="10"/>
      <c r="K1455" s="10" t="str">
        <f t="shared" si="116"/>
        <v/>
      </c>
      <c r="L1455" s="10" t="str">
        <f t="shared" si="117"/>
        <v/>
      </c>
      <c r="M1455" s="10" t="str">
        <f t="shared" si="118"/>
        <v/>
      </c>
      <c r="N1455" s="10" t="str">
        <f t="shared" si="119"/>
        <v/>
      </c>
      <c r="O1455" s="6"/>
      <c r="P1455" s="6"/>
    </row>
    <row r="1456" spans="1:16" x14ac:dyDescent="0.3">
      <c r="A1456" s="6"/>
      <c r="B1456" s="7"/>
      <c r="C1456" s="6"/>
      <c r="D1456" s="6"/>
      <c r="E1456" s="6"/>
      <c r="F1456" s="25"/>
      <c r="G1456" s="25" t="str">
        <f>IF(A1456="","",SUMIFS(Paradas_Detalhadas!$I:$I,Paradas_Detalhadas!$A:$A,A1456,Paradas_Detalhadas!$B:$B,B1456,Paradas_Detalhadas!$C:$C,C1456,Paradas_Detalhadas!$D:$D,E1456))</f>
        <v/>
      </c>
      <c r="H1456" s="26" t="str">
        <f t="shared" si="115"/>
        <v/>
      </c>
      <c r="I1456" s="10"/>
      <c r="J1456" s="10"/>
      <c r="K1456" s="10" t="str">
        <f t="shared" si="116"/>
        <v/>
      </c>
      <c r="L1456" s="10" t="str">
        <f t="shared" si="117"/>
        <v/>
      </c>
      <c r="M1456" s="10" t="str">
        <f t="shared" si="118"/>
        <v/>
      </c>
      <c r="N1456" s="10" t="str">
        <f t="shared" si="119"/>
        <v/>
      </c>
      <c r="O1456" s="6"/>
      <c r="P1456" s="6"/>
    </row>
    <row r="1457" spans="1:16" x14ac:dyDescent="0.3">
      <c r="A1457" s="6"/>
      <c r="B1457" s="7"/>
      <c r="C1457" s="6"/>
      <c r="D1457" s="6"/>
      <c r="E1457" s="6"/>
      <c r="F1457" s="25"/>
      <c r="G1457" s="25" t="str">
        <f>IF(A1457="","",SUMIFS(Paradas_Detalhadas!$I:$I,Paradas_Detalhadas!$A:$A,A1457,Paradas_Detalhadas!$B:$B,B1457,Paradas_Detalhadas!$C:$C,C1457,Paradas_Detalhadas!$D:$D,E1457))</f>
        <v/>
      </c>
      <c r="H1457" s="26" t="str">
        <f t="shared" si="115"/>
        <v/>
      </c>
      <c r="I1457" s="10"/>
      <c r="J1457" s="10"/>
      <c r="K1457" s="10" t="str">
        <f t="shared" si="116"/>
        <v/>
      </c>
      <c r="L1457" s="10" t="str">
        <f t="shared" si="117"/>
        <v/>
      </c>
      <c r="M1457" s="10" t="str">
        <f t="shared" si="118"/>
        <v/>
      </c>
      <c r="N1457" s="10" t="str">
        <f t="shared" si="119"/>
        <v/>
      </c>
      <c r="O1457" s="6"/>
      <c r="P1457" s="6"/>
    </row>
    <row r="1458" spans="1:16" x14ac:dyDescent="0.3">
      <c r="A1458" s="6"/>
      <c r="B1458" s="7"/>
      <c r="C1458" s="6"/>
      <c r="D1458" s="6"/>
      <c r="E1458" s="6"/>
      <c r="F1458" s="25"/>
      <c r="G1458" s="25" t="str">
        <f>IF(A1458="","",SUMIFS(Paradas_Detalhadas!$I:$I,Paradas_Detalhadas!$A:$A,A1458,Paradas_Detalhadas!$B:$B,B1458,Paradas_Detalhadas!$C:$C,C1458,Paradas_Detalhadas!$D:$D,E1458))</f>
        <v/>
      </c>
      <c r="H1458" s="26" t="str">
        <f t="shared" si="115"/>
        <v/>
      </c>
      <c r="I1458" s="10"/>
      <c r="J1458" s="10"/>
      <c r="K1458" s="10" t="str">
        <f t="shared" si="116"/>
        <v/>
      </c>
      <c r="L1458" s="10" t="str">
        <f t="shared" si="117"/>
        <v/>
      </c>
      <c r="M1458" s="10" t="str">
        <f t="shared" si="118"/>
        <v/>
      </c>
      <c r="N1458" s="10" t="str">
        <f t="shared" si="119"/>
        <v/>
      </c>
      <c r="O1458" s="6"/>
      <c r="P1458" s="6"/>
    </row>
    <row r="1459" spans="1:16" x14ac:dyDescent="0.3">
      <c r="A1459" s="6"/>
      <c r="B1459" s="7"/>
      <c r="C1459" s="6"/>
      <c r="D1459" s="6"/>
      <c r="E1459" s="6"/>
      <c r="F1459" s="25"/>
      <c r="G1459" s="25" t="str">
        <f>IF(A1459="","",SUMIFS(Paradas_Detalhadas!$I:$I,Paradas_Detalhadas!$A:$A,A1459,Paradas_Detalhadas!$B:$B,B1459,Paradas_Detalhadas!$C:$C,C1459,Paradas_Detalhadas!$D:$D,E1459))</f>
        <v/>
      </c>
      <c r="H1459" s="26" t="str">
        <f t="shared" si="115"/>
        <v/>
      </c>
      <c r="I1459" s="10"/>
      <c r="J1459" s="10"/>
      <c r="K1459" s="10" t="str">
        <f t="shared" si="116"/>
        <v/>
      </c>
      <c r="L1459" s="10" t="str">
        <f t="shared" si="117"/>
        <v/>
      </c>
      <c r="M1459" s="10" t="str">
        <f t="shared" si="118"/>
        <v/>
      </c>
      <c r="N1459" s="10" t="str">
        <f t="shared" si="119"/>
        <v/>
      </c>
      <c r="O1459" s="6"/>
      <c r="P1459" s="6"/>
    </row>
    <row r="1460" spans="1:16" x14ac:dyDescent="0.3">
      <c r="A1460" s="6"/>
      <c r="B1460" s="7"/>
      <c r="C1460" s="6"/>
      <c r="D1460" s="6"/>
      <c r="E1460" s="6"/>
      <c r="F1460" s="25"/>
      <c r="G1460" s="25" t="str">
        <f>IF(A1460="","",SUMIFS(Paradas_Detalhadas!$I:$I,Paradas_Detalhadas!$A:$A,A1460,Paradas_Detalhadas!$B:$B,B1460,Paradas_Detalhadas!$C:$C,C1460,Paradas_Detalhadas!$D:$D,E1460))</f>
        <v/>
      </c>
      <c r="H1460" s="26" t="str">
        <f t="shared" si="115"/>
        <v/>
      </c>
      <c r="I1460" s="10"/>
      <c r="J1460" s="10"/>
      <c r="K1460" s="10" t="str">
        <f t="shared" si="116"/>
        <v/>
      </c>
      <c r="L1460" s="10" t="str">
        <f t="shared" si="117"/>
        <v/>
      </c>
      <c r="M1460" s="10" t="str">
        <f t="shared" si="118"/>
        <v/>
      </c>
      <c r="N1460" s="10" t="str">
        <f t="shared" si="119"/>
        <v/>
      </c>
      <c r="O1460" s="6"/>
      <c r="P1460" s="6"/>
    </row>
    <row r="1461" spans="1:16" x14ac:dyDescent="0.3">
      <c r="A1461" s="6"/>
      <c r="B1461" s="7"/>
      <c r="C1461" s="6"/>
      <c r="D1461" s="6"/>
      <c r="E1461" s="6"/>
      <c r="F1461" s="25"/>
      <c r="G1461" s="25" t="str">
        <f>IF(A1461="","",SUMIFS(Paradas_Detalhadas!$I:$I,Paradas_Detalhadas!$A:$A,A1461,Paradas_Detalhadas!$B:$B,B1461,Paradas_Detalhadas!$C:$C,C1461,Paradas_Detalhadas!$D:$D,E1461))</f>
        <v/>
      </c>
      <c r="H1461" s="26" t="str">
        <f t="shared" si="115"/>
        <v/>
      </c>
      <c r="I1461" s="10"/>
      <c r="J1461" s="10"/>
      <c r="K1461" s="10" t="str">
        <f t="shared" si="116"/>
        <v/>
      </c>
      <c r="L1461" s="10" t="str">
        <f t="shared" si="117"/>
        <v/>
      </c>
      <c r="M1461" s="10" t="str">
        <f t="shared" si="118"/>
        <v/>
      </c>
      <c r="N1461" s="10" t="str">
        <f t="shared" si="119"/>
        <v/>
      </c>
      <c r="O1461" s="6"/>
      <c r="P1461" s="6"/>
    </row>
    <row r="1462" spans="1:16" x14ac:dyDescent="0.3">
      <c r="A1462" s="6"/>
      <c r="B1462" s="7"/>
      <c r="C1462" s="6"/>
      <c r="D1462" s="6"/>
      <c r="E1462" s="6"/>
      <c r="F1462" s="25"/>
      <c r="G1462" s="25" t="str">
        <f>IF(A1462="","",SUMIFS(Paradas_Detalhadas!$I:$I,Paradas_Detalhadas!$A:$A,A1462,Paradas_Detalhadas!$B:$B,B1462,Paradas_Detalhadas!$C:$C,C1462,Paradas_Detalhadas!$D:$D,E1462))</f>
        <v/>
      </c>
      <c r="H1462" s="26" t="str">
        <f t="shared" si="115"/>
        <v/>
      </c>
      <c r="I1462" s="10"/>
      <c r="J1462" s="10"/>
      <c r="K1462" s="10" t="str">
        <f t="shared" si="116"/>
        <v/>
      </c>
      <c r="L1462" s="10" t="str">
        <f t="shared" si="117"/>
        <v/>
      </c>
      <c r="M1462" s="10" t="str">
        <f t="shared" si="118"/>
        <v/>
      </c>
      <c r="N1462" s="10" t="str">
        <f t="shared" si="119"/>
        <v/>
      </c>
      <c r="O1462" s="6"/>
      <c r="P1462" s="6"/>
    </row>
    <row r="1463" spans="1:16" x14ac:dyDescent="0.3">
      <c r="A1463" s="6"/>
      <c r="B1463" s="7"/>
      <c r="C1463" s="6"/>
      <c r="D1463" s="6"/>
      <c r="E1463" s="6"/>
      <c r="F1463" s="25"/>
      <c r="G1463" s="25" t="str">
        <f>IF(A1463="","",SUMIFS(Paradas_Detalhadas!$I:$I,Paradas_Detalhadas!$A:$A,A1463,Paradas_Detalhadas!$B:$B,B1463,Paradas_Detalhadas!$C:$C,C1463,Paradas_Detalhadas!$D:$D,E1463))</f>
        <v/>
      </c>
      <c r="H1463" s="26" t="str">
        <f t="shared" si="115"/>
        <v/>
      </c>
      <c r="I1463" s="10"/>
      <c r="J1463" s="10"/>
      <c r="K1463" s="10" t="str">
        <f t="shared" si="116"/>
        <v/>
      </c>
      <c r="L1463" s="10" t="str">
        <f t="shared" si="117"/>
        <v/>
      </c>
      <c r="M1463" s="10" t="str">
        <f t="shared" si="118"/>
        <v/>
      </c>
      <c r="N1463" s="10" t="str">
        <f t="shared" si="119"/>
        <v/>
      </c>
      <c r="O1463" s="6"/>
      <c r="P1463" s="6"/>
    </row>
    <row r="1464" spans="1:16" x14ac:dyDescent="0.3">
      <c r="A1464" s="6"/>
      <c r="B1464" s="7"/>
      <c r="C1464" s="6"/>
      <c r="D1464" s="6"/>
      <c r="E1464" s="6"/>
      <c r="F1464" s="25"/>
      <c r="G1464" s="25" t="str">
        <f>IF(A1464="","",SUMIFS(Paradas_Detalhadas!$I:$I,Paradas_Detalhadas!$A:$A,A1464,Paradas_Detalhadas!$B:$B,B1464,Paradas_Detalhadas!$C:$C,C1464,Paradas_Detalhadas!$D:$D,E1464))</f>
        <v/>
      </c>
      <c r="H1464" s="26" t="str">
        <f t="shared" si="115"/>
        <v/>
      </c>
      <c r="I1464" s="10"/>
      <c r="J1464" s="10"/>
      <c r="K1464" s="10" t="str">
        <f t="shared" si="116"/>
        <v/>
      </c>
      <c r="L1464" s="10" t="str">
        <f t="shared" si="117"/>
        <v/>
      </c>
      <c r="M1464" s="10" t="str">
        <f t="shared" si="118"/>
        <v/>
      </c>
      <c r="N1464" s="10" t="str">
        <f t="shared" si="119"/>
        <v/>
      </c>
      <c r="O1464" s="6"/>
      <c r="P1464" s="6"/>
    </row>
    <row r="1465" spans="1:16" x14ac:dyDescent="0.3">
      <c r="A1465" s="6"/>
      <c r="B1465" s="7"/>
      <c r="C1465" s="6"/>
      <c r="D1465" s="6"/>
      <c r="E1465" s="6"/>
      <c r="F1465" s="25"/>
      <c r="G1465" s="25" t="str">
        <f>IF(A1465="","",SUMIFS(Paradas_Detalhadas!$I:$I,Paradas_Detalhadas!$A:$A,A1465,Paradas_Detalhadas!$B:$B,B1465,Paradas_Detalhadas!$C:$C,C1465,Paradas_Detalhadas!$D:$D,E1465))</f>
        <v/>
      </c>
      <c r="H1465" s="26" t="str">
        <f t="shared" si="115"/>
        <v/>
      </c>
      <c r="I1465" s="10"/>
      <c r="J1465" s="10"/>
      <c r="K1465" s="10" t="str">
        <f t="shared" si="116"/>
        <v/>
      </c>
      <c r="L1465" s="10" t="str">
        <f t="shared" si="117"/>
        <v/>
      </c>
      <c r="M1465" s="10" t="str">
        <f t="shared" si="118"/>
        <v/>
      </c>
      <c r="N1465" s="10" t="str">
        <f t="shared" si="119"/>
        <v/>
      </c>
      <c r="O1465" s="6"/>
      <c r="P1465" s="6"/>
    </row>
    <row r="1466" spans="1:16" x14ac:dyDescent="0.3">
      <c r="A1466" s="6"/>
      <c r="B1466" s="7"/>
      <c r="C1466" s="6"/>
      <c r="D1466" s="6"/>
      <c r="E1466" s="6"/>
      <c r="F1466" s="25"/>
      <c r="G1466" s="25" t="str">
        <f>IF(A1466="","",SUMIFS(Paradas_Detalhadas!$I:$I,Paradas_Detalhadas!$A:$A,A1466,Paradas_Detalhadas!$B:$B,B1466,Paradas_Detalhadas!$C:$C,C1466,Paradas_Detalhadas!$D:$D,E1466))</f>
        <v/>
      </c>
      <c r="H1466" s="26" t="str">
        <f t="shared" si="115"/>
        <v/>
      </c>
      <c r="I1466" s="10"/>
      <c r="J1466" s="10"/>
      <c r="K1466" s="10" t="str">
        <f t="shared" si="116"/>
        <v/>
      </c>
      <c r="L1466" s="10" t="str">
        <f t="shared" si="117"/>
        <v/>
      </c>
      <c r="M1466" s="10" t="str">
        <f t="shared" si="118"/>
        <v/>
      </c>
      <c r="N1466" s="10" t="str">
        <f t="shared" si="119"/>
        <v/>
      </c>
      <c r="O1466" s="6"/>
      <c r="P1466" s="6"/>
    </row>
    <row r="1467" spans="1:16" x14ac:dyDescent="0.3">
      <c r="A1467" s="6"/>
      <c r="B1467" s="7"/>
      <c r="C1467" s="6"/>
      <c r="D1467" s="6"/>
      <c r="E1467" s="6"/>
      <c r="F1467" s="25"/>
      <c r="G1467" s="25" t="str">
        <f>IF(A1467="","",SUMIFS(Paradas_Detalhadas!$I:$I,Paradas_Detalhadas!$A:$A,A1467,Paradas_Detalhadas!$B:$B,B1467,Paradas_Detalhadas!$C:$C,C1467,Paradas_Detalhadas!$D:$D,E1467))</f>
        <v/>
      </c>
      <c r="H1467" s="26" t="str">
        <f t="shared" si="115"/>
        <v/>
      </c>
      <c r="I1467" s="10"/>
      <c r="J1467" s="10"/>
      <c r="K1467" s="10" t="str">
        <f t="shared" si="116"/>
        <v/>
      </c>
      <c r="L1467" s="10" t="str">
        <f t="shared" si="117"/>
        <v/>
      </c>
      <c r="M1467" s="10" t="str">
        <f t="shared" si="118"/>
        <v/>
      </c>
      <c r="N1467" s="10" t="str">
        <f t="shared" si="119"/>
        <v/>
      </c>
      <c r="O1467" s="6"/>
      <c r="P1467" s="6"/>
    </row>
    <row r="1468" spans="1:16" x14ac:dyDescent="0.3">
      <c r="A1468" s="6"/>
      <c r="B1468" s="7"/>
      <c r="C1468" s="6"/>
      <c r="D1468" s="6"/>
      <c r="E1468" s="6"/>
      <c r="F1468" s="25"/>
      <c r="G1468" s="25" t="str">
        <f>IF(A1468="","",SUMIFS(Paradas_Detalhadas!$I:$I,Paradas_Detalhadas!$A:$A,A1468,Paradas_Detalhadas!$B:$B,B1468,Paradas_Detalhadas!$C:$C,C1468,Paradas_Detalhadas!$D:$D,E1468))</f>
        <v/>
      </c>
      <c r="H1468" s="26" t="str">
        <f t="shared" si="115"/>
        <v/>
      </c>
      <c r="I1468" s="10"/>
      <c r="J1468" s="10"/>
      <c r="K1468" s="10" t="str">
        <f t="shared" si="116"/>
        <v/>
      </c>
      <c r="L1468" s="10" t="str">
        <f t="shared" si="117"/>
        <v/>
      </c>
      <c r="M1468" s="10" t="str">
        <f t="shared" si="118"/>
        <v/>
      </c>
      <c r="N1468" s="10" t="str">
        <f t="shared" si="119"/>
        <v/>
      </c>
      <c r="O1468" s="6"/>
      <c r="P1468" s="6"/>
    </row>
    <row r="1469" spans="1:16" x14ac:dyDescent="0.3">
      <c r="A1469" s="6"/>
      <c r="B1469" s="7"/>
      <c r="C1469" s="6"/>
      <c r="D1469" s="6"/>
      <c r="E1469" s="6"/>
      <c r="F1469" s="25"/>
      <c r="G1469" s="25" t="str">
        <f>IF(A1469="","",SUMIFS(Paradas_Detalhadas!$I:$I,Paradas_Detalhadas!$A:$A,A1469,Paradas_Detalhadas!$B:$B,B1469,Paradas_Detalhadas!$C:$C,C1469,Paradas_Detalhadas!$D:$D,E1469))</f>
        <v/>
      </c>
      <c r="H1469" s="26" t="str">
        <f t="shared" si="115"/>
        <v/>
      </c>
      <c r="I1469" s="10"/>
      <c r="J1469" s="10"/>
      <c r="K1469" s="10" t="str">
        <f t="shared" si="116"/>
        <v/>
      </c>
      <c r="L1469" s="10" t="str">
        <f t="shared" si="117"/>
        <v/>
      </c>
      <c r="M1469" s="10" t="str">
        <f t="shared" si="118"/>
        <v/>
      </c>
      <c r="N1469" s="10" t="str">
        <f t="shared" si="119"/>
        <v/>
      </c>
      <c r="O1469" s="6"/>
      <c r="P1469" s="6"/>
    </row>
    <row r="1470" spans="1:16" x14ac:dyDescent="0.3">
      <c r="A1470" s="6"/>
      <c r="B1470" s="7"/>
      <c r="C1470" s="6"/>
      <c r="D1470" s="6"/>
      <c r="E1470" s="6"/>
      <c r="F1470" s="25"/>
      <c r="G1470" s="25" t="str">
        <f>IF(A1470="","",SUMIFS(Paradas_Detalhadas!$I:$I,Paradas_Detalhadas!$A:$A,A1470,Paradas_Detalhadas!$B:$B,B1470,Paradas_Detalhadas!$C:$C,C1470,Paradas_Detalhadas!$D:$D,E1470))</f>
        <v/>
      </c>
      <c r="H1470" s="26" t="str">
        <f t="shared" si="115"/>
        <v/>
      </c>
      <c r="I1470" s="10"/>
      <c r="J1470" s="10"/>
      <c r="K1470" s="10" t="str">
        <f t="shared" si="116"/>
        <v/>
      </c>
      <c r="L1470" s="10" t="str">
        <f t="shared" si="117"/>
        <v/>
      </c>
      <c r="M1470" s="10" t="str">
        <f t="shared" si="118"/>
        <v/>
      </c>
      <c r="N1470" s="10" t="str">
        <f t="shared" si="119"/>
        <v/>
      </c>
      <c r="O1470" s="6"/>
      <c r="P1470" s="6"/>
    </row>
    <row r="1471" spans="1:16" x14ac:dyDescent="0.3">
      <c r="A1471" s="6"/>
      <c r="B1471" s="7"/>
      <c r="C1471" s="6"/>
      <c r="D1471" s="6"/>
      <c r="E1471" s="6"/>
      <c r="F1471" s="25"/>
      <c r="G1471" s="25" t="str">
        <f>IF(A1471="","",SUMIFS(Paradas_Detalhadas!$I:$I,Paradas_Detalhadas!$A:$A,A1471,Paradas_Detalhadas!$B:$B,B1471,Paradas_Detalhadas!$C:$C,C1471,Paradas_Detalhadas!$D:$D,E1471))</f>
        <v/>
      </c>
      <c r="H1471" s="26" t="str">
        <f t="shared" si="115"/>
        <v/>
      </c>
      <c r="I1471" s="10"/>
      <c r="J1471" s="10"/>
      <c r="K1471" s="10" t="str">
        <f t="shared" si="116"/>
        <v/>
      </c>
      <c r="L1471" s="10" t="str">
        <f t="shared" si="117"/>
        <v/>
      </c>
      <c r="M1471" s="10" t="str">
        <f t="shared" si="118"/>
        <v/>
      </c>
      <c r="N1471" s="10" t="str">
        <f t="shared" si="119"/>
        <v/>
      </c>
      <c r="O1471" s="6"/>
      <c r="P1471" s="6"/>
    </row>
    <row r="1472" spans="1:16" x14ac:dyDescent="0.3">
      <c r="A1472" s="6"/>
      <c r="B1472" s="7"/>
      <c r="C1472" s="6"/>
      <c r="D1472" s="6"/>
      <c r="E1472" s="6"/>
      <c r="F1472" s="25"/>
      <c r="G1472" s="25" t="str">
        <f>IF(A1472="","",SUMIFS(Paradas_Detalhadas!$I:$I,Paradas_Detalhadas!$A:$A,A1472,Paradas_Detalhadas!$B:$B,B1472,Paradas_Detalhadas!$C:$C,C1472,Paradas_Detalhadas!$D:$D,E1472))</f>
        <v/>
      </c>
      <c r="H1472" s="26" t="str">
        <f t="shared" si="115"/>
        <v/>
      </c>
      <c r="I1472" s="10"/>
      <c r="J1472" s="10"/>
      <c r="K1472" s="10" t="str">
        <f t="shared" si="116"/>
        <v/>
      </c>
      <c r="L1472" s="10" t="str">
        <f t="shared" si="117"/>
        <v/>
      </c>
      <c r="M1472" s="10" t="str">
        <f t="shared" si="118"/>
        <v/>
      </c>
      <c r="N1472" s="10" t="str">
        <f t="shared" si="119"/>
        <v/>
      </c>
      <c r="O1472" s="6"/>
      <c r="P1472" s="6"/>
    </row>
    <row r="1473" spans="1:16" x14ac:dyDescent="0.3">
      <c r="A1473" s="6"/>
      <c r="B1473" s="7"/>
      <c r="C1473" s="6"/>
      <c r="D1473" s="6"/>
      <c r="E1473" s="6"/>
      <c r="F1473" s="25"/>
      <c r="G1473" s="25" t="str">
        <f>IF(A1473="","",SUMIFS(Paradas_Detalhadas!$I:$I,Paradas_Detalhadas!$A:$A,A1473,Paradas_Detalhadas!$B:$B,B1473,Paradas_Detalhadas!$C:$C,C1473,Paradas_Detalhadas!$D:$D,E1473))</f>
        <v/>
      </c>
      <c r="H1473" s="26" t="str">
        <f t="shared" si="115"/>
        <v/>
      </c>
      <c r="I1473" s="10"/>
      <c r="J1473" s="10"/>
      <c r="K1473" s="10" t="str">
        <f t="shared" si="116"/>
        <v/>
      </c>
      <c r="L1473" s="10" t="str">
        <f t="shared" si="117"/>
        <v/>
      </c>
      <c r="M1473" s="10" t="str">
        <f t="shared" si="118"/>
        <v/>
      </c>
      <c r="N1473" s="10" t="str">
        <f t="shared" si="119"/>
        <v/>
      </c>
      <c r="O1473" s="6"/>
      <c r="P1473" s="6"/>
    </row>
    <row r="1474" spans="1:16" x14ac:dyDescent="0.3">
      <c r="A1474" s="6"/>
      <c r="B1474" s="7"/>
      <c r="C1474" s="6"/>
      <c r="D1474" s="6"/>
      <c r="E1474" s="6"/>
      <c r="F1474" s="25"/>
      <c r="G1474" s="25" t="str">
        <f>IF(A1474="","",SUMIFS(Paradas_Detalhadas!$I:$I,Paradas_Detalhadas!$A:$A,A1474,Paradas_Detalhadas!$B:$B,B1474,Paradas_Detalhadas!$C:$C,C1474,Paradas_Detalhadas!$D:$D,E1474))</f>
        <v/>
      </c>
      <c r="H1474" s="26" t="str">
        <f t="shared" si="115"/>
        <v/>
      </c>
      <c r="I1474" s="10"/>
      <c r="J1474" s="10"/>
      <c r="K1474" s="10" t="str">
        <f t="shared" si="116"/>
        <v/>
      </c>
      <c r="L1474" s="10" t="str">
        <f t="shared" si="117"/>
        <v/>
      </c>
      <c r="M1474" s="10" t="str">
        <f t="shared" si="118"/>
        <v/>
      </c>
      <c r="N1474" s="10" t="str">
        <f t="shared" si="119"/>
        <v/>
      </c>
      <c r="O1474" s="6"/>
      <c r="P1474" s="6"/>
    </row>
    <row r="1475" spans="1:16" x14ac:dyDescent="0.3">
      <c r="A1475" s="6"/>
      <c r="B1475" s="7"/>
      <c r="C1475" s="6"/>
      <c r="D1475" s="6"/>
      <c r="E1475" s="6"/>
      <c r="F1475" s="25"/>
      <c r="G1475" s="25" t="str">
        <f>IF(A1475="","",SUMIFS(Paradas_Detalhadas!$I:$I,Paradas_Detalhadas!$A:$A,A1475,Paradas_Detalhadas!$B:$B,B1475,Paradas_Detalhadas!$C:$C,C1475,Paradas_Detalhadas!$D:$D,E1475))</f>
        <v/>
      </c>
      <c r="H1475" s="26" t="str">
        <f t="shared" si="115"/>
        <v/>
      </c>
      <c r="I1475" s="10"/>
      <c r="J1475" s="10"/>
      <c r="K1475" s="10" t="str">
        <f t="shared" si="116"/>
        <v/>
      </c>
      <c r="L1475" s="10" t="str">
        <f t="shared" si="117"/>
        <v/>
      </c>
      <c r="M1475" s="10" t="str">
        <f t="shared" si="118"/>
        <v/>
      </c>
      <c r="N1475" s="10" t="str">
        <f t="shared" si="119"/>
        <v/>
      </c>
      <c r="O1475" s="6"/>
      <c r="P1475" s="6"/>
    </row>
    <row r="1476" spans="1:16" x14ac:dyDescent="0.3">
      <c r="A1476" s="6"/>
      <c r="B1476" s="7"/>
      <c r="C1476" s="6"/>
      <c r="D1476" s="6"/>
      <c r="E1476" s="6"/>
      <c r="F1476" s="25"/>
      <c r="G1476" s="25" t="str">
        <f>IF(A1476="","",SUMIFS(Paradas_Detalhadas!$I:$I,Paradas_Detalhadas!$A:$A,A1476,Paradas_Detalhadas!$B:$B,B1476,Paradas_Detalhadas!$C:$C,C1476,Paradas_Detalhadas!$D:$D,E1476))</f>
        <v/>
      </c>
      <c r="H1476" s="26" t="str">
        <f t="shared" si="115"/>
        <v/>
      </c>
      <c r="I1476" s="10"/>
      <c r="J1476" s="10"/>
      <c r="K1476" s="10" t="str">
        <f t="shared" si="116"/>
        <v/>
      </c>
      <c r="L1476" s="10" t="str">
        <f t="shared" si="117"/>
        <v/>
      </c>
      <c r="M1476" s="10" t="str">
        <f t="shared" si="118"/>
        <v/>
      </c>
      <c r="N1476" s="10" t="str">
        <f t="shared" si="119"/>
        <v/>
      </c>
      <c r="O1476" s="6"/>
      <c r="P1476" s="6"/>
    </row>
    <row r="1477" spans="1:16" x14ac:dyDescent="0.3">
      <c r="A1477" s="6"/>
      <c r="B1477" s="7"/>
      <c r="C1477" s="6"/>
      <c r="D1477" s="6"/>
      <c r="E1477" s="6"/>
      <c r="F1477" s="25"/>
      <c r="G1477" s="25" t="str">
        <f>IF(A1477="","",SUMIFS(Paradas_Detalhadas!$I:$I,Paradas_Detalhadas!$A:$A,A1477,Paradas_Detalhadas!$B:$B,B1477,Paradas_Detalhadas!$C:$C,C1477,Paradas_Detalhadas!$D:$D,E1477))</f>
        <v/>
      </c>
      <c r="H1477" s="26" t="str">
        <f t="shared" si="115"/>
        <v/>
      </c>
      <c r="I1477" s="10"/>
      <c r="J1477" s="10"/>
      <c r="K1477" s="10" t="str">
        <f t="shared" si="116"/>
        <v/>
      </c>
      <c r="L1477" s="10" t="str">
        <f t="shared" si="117"/>
        <v/>
      </c>
      <c r="M1477" s="10" t="str">
        <f t="shared" si="118"/>
        <v/>
      </c>
      <c r="N1477" s="10" t="str">
        <f t="shared" si="119"/>
        <v/>
      </c>
      <c r="O1477" s="6"/>
      <c r="P1477" s="6"/>
    </row>
    <row r="1478" spans="1:16" x14ac:dyDescent="0.3">
      <c r="A1478" s="6"/>
      <c r="B1478" s="7"/>
      <c r="C1478" s="6"/>
      <c r="D1478" s="6"/>
      <c r="E1478" s="6"/>
      <c r="F1478" s="25"/>
      <c r="G1478" s="25" t="str">
        <f>IF(A1478="","",SUMIFS(Paradas_Detalhadas!$I:$I,Paradas_Detalhadas!$A:$A,A1478,Paradas_Detalhadas!$B:$B,B1478,Paradas_Detalhadas!$C:$C,C1478,Paradas_Detalhadas!$D:$D,E1478))</f>
        <v/>
      </c>
      <c r="H1478" s="26" t="str">
        <f t="shared" si="115"/>
        <v/>
      </c>
      <c r="I1478" s="10"/>
      <c r="J1478" s="10"/>
      <c r="K1478" s="10" t="str">
        <f t="shared" si="116"/>
        <v/>
      </c>
      <c r="L1478" s="10" t="str">
        <f t="shared" si="117"/>
        <v/>
      </c>
      <c r="M1478" s="10" t="str">
        <f t="shared" si="118"/>
        <v/>
      </c>
      <c r="N1478" s="10" t="str">
        <f t="shared" si="119"/>
        <v/>
      </c>
      <c r="O1478" s="6"/>
      <c r="P1478" s="6"/>
    </row>
    <row r="1479" spans="1:16" x14ac:dyDescent="0.3">
      <c r="A1479" s="6"/>
      <c r="B1479" s="7"/>
      <c r="C1479" s="6"/>
      <c r="D1479" s="6"/>
      <c r="E1479" s="6"/>
      <c r="F1479" s="25"/>
      <c r="G1479" s="25" t="str">
        <f>IF(A1479="","",SUMIFS(Paradas_Detalhadas!$I:$I,Paradas_Detalhadas!$A:$A,A1479,Paradas_Detalhadas!$B:$B,B1479,Paradas_Detalhadas!$C:$C,C1479,Paradas_Detalhadas!$D:$D,E1479))</f>
        <v/>
      </c>
      <c r="H1479" s="26" t="str">
        <f t="shared" si="115"/>
        <v/>
      </c>
      <c r="I1479" s="10"/>
      <c r="J1479" s="10"/>
      <c r="K1479" s="10" t="str">
        <f t="shared" si="116"/>
        <v/>
      </c>
      <c r="L1479" s="10" t="str">
        <f t="shared" si="117"/>
        <v/>
      </c>
      <c r="M1479" s="10" t="str">
        <f t="shared" si="118"/>
        <v/>
      </c>
      <c r="N1479" s="10" t="str">
        <f t="shared" si="119"/>
        <v/>
      </c>
      <c r="O1479" s="6"/>
      <c r="P1479" s="6"/>
    </row>
    <row r="1480" spans="1:16" x14ac:dyDescent="0.3">
      <c r="A1480" s="6"/>
      <c r="B1480" s="7"/>
      <c r="C1480" s="6"/>
      <c r="D1480" s="6"/>
      <c r="E1480" s="6"/>
      <c r="F1480" s="25"/>
      <c r="G1480" s="25" t="str">
        <f>IF(A1480="","",SUMIFS(Paradas_Detalhadas!$I:$I,Paradas_Detalhadas!$A:$A,A1480,Paradas_Detalhadas!$B:$B,B1480,Paradas_Detalhadas!$C:$C,C1480,Paradas_Detalhadas!$D:$D,E1480))</f>
        <v/>
      </c>
      <c r="H1480" s="26" t="str">
        <f t="shared" si="115"/>
        <v/>
      </c>
      <c r="I1480" s="10"/>
      <c r="J1480" s="10"/>
      <c r="K1480" s="10" t="str">
        <f t="shared" si="116"/>
        <v/>
      </c>
      <c r="L1480" s="10" t="str">
        <f t="shared" si="117"/>
        <v/>
      </c>
      <c r="M1480" s="10" t="str">
        <f t="shared" si="118"/>
        <v/>
      </c>
      <c r="N1480" s="10" t="str">
        <f t="shared" si="119"/>
        <v/>
      </c>
      <c r="O1480" s="6"/>
      <c r="P1480" s="6"/>
    </row>
    <row r="1481" spans="1:16" x14ac:dyDescent="0.3">
      <c r="A1481" s="6"/>
      <c r="B1481" s="7"/>
      <c r="C1481" s="6"/>
      <c r="D1481" s="6"/>
      <c r="E1481" s="6"/>
      <c r="F1481" s="25"/>
      <c r="G1481" s="25" t="str">
        <f>IF(A1481="","",SUMIFS(Paradas_Detalhadas!$I:$I,Paradas_Detalhadas!$A:$A,A1481,Paradas_Detalhadas!$B:$B,B1481,Paradas_Detalhadas!$C:$C,C1481,Paradas_Detalhadas!$D:$D,E1481))</f>
        <v/>
      </c>
      <c r="H1481" s="26" t="str">
        <f t="shared" si="115"/>
        <v/>
      </c>
      <c r="I1481" s="10"/>
      <c r="J1481" s="10"/>
      <c r="K1481" s="10" t="str">
        <f t="shared" si="116"/>
        <v/>
      </c>
      <c r="L1481" s="10" t="str">
        <f t="shared" si="117"/>
        <v/>
      </c>
      <c r="M1481" s="10" t="str">
        <f t="shared" si="118"/>
        <v/>
      </c>
      <c r="N1481" s="10" t="str">
        <f t="shared" si="119"/>
        <v/>
      </c>
      <c r="O1481" s="6"/>
      <c r="P1481" s="6"/>
    </row>
    <row r="1482" spans="1:16" x14ac:dyDescent="0.3">
      <c r="A1482" s="6"/>
      <c r="B1482" s="7"/>
      <c r="C1482" s="6"/>
      <c r="D1482" s="6"/>
      <c r="E1482" s="6"/>
      <c r="F1482" s="25"/>
      <c r="G1482" s="25" t="str">
        <f>IF(A1482="","",SUMIFS(Paradas_Detalhadas!$I:$I,Paradas_Detalhadas!$A:$A,A1482,Paradas_Detalhadas!$B:$B,B1482,Paradas_Detalhadas!$C:$C,C1482,Paradas_Detalhadas!$D:$D,E1482))</f>
        <v/>
      </c>
      <c r="H1482" s="26" t="str">
        <f t="shared" si="115"/>
        <v/>
      </c>
      <c r="I1482" s="10"/>
      <c r="J1482" s="10"/>
      <c r="K1482" s="10" t="str">
        <f t="shared" si="116"/>
        <v/>
      </c>
      <c r="L1482" s="10" t="str">
        <f t="shared" si="117"/>
        <v/>
      </c>
      <c r="M1482" s="10" t="str">
        <f t="shared" si="118"/>
        <v/>
      </c>
      <c r="N1482" s="10" t="str">
        <f t="shared" si="119"/>
        <v/>
      </c>
      <c r="O1482" s="6"/>
      <c r="P1482" s="6"/>
    </row>
    <row r="1483" spans="1:16" x14ac:dyDescent="0.3">
      <c r="A1483" s="6"/>
      <c r="B1483" s="7"/>
      <c r="C1483" s="6"/>
      <c r="D1483" s="6"/>
      <c r="E1483" s="6"/>
      <c r="F1483" s="25"/>
      <c r="G1483" s="25" t="str">
        <f>IF(A1483="","",SUMIFS(Paradas_Detalhadas!$I:$I,Paradas_Detalhadas!$A:$A,A1483,Paradas_Detalhadas!$B:$B,B1483,Paradas_Detalhadas!$C:$C,C1483,Paradas_Detalhadas!$D:$D,E1483))</f>
        <v/>
      </c>
      <c r="H1483" s="26" t="str">
        <f t="shared" si="115"/>
        <v/>
      </c>
      <c r="I1483" s="10"/>
      <c r="J1483" s="10"/>
      <c r="K1483" s="10" t="str">
        <f t="shared" si="116"/>
        <v/>
      </c>
      <c r="L1483" s="10" t="str">
        <f t="shared" si="117"/>
        <v/>
      </c>
      <c r="M1483" s="10" t="str">
        <f t="shared" si="118"/>
        <v/>
      </c>
      <c r="N1483" s="10" t="str">
        <f t="shared" si="119"/>
        <v/>
      </c>
      <c r="O1483" s="6"/>
      <c r="P1483" s="6"/>
    </row>
    <row r="1484" spans="1:16" x14ac:dyDescent="0.3">
      <c r="A1484" s="6"/>
      <c r="B1484" s="7"/>
      <c r="C1484" s="6"/>
      <c r="D1484" s="6"/>
      <c r="E1484" s="6"/>
      <c r="F1484" s="25"/>
      <c r="G1484" s="25" t="str">
        <f>IF(A1484="","",SUMIFS(Paradas_Detalhadas!$I:$I,Paradas_Detalhadas!$A:$A,A1484,Paradas_Detalhadas!$B:$B,B1484,Paradas_Detalhadas!$C:$C,C1484,Paradas_Detalhadas!$D:$D,E1484))</f>
        <v/>
      </c>
      <c r="H1484" s="26" t="str">
        <f t="shared" si="115"/>
        <v/>
      </c>
      <c r="I1484" s="10"/>
      <c r="J1484" s="10"/>
      <c r="K1484" s="10" t="str">
        <f t="shared" si="116"/>
        <v/>
      </c>
      <c r="L1484" s="10" t="str">
        <f t="shared" si="117"/>
        <v/>
      </c>
      <c r="M1484" s="10" t="str">
        <f t="shared" si="118"/>
        <v/>
      </c>
      <c r="N1484" s="10" t="str">
        <f t="shared" si="119"/>
        <v/>
      </c>
      <c r="O1484" s="6"/>
      <c r="P1484" s="6"/>
    </row>
    <row r="1485" spans="1:16" x14ac:dyDescent="0.3">
      <c r="A1485" s="6"/>
      <c r="B1485" s="7"/>
      <c r="C1485" s="6"/>
      <c r="D1485" s="6"/>
      <c r="E1485" s="6"/>
      <c r="F1485" s="25"/>
      <c r="G1485" s="25" t="str">
        <f>IF(A1485="","",SUMIFS(Paradas_Detalhadas!$I:$I,Paradas_Detalhadas!$A:$A,A1485,Paradas_Detalhadas!$B:$B,B1485,Paradas_Detalhadas!$C:$C,C1485,Paradas_Detalhadas!$D:$D,E1485))</f>
        <v/>
      </c>
      <c r="H1485" s="26" t="str">
        <f t="shared" si="115"/>
        <v/>
      </c>
      <c r="I1485" s="10"/>
      <c r="J1485" s="10"/>
      <c r="K1485" s="10" t="str">
        <f t="shared" si="116"/>
        <v/>
      </c>
      <c r="L1485" s="10" t="str">
        <f t="shared" si="117"/>
        <v/>
      </c>
      <c r="M1485" s="10" t="str">
        <f t="shared" si="118"/>
        <v/>
      </c>
      <c r="N1485" s="10" t="str">
        <f t="shared" si="119"/>
        <v/>
      </c>
      <c r="O1485" s="6"/>
      <c r="P1485" s="6"/>
    </row>
    <row r="1486" spans="1:16" x14ac:dyDescent="0.3">
      <c r="A1486" s="6"/>
      <c r="B1486" s="7"/>
      <c r="C1486" s="6"/>
      <c r="D1486" s="6"/>
      <c r="E1486" s="6"/>
      <c r="F1486" s="25"/>
      <c r="G1486" s="25" t="str">
        <f>IF(A1486="","",SUMIFS(Paradas_Detalhadas!$I:$I,Paradas_Detalhadas!$A:$A,A1486,Paradas_Detalhadas!$B:$B,B1486,Paradas_Detalhadas!$C:$C,C1486,Paradas_Detalhadas!$D:$D,E1486))</f>
        <v/>
      </c>
      <c r="H1486" s="26" t="str">
        <f t="shared" si="115"/>
        <v/>
      </c>
      <c r="I1486" s="10"/>
      <c r="J1486" s="10"/>
      <c r="K1486" s="10" t="str">
        <f t="shared" si="116"/>
        <v/>
      </c>
      <c r="L1486" s="10" t="str">
        <f t="shared" si="117"/>
        <v/>
      </c>
      <c r="M1486" s="10" t="str">
        <f t="shared" si="118"/>
        <v/>
      </c>
      <c r="N1486" s="10" t="str">
        <f t="shared" si="119"/>
        <v/>
      </c>
      <c r="O1486" s="6"/>
      <c r="P1486" s="6"/>
    </row>
    <row r="1487" spans="1:16" x14ac:dyDescent="0.3">
      <c r="A1487" s="6"/>
      <c r="B1487" s="7"/>
      <c r="C1487" s="6"/>
      <c r="D1487" s="6"/>
      <c r="E1487" s="6"/>
      <c r="F1487" s="25"/>
      <c r="G1487" s="25" t="str">
        <f>IF(A1487="","",SUMIFS(Paradas_Detalhadas!$I:$I,Paradas_Detalhadas!$A:$A,A1487,Paradas_Detalhadas!$B:$B,B1487,Paradas_Detalhadas!$C:$C,C1487,Paradas_Detalhadas!$D:$D,E1487))</f>
        <v/>
      </c>
      <c r="H1487" s="26" t="str">
        <f t="shared" si="115"/>
        <v/>
      </c>
      <c r="I1487" s="10"/>
      <c r="J1487" s="10"/>
      <c r="K1487" s="10" t="str">
        <f t="shared" si="116"/>
        <v/>
      </c>
      <c r="L1487" s="10" t="str">
        <f t="shared" si="117"/>
        <v/>
      </c>
      <c r="M1487" s="10" t="str">
        <f t="shared" si="118"/>
        <v/>
      </c>
      <c r="N1487" s="10" t="str">
        <f t="shared" si="119"/>
        <v/>
      </c>
      <c r="O1487" s="6"/>
      <c r="P1487" s="6"/>
    </row>
    <row r="1488" spans="1:16" x14ac:dyDescent="0.3">
      <c r="A1488" s="6"/>
      <c r="B1488" s="7"/>
      <c r="C1488" s="6"/>
      <c r="D1488" s="6"/>
      <c r="E1488" s="6"/>
      <c r="F1488" s="25"/>
      <c r="G1488" s="25" t="str">
        <f>IF(A1488="","",SUMIFS(Paradas_Detalhadas!$I:$I,Paradas_Detalhadas!$A:$A,A1488,Paradas_Detalhadas!$B:$B,B1488,Paradas_Detalhadas!$C:$C,C1488,Paradas_Detalhadas!$D:$D,E1488))</f>
        <v/>
      </c>
      <c r="H1488" s="26" t="str">
        <f t="shared" si="115"/>
        <v/>
      </c>
      <c r="I1488" s="10"/>
      <c r="J1488" s="10"/>
      <c r="K1488" s="10" t="str">
        <f t="shared" si="116"/>
        <v/>
      </c>
      <c r="L1488" s="10" t="str">
        <f t="shared" si="117"/>
        <v/>
      </c>
      <c r="M1488" s="10" t="str">
        <f t="shared" si="118"/>
        <v/>
      </c>
      <c r="N1488" s="10" t="str">
        <f t="shared" si="119"/>
        <v/>
      </c>
      <c r="O1488" s="6"/>
      <c r="P1488" s="6"/>
    </row>
    <row r="1489" spans="1:16" x14ac:dyDescent="0.3">
      <c r="A1489" s="6"/>
      <c r="B1489" s="7"/>
      <c r="C1489" s="6"/>
      <c r="D1489" s="6"/>
      <c r="E1489" s="6"/>
      <c r="F1489" s="25"/>
      <c r="G1489" s="25" t="str">
        <f>IF(A1489="","",SUMIFS(Paradas_Detalhadas!$I:$I,Paradas_Detalhadas!$A:$A,A1489,Paradas_Detalhadas!$B:$B,B1489,Paradas_Detalhadas!$C:$C,C1489,Paradas_Detalhadas!$D:$D,E1489))</f>
        <v/>
      </c>
      <c r="H1489" s="26" t="str">
        <f t="shared" si="115"/>
        <v/>
      </c>
      <c r="I1489" s="10"/>
      <c r="J1489" s="10"/>
      <c r="K1489" s="10" t="str">
        <f t="shared" si="116"/>
        <v/>
      </c>
      <c r="L1489" s="10" t="str">
        <f t="shared" si="117"/>
        <v/>
      </c>
      <c r="M1489" s="10" t="str">
        <f t="shared" si="118"/>
        <v/>
      </c>
      <c r="N1489" s="10" t="str">
        <f t="shared" si="119"/>
        <v/>
      </c>
      <c r="O1489" s="6"/>
      <c r="P1489" s="6"/>
    </row>
    <row r="1490" spans="1:16" x14ac:dyDescent="0.3">
      <c r="A1490" s="6"/>
      <c r="B1490" s="7"/>
      <c r="C1490" s="6"/>
      <c r="D1490" s="6"/>
      <c r="E1490" s="6"/>
      <c r="F1490" s="25"/>
      <c r="G1490" s="25" t="str">
        <f>IF(A1490="","",SUMIFS(Paradas_Detalhadas!$I:$I,Paradas_Detalhadas!$A:$A,A1490,Paradas_Detalhadas!$B:$B,B1490,Paradas_Detalhadas!$C:$C,C1490,Paradas_Detalhadas!$D:$D,E1490))</f>
        <v/>
      </c>
      <c r="H1490" s="26" t="str">
        <f t="shared" si="115"/>
        <v/>
      </c>
      <c r="I1490" s="10"/>
      <c r="J1490" s="10"/>
      <c r="K1490" s="10" t="str">
        <f t="shared" si="116"/>
        <v/>
      </c>
      <c r="L1490" s="10" t="str">
        <f t="shared" si="117"/>
        <v/>
      </c>
      <c r="M1490" s="10" t="str">
        <f t="shared" si="118"/>
        <v/>
      </c>
      <c r="N1490" s="10" t="str">
        <f t="shared" si="119"/>
        <v/>
      </c>
      <c r="O1490" s="6"/>
      <c r="P1490" s="6"/>
    </row>
    <row r="1491" spans="1:16" x14ac:dyDescent="0.3">
      <c r="A1491" s="6"/>
      <c r="B1491" s="7"/>
      <c r="C1491" s="6"/>
      <c r="D1491" s="6"/>
      <c r="E1491" s="6"/>
      <c r="F1491" s="25"/>
      <c r="G1491" s="25" t="str">
        <f>IF(A1491="","",SUMIFS(Paradas_Detalhadas!$I:$I,Paradas_Detalhadas!$A:$A,A1491,Paradas_Detalhadas!$B:$B,B1491,Paradas_Detalhadas!$C:$C,C1491,Paradas_Detalhadas!$D:$D,E1491))</f>
        <v/>
      </c>
      <c r="H1491" s="26" t="str">
        <f t="shared" si="115"/>
        <v/>
      </c>
      <c r="I1491" s="10"/>
      <c r="J1491" s="10"/>
      <c r="K1491" s="10" t="str">
        <f t="shared" si="116"/>
        <v/>
      </c>
      <c r="L1491" s="10" t="str">
        <f t="shared" si="117"/>
        <v/>
      </c>
      <c r="M1491" s="10" t="str">
        <f t="shared" si="118"/>
        <v/>
      </c>
      <c r="N1491" s="10" t="str">
        <f t="shared" si="119"/>
        <v/>
      </c>
      <c r="O1491" s="6"/>
      <c r="P1491" s="6"/>
    </row>
    <row r="1492" spans="1:16" x14ac:dyDescent="0.3">
      <c r="A1492" s="6"/>
      <c r="B1492" s="7"/>
      <c r="C1492" s="6"/>
      <c r="D1492" s="6"/>
      <c r="E1492" s="6"/>
      <c r="F1492" s="25"/>
      <c r="G1492" s="25" t="str">
        <f>IF(A1492="","",SUMIFS(Paradas_Detalhadas!$I:$I,Paradas_Detalhadas!$A:$A,A1492,Paradas_Detalhadas!$B:$B,B1492,Paradas_Detalhadas!$C:$C,C1492,Paradas_Detalhadas!$D:$D,E1492))</f>
        <v/>
      </c>
      <c r="H1492" s="26" t="str">
        <f t="shared" si="115"/>
        <v/>
      </c>
      <c r="I1492" s="10"/>
      <c r="J1492" s="10"/>
      <c r="K1492" s="10" t="str">
        <f t="shared" si="116"/>
        <v/>
      </c>
      <c r="L1492" s="10" t="str">
        <f t="shared" si="117"/>
        <v/>
      </c>
      <c r="M1492" s="10" t="str">
        <f t="shared" si="118"/>
        <v/>
      </c>
      <c r="N1492" s="10" t="str">
        <f t="shared" si="119"/>
        <v/>
      </c>
      <c r="O1492" s="6"/>
      <c r="P1492" s="6"/>
    </row>
    <row r="1493" spans="1:16" x14ac:dyDescent="0.3">
      <c r="A1493" s="6"/>
      <c r="B1493" s="7"/>
      <c r="C1493" s="6"/>
      <c r="D1493" s="6"/>
      <c r="E1493" s="6"/>
      <c r="F1493" s="25"/>
      <c r="G1493" s="25" t="str">
        <f>IF(A1493="","",SUMIFS(Paradas_Detalhadas!$I:$I,Paradas_Detalhadas!$A:$A,A1493,Paradas_Detalhadas!$B:$B,B1493,Paradas_Detalhadas!$C:$C,C1493,Paradas_Detalhadas!$D:$D,E1493))</f>
        <v/>
      </c>
      <c r="H1493" s="26" t="str">
        <f t="shared" si="115"/>
        <v/>
      </c>
      <c r="I1493" s="10"/>
      <c r="J1493" s="10"/>
      <c r="K1493" s="10" t="str">
        <f t="shared" si="116"/>
        <v/>
      </c>
      <c r="L1493" s="10" t="str">
        <f t="shared" si="117"/>
        <v/>
      </c>
      <c r="M1493" s="10" t="str">
        <f t="shared" si="118"/>
        <v/>
      </c>
      <c r="N1493" s="10" t="str">
        <f t="shared" si="119"/>
        <v/>
      </c>
      <c r="O1493" s="6"/>
      <c r="P1493" s="6"/>
    </row>
    <row r="1494" spans="1:16" x14ac:dyDescent="0.3">
      <c r="A1494" s="6"/>
      <c r="B1494" s="7"/>
      <c r="C1494" s="6"/>
      <c r="D1494" s="6"/>
      <c r="E1494" s="6"/>
      <c r="F1494" s="25"/>
      <c r="G1494" s="25" t="str">
        <f>IF(A1494="","",SUMIFS(Paradas_Detalhadas!$I:$I,Paradas_Detalhadas!$A:$A,A1494,Paradas_Detalhadas!$B:$B,B1494,Paradas_Detalhadas!$C:$C,C1494,Paradas_Detalhadas!$D:$D,E1494))</f>
        <v/>
      </c>
      <c r="H1494" s="26" t="str">
        <f t="shared" si="115"/>
        <v/>
      </c>
      <c r="I1494" s="10"/>
      <c r="J1494" s="10"/>
      <c r="K1494" s="10" t="str">
        <f t="shared" si="116"/>
        <v/>
      </c>
      <c r="L1494" s="10" t="str">
        <f t="shared" si="117"/>
        <v/>
      </c>
      <c r="M1494" s="10" t="str">
        <f t="shared" si="118"/>
        <v/>
      </c>
      <c r="N1494" s="10" t="str">
        <f t="shared" si="119"/>
        <v/>
      </c>
      <c r="O1494" s="6"/>
      <c r="P1494" s="6"/>
    </row>
    <row r="1495" spans="1:16" x14ac:dyDescent="0.3">
      <c r="A1495" s="6"/>
      <c r="B1495" s="7"/>
      <c r="C1495" s="6"/>
      <c r="D1495" s="6"/>
      <c r="E1495" s="6"/>
      <c r="F1495" s="25"/>
      <c r="G1495" s="25" t="str">
        <f>IF(A1495="","",SUMIFS(Paradas_Detalhadas!$I:$I,Paradas_Detalhadas!$A:$A,A1495,Paradas_Detalhadas!$B:$B,B1495,Paradas_Detalhadas!$C:$C,C1495,Paradas_Detalhadas!$D:$D,E1495))</f>
        <v/>
      </c>
      <c r="H1495" s="26" t="str">
        <f t="shared" si="115"/>
        <v/>
      </c>
      <c r="I1495" s="10"/>
      <c r="J1495" s="10"/>
      <c r="K1495" s="10" t="str">
        <f t="shared" si="116"/>
        <v/>
      </c>
      <c r="L1495" s="10" t="str">
        <f t="shared" si="117"/>
        <v/>
      </c>
      <c r="M1495" s="10" t="str">
        <f t="shared" si="118"/>
        <v/>
      </c>
      <c r="N1495" s="10" t="str">
        <f t="shared" si="119"/>
        <v/>
      </c>
      <c r="O1495" s="6"/>
      <c r="P1495" s="6"/>
    </row>
    <row r="1496" spans="1:16" x14ac:dyDescent="0.3">
      <c r="A1496" s="6"/>
      <c r="B1496" s="7"/>
      <c r="C1496" s="6"/>
      <c r="D1496" s="6"/>
      <c r="E1496" s="6"/>
      <c r="F1496" s="25"/>
      <c r="G1496" s="25" t="str">
        <f>IF(A1496="","",SUMIFS(Paradas_Detalhadas!$I:$I,Paradas_Detalhadas!$A:$A,A1496,Paradas_Detalhadas!$B:$B,B1496,Paradas_Detalhadas!$C:$C,C1496,Paradas_Detalhadas!$D:$D,E1496))</f>
        <v/>
      </c>
      <c r="H1496" s="26" t="str">
        <f t="shared" si="115"/>
        <v/>
      </c>
      <c r="I1496" s="10"/>
      <c r="J1496" s="10"/>
      <c r="K1496" s="10" t="str">
        <f t="shared" si="116"/>
        <v/>
      </c>
      <c r="L1496" s="10" t="str">
        <f t="shared" si="117"/>
        <v/>
      </c>
      <c r="M1496" s="10" t="str">
        <f t="shared" si="118"/>
        <v/>
      </c>
      <c r="N1496" s="10" t="str">
        <f t="shared" si="119"/>
        <v/>
      </c>
      <c r="O1496" s="6"/>
      <c r="P1496" s="6"/>
    </row>
    <row r="1497" spans="1:16" x14ac:dyDescent="0.3">
      <c r="A1497" s="6"/>
      <c r="B1497" s="7"/>
      <c r="C1497" s="6"/>
      <c r="D1497" s="6"/>
      <c r="E1497" s="6"/>
      <c r="F1497" s="25"/>
      <c r="G1497" s="25" t="str">
        <f>IF(A1497="","",SUMIFS(Paradas_Detalhadas!$I:$I,Paradas_Detalhadas!$A:$A,A1497,Paradas_Detalhadas!$B:$B,B1497,Paradas_Detalhadas!$C:$C,C1497,Paradas_Detalhadas!$D:$D,E1497))</f>
        <v/>
      </c>
      <c r="H1497" s="26" t="str">
        <f t="shared" si="115"/>
        <v/>
      </c>
      <c r="I1497" s="10"/>
      <c r="J1497" s="10"/>
      <c r="K1497" s="10" t="str">
        <f t="shared" si="116"/>
        <v/>
      </c>
      <c r="L1497" s="10" t="str">
        <f t="shared" si="117"/>
        <v/>
      </c>
      <c r="M1497" s="10" t="str">
        <f t="shared" si="118"/>
        <v/>
      </c>
      <c r="N1497" s="10" t="str">
        <f t="shared" si="119"/>
        <v/>
      </c>
      <c r="O1497" s="6"/>
      <c r="P1497" s="6"/>
    </row>
    <row r="1498" spans="1:16" x14ac:dyDescent="0.3">
      <c r="A1498" s="6"/>
      <c r="B1498" s="7"/>
      <c r="C1498" s="6"/>
      <c r="D1498" s="6"/>
      <c r="E1498" s="6"/>
      <c r="F1498" s="25"/>
      <c r="G1498" s="25" t="str">
        <f>IF(A1498="","",SUMIFS(Paradas_Detalhadas!$I:$I,Paradas_Detalhadas!$A:$A,A1498,Paradas_Detalhadas!$B:$B,B1498,Paradas_Detalhadas!$C:$C,C1498,Paradas_Detalhadas!$D:$D,E1498))</f>
        <v/>
      </c>
      <c r="H1498" s="26" t="str">
        <f t="shared" si="115"/>
        <v/>
      </c>
      <c r="I1498" s="10"/>
      <c r="J1498" s="10"/>
      <c r="K1498" s="10" t="str">
        <f t="shared" si="116"/>
        <v/>
      </c>
      <c r="L1498" s="10" t="str">
        <f t="shared" si="117"/>
        <v/>
      </c>
      <c r="M1498" s="10" t="str">
        <f t="shared" si="118"/>
        <v/>
      </c>
      <c r="N1498" s="10" t="str">
        <f t="shared" si="119"/>
        <v/>
      </c>
      <c r="O1498" s="6"/>
      <c r="P1498" s="6"/>
    </row>
    <row r="1499" spans="1:16" x14ac:dyDescent="0.3">
      <c r="A1499" s="6"/>
      <c r="B1499" s="7"/>
      <c r="C1499" s="6"/>
      <c r="D1499" s="6"/>
      <c r="E1499" s="6"/>
      <c r="F1499" s="25"/>
      <c r="G1499" s="25" t="str">
        <f>IF(A1499="","",SUMIFS(Paradas_Detalhadas!$I:$I,Paradas_Detalhadas!$A:$A,A1499,Paradas_Detalhadas!$B:$B,B1499,Paradas_Detalhadas!$C:$C,C1499,Paradas_Detalhadas!$D:$D,E1499))</f>
        <v/>
      </c>
      <c r="H1499" s="26" t="str">
        <f t="shared" si="115"/>
        <v/>
      </c>
      <c r="I1499" s="10"/>
      <c r="J1499" s="10"/>
      <c r="K1499" s="10" t="str">
        <f t="shared" si="116"/>
        <v/>
      </c>
      <c r="L1499" s="10" t="str">
        <f t="shared" si="117"/>
        <v/>
      </c>
      <c r="M1499" s="10" t="str">
        <f t="shared" si="118"/>
        <v/>
      </c>
      <c r="N1499" s="10" t="str">
        <f t="shared" si="119"/>
        <v/>
      </c>
      <c r="O1499" s="6"/>
      <c r="P1499" s="6"/>
    </row>
    <row r="1500" spans="1:16" x14ac:dyDescent="0.3">
      <c r="A1500" s="6"/>
      <c r="B1500" s="7"/>
      <c r="C1500" s="6"/>
      <c r="D1500" s="6"/>
      <c r="E1500" s="6"/>
      <c r="F1500" s="25"/>
      <c r="G1500" s="25" t="str">
        <f>IF(A1500="","",SUMIFS(Paradas_Detalhadas!$I:$I,Paradas_Detalhadas!$A:$A,A1500,Paradas_Detalhadas!$B:$B,B1500,Paradas_Detalhadas!$C:$C,C1500,Paradas_Detalhadas!$D:$D,E1500))</f>
        <v/>
      </c>
      <c r="H1500" s="26" t="str">
        <f t="shared" si="115"/>
        <v/>
      </c>
      <c r="I1500" s="10"/>
      <c r="J1500" s="10"/>
      <c r="K1500" s="10" t="str">
        <f t="shared" si="116"/>
        <v/>
      </c>
      <c r="L1500" s="10" t="str">
        <f t="shared" si="117"/>
        <v/>
      </c>
      <c r="M1500" s="10" t="str">
        <f t="shared" si="118"/>
        <v/>
      </c>
      <c r="N1500" s="10" t="str">
        <f t="shared" si="119"/>
        <v/>
      </c>
      <c r="O1500" s="6"/>
      <c r="P1500" s="6"/>
    </row>
    <row r="1501" spans="1:16" x14ac:dyDescent="0.3">
      <c r="A1501" s="6"/>
      <c r="B1501" s="7"/>
      <c r="C1501" s="6"/>
      <c r="D1501" s="6"/>
      <c r="E1501" s="6"/>
      <c r="F1501" s="25"/>
      <c r="G1501" s="25" t="str">
        <f>IF(A1501="","",SUMIFS(Paradas_Detalhadas!$I:$I,Paradas_Detalhadas!$A:$A,A1501,Paradas_Detalhadas!$B:$B,B1501,Paradas_Detalhadas!$C:$C,C1501,Paradas_Detalhadas!$D:$D,E1501))</f>
        <v/>
      </c>
      <c r="H1501" s="26" t="str">
        <f t="shared" si="115"/>
        <v/>
      </c>
      <c r="I1501" s="10"/>
      <c r="J1501" s="10"/>
      <c r="K1501" s="10" t="str">
        <f t="shared" si="116"/>
        <v/>
      </c>
      <c r="L1501" s="10" t="str">
        <f t="shared" si="117"/>
        <v/>
      </c>
      <c r="M1501" s="10" t="str">
        <f t="shared" si="118"/>
        <v/>
      </c>
      <c r="N1501" s="10" t="str">
        <f t="shared" si="119"/>
        <v/>
      </c>
      <c r="O1501" s="6"/>
      <c r="P1501" s="6"/>
    </row>
  </sheetData>
  <phoneticPr fontId="9" type="noConversion"/>
  <dataValidations count="4">
    <dataValidation type="list" allowBlank="1" sqref="C2:C1501" xr:uid="{00000000-0002-0000-0300-000000000000}">
      <formula1>Turnos</formula1>
    </dataValidation>
    <dataValidation type="list" allowBlank="1" sqref="D2:D1501" xr:uid="{00000000-0002-0000-0300-000001000000}">
      <formula1>Janelas</formula1>
    </dataValidation>
    <dataValidation type="list" allowBlank="1" sqref="E2:E1501" xr:uid="{00000000-0002-0000-0300-000002000000}">
      <formula1>Poroes</formula1>
    </dataValidation>
    <dataValidation type="list" allowBlank="1" sqref="O2:O1501" xr:uid="{00000000-0002-0000-0300-000003000000}">
      <formula1>Categorias_Parada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00"/>
  <sheetViews>
    <sheetView workbookViewId="0">
      <pane ySplit="1" topLeftCell="A44" activePane="bottomLeft" state="frozen"/>
      <selection pane="bottomLeft" activeCell="E60" sqref="E60"/>
    </sheetView>
  </sheetViews>
  <sheetFormatPr defaultRowHeight="14.4" x14ac:dyDescent="0.3"/>
  <cols>
    <col min="1" max="1" width="16" customWidth="1"/>
    <col min="2" max="2" width="12" customWidth="1"/>
    <col min="3" max="3" width="10" customWidth="1"/>
    <col min="4" max="4" width="8" customWidth="1"/>
    <col min="5" max="5" width="20" customWidth="1"/>
    <col min="6" max="6" width="28" customWidth="1"/>
    <col min="7" max="8" width="10" customWidth="1"/>
    <col min="9" max="9" width="14" customWidth="1"/>
    <col min="10" max="10" width="18" customWidth="1"/>
    <col min="11" max="11" width="24" customWidth="1"/>
  </cols>
  <sheetData>
    <row r="1" spans="1:11" ht="24" customHeight="1" x14ac:dyDescent="0.3">
      <c r="A1" s="3" t="s">
        <v>0</v>
      </c>
      <c r="B1" s="5" t="s">
        <v>1</v>
      </c>
      <c r="C1" s="3" t="s">
        <v>2</v>
      </c>
      <c r="D1" s="3" t="s">
        <v>4</v>
      </c>
      <c r="E1" s="3" t="s">
        <v>86</v>
      </c>
      <c r="F1" s="3" t="s">
        <v>87</v>
      </c>
      <c r="G1" s="11" t="s">
        <v>88</v>
      </c>
      <c r="H1" s="11" t="s">
        <v>89</v>
      </c>
      <c r="I1" s="5" t="s">
        <v>6</v>
      </c>
      <c r="J1" s="5" t="s">
        <v>90</v>
      </c>
      <c r="K1" s="3" t="s">
        <v>91</v>
      </c>
    </row>
    <row r="2" spans="1:11" x14ac:dyDescent="0.3">
      <c r="A2" s="6" t="s">
        <v>16</v>
      </c>
      <c r="B2" s="7">
        <v>46198</v>
      </c>
      <c r="C2" s="6" t="s">
        <v>17</v>
      </c>
      <c r="D2" s="6">
        <v>3</v>
      </c>
      <c r="E2" s="6" t="s">
        <v>19</v>
      </c>
      <c r="F2" s="6" t="s">
        <v>92</v>
      </c>
      <c r="G2" s="12">
        <v>0.29166666666666669</v>
      </c>
      <c r="H2" s="12">
        <v>0.35416666666666669</v>
      </c>
      <c r="I2" s="9">
        <f t="shared" ref="I2:I40" si="0">IF(AND(G2&lt;&gt;"",H2&lt;&gt;""),MOD(H2-G2,1)*24,"")</f>
        <v>1.5</v>
      </c>
      <c r="J2" s="7" t="s">
        <v>93</v>
      </c>
      <c r="K2" s="6"/>
    </row>
    <row r="3" spans="1:11" x14ac:dyDescent="0.3">
      <c r="A3" s="6" t="s">
        <v>16</v>
      </c>
      <c r="B3" s="7">
        <v>46198</v>
      </c>
      <c r="C3" s="6" t="s">
        <v>17</v>
      </c>
      <c r="D3" s="6">
        <v>3</v>
      </c>
      <c r="E3" s="6" t="s">
        <v>55</v>
      </c>
      <c r="F3" s="6" t="s">
        <v>94</v>
      </c>
      <c r="G3" s="12">
        <v>0.40277777777777779</v>
      </c>
      <c r="H3" s="12">
        <v>0.4201388888888889</v>
      </c>
      <c r="I3" s="9">
        <f t="shared" si="0"/>
        <v>0.41666666666666652</v>
      </c>
      <c r="J3" s="7" t="s">
        <v>93</v>
      </c>
      <c r="K3" s="6"/>
    </row>
    <row r="4" spans="1:11" x14ac:dyDescent="0.3">
      <c r="A4" s="6" t="s">
        <v>16</v>
      </c>
      <c r="B4" s="7">
        <v>46198</v>
      </c>
      <c r="C4" s="6" t="s">
        <v>21</v>
      </c>
      <c r="D4" s="6">
        <v>3</v>
      </c>
      <c r="E4" s="6" t="s">
        <v>29</v>
      </c>
      <c r="F4" s="6" t="s">
        <v>95</v>
      </c>
      <c r="G4" s="12">
        <v>0.54166666666666663</v>
      </c>
      <c r="H4" s="12">
        <v>0.54861111111111116</v>
      </c>
      <c r="I4" s="9">
        <f t="shared" si="0"/>
        <v>0.16666666666666874</v>
      </c>
      <c r="J4" s="7" t="s">
        <v>93</v>
      </c>
      <c r="K4" s="6"/>
    </row>
    <row r="5" spans="1:11" x14ac:dyDescent="0.3">
      <c r="A5" s="6" t="s">
        <v>16</v>
      </c>
      <c r="B5" s="7">
        <v>46198</v>
      </c>
      <c r="C5" s="6" t="s">
        <v>21</v>
      </c>
      <c r="D5" s="6">
        <v>3</v>
      </c>
      <c r="E5" s="6" t="s">
        <v>19</v>
      </c>
      <c r="F5" s="6" t="s">
        <v>96</v>
      </c>
      <c r="G5" s="12">
        <v>0.64930555555555558</v>
      </c>
      <c r="H5" s="12">
        <v>0.65972222222222221</v>
      </c>
      <c r="I5" s="9">
        <f t="shared" si="0"/>
        <v>0.24999999999999911</v>
      </c>
      <c r="J5" s="7" t="s">
        <v>93</v>
      </c>
      <c r="K5" s="6"/>
    </row>
    <row r="6" spans="1:11" x14ac:dyDescent="0.3">
      <c r="A6" s="6" t="s">
        <v>16</v>
      </c>
      <c r="B6" s="7">
        <v>46198</v>
      </c>
      <c r="C6" s="6" t="s">
        <v>23</v>
      </c>
      <c r="D6" s="6">
        <v>3</v>
      </c>
      <c r="E6" s="6" t="s">
        <v>19</v>
      </c>
      <c r="F6" s="6" t="s">
        <v>97</v>
      </c>
      <c r="G6" s="12">
        <v>0.79166666666666663</v>
      </c>
      <c r="H6" s="12">
        <v>0.85069444444444442</v>
      </c>
      <c r="I6" s="9">
        <f t="shared" si="0"/>
        <v>1.416666666666667</v>
      </c>
      <c r="J6" s="7" t="s">
        <v>93</v>
      </c>
      <c r="K6" s="6"/>
    </row>
    <row r="7" spans="1:11" x14ac:dyDescent="0.3">
      <c r="A7" s="6" t="s">
        <v>16</v>
      </c>
      <c r="B7" s="7">
        <v>46198</v>
      </c>
      <c r="C7" s="6" t="s">
        <v>23</v>
      </c>
      <c r="D7" s="6">
        <v>5</v>
      </c>
      <c r="E7" s="6" t="s">
        <v>19</v>
      </c>
      <c r="F7" s="6" t="s">
        <v>98</v>
      </c>
      <c r="G7" s="12">
        <v>0.79166666666666663</v>
      </c>
      <c r="H7" s="12">
        <v>0.81597222222222221</v>
      </c>
      <c r="I7" s="9">
        <f t="shared" si="0"/>
        <v>0.58333333333333393</v>
      </c>
      <c r="J7" s="7" t="s">
        <v>93</v>
      </c>
      <c r="K7" s="6"/>
    </row>
    <row r="8" spans="1:11" x14ac:dyDescent="0.3">
      <c r="A8" s="6" t="s">
        <v>16</v>
      </c>
      <c r="B8" s="7">
        <v>46199</v>
      </c>
      <c r="C8" s="6" t="s">
        <v>25</v>
      </c>
      <c r="D8" s="6">
        <v>2</v>
      </c>
      <c r="E8" s="6" t="s">
        <v>19</v>
      </c>
      <c r="F8" s="6" t="s">
        <v>99</v>
      </c>
      <c r="G8" s="12">
        <v>8.3333333333333329E-2</v>
      </c>
      <c r="H8" s="12">
        <v>0.13541666666666671</v>
      </c>
      <c r="I8" s="9">
        <f t="shared" si="0"/>
        <v>1.2500000000000013</v>
      </c>
      <c r="J8" s="7" t="s">
        <v>93</v>
      </c>
      <c r="K8" s="6"/>
    </row>
    <row r="9" spans="1:11" x14ac:dyDescent="0.3">
      <c r="A9" s="6" t="s">
        <v>16</v>
      </c>
      <c r="B9" s="7">
        <v>46199</v>
      </c>
      <c r="C9" s="6" t="s">
        <v>25</v>
      </c>
      <c r="D9" s="6">
        <v>5</v>
      </c>
      <c r="E9" s="6" t="s">
        <v>55</v>
      </c>
      <c r="F9" s="6" t="s">
        <v>99</v>
      </c>
      <c r="G9" s="12">
        <v>0.125</v>
      </c>
      <c r="H9" s="12">
        <v>0.15277777777777779</v>
      </c>
      <c r="I9" s="9">
        <f t="shared" si="0"/>
        <v>0.66666666666666696</v>
      </c>
      <c r="J9" s="7" t="s">
        <v>93</v>
      </c>
      <c r="K9" s="6"/>
    </row>
    <row r="10" spans="1:11" x14ac:dyDescent="0.3">
      <c r="A10" s="6" t="s">
        <v>16</v>
      </c>
      <c r="B10" s="7">
        <v>46199</v>
      </c>
      <c r="C10" s="6" t="s">
        <v>17</v>
      </c>
      <c r="D10" s="6">
        <v>2</v>
      </c>
      <c r="E10" s="6" t="s">
        <v>19</v>
      </c>
      <c r="F10" s="6" t="s">
        <v>100</v>
      </c>
      <c r="G10" s="12">
        <v>0.29166666666666669</v>
      </c>
      <c r="H10" s="12">
        <v>0.35069444444444442</v>
      </c>
      <c r="I10" s="9">
        <f t="shared" si="0"/>
        <v>1.4166666666666656</v>
      </c>
      <c r="J10" s="7" t="s">
        <v>93</v>
      </c>
      <c r="K10" s="6"/>
    </row>
    <row r="11" spans="1:11" x14ac:dyDescent="0.3">
      <c r="A11" s="6" t="s">
        <v>16</v>
      </c>
      <c r="B11" s="7">
        <v>46199</v>
      </c>
      <c r="C11" s="6" t="s">
        <v>17</v>
      </c>
      <c r="D11" s="6">
        <v>5</v>
      </c>
      <c r="E11" s="6" t="s">
        <v>19</v>
      </c>
      <c r="F11" s="6" t="s">
        <v>100</v>
      </c>
      <c r="G11" s="12">
        <v>0.29166666666666669</v>
      </c>
      <c r="H11" s="12">
        <v>0.31597222222222221</v>
      </c>
      <c r="I11" s="9">
        <f t="shared" si="0"/>
        <v>0.58333333333333259</v>
      </c>
      <c r="J11" s="7" t="s">
        <v>93</v>
      </c>
      <c r="K11" s="6"/>
    </row>
    <row r="12" spans="1:11" x14ac:dyDescent="0.3">
      <c r="A12" s="6" t="s">
        <v>16</v>
      </c>
      <c r="B12" s="7">
        <v>46199</v>
      </c>
      <c r="C12" s="6" t="s">
        <v>21</v>
      </c>
      <c r="D12" s="6">
        <v>2</v>
      </c>
      <c r="E12" s="6" t="s">
        <v>19</v>
      </c>
      <c r="F12" s="6" t="s">
        <v>100</v>
      </c>
      <c r="G12" s="12">
        <v>0.54166666666666663</v>
      </c>
      <c r="H12" s="12">
        <v>0.5625</v>
      </c>
      <c r="I12" s="9">
        <f t="shared" si="0"/>
        <v>0.50000000000000089</v>
      </c>
      <c r="J12" s="7" t="s">
        <v>93</v>
      </c>
      <c r="K12" s="6"/>
    </row>
    <row r="13" spans="1:11" x14ac:dyDescent="0.3">
      <c r="A13" s="6" t="s">
        <v>16</v>
      </c>
      <c r="B13" s="7">
        <v>46199</v>
      </c>
      <c r="C13" s="6" t="s">
        <v>21</v>
      </c>
      <c r="D13" s="6">
        <v>5</v>
      </c>
      <c r="E13" s="6" t="s">
        <v>19</v>
      </c>
      <c r="F13" s="6" t="s">
        <v>100</v>
      </c>
      <c r="G13" s="12">
        <v>0.66666666666666663</v>
      </c>
      <c r="H13" s="12">
        <v>0.72222222222222221</v>
      </c>
      <c r="I13" s="9">
        <f t="shared" si="0"/>
        <v>1.3333333333333339</v>
      </c>
      <c r="J13" s="7" t="s">
        <v>93</v>
      </c>
      <c r="K13" s="6"/>
    </row>
    <row r="14" spans="1:11" x14ac:dyDescent="0.3">
      <c r="A14" s="6" t="s">
        <v>16</v>
      </c>
      <c r="B14" s="7">
        <v>46199</v>
      </c>
      <c r="C14" s="6" t="s">
        <v>23</v>
      </c>
      <c r="D14" s="6">
        <v>1</v>
      </c>
      <c r="E14" s="6" t="s">
        <v>19</v>
      </c>
      <c r="F14" s="6" t="s">
        <v>100</v>
      </c>
      <c r="G14" s="12">
        <v>0.79166666666666663</v>
      </c>
      <c r="H14" s="12">
        <v>0.8125</v>
      </c>
      <c r="I14" s="9">
        <f t="shared" si="0"/>
        <v>0.50000000000000089</v>
      </c>
      <c r="J14" s="7" t="s">
        <v>93</v>
      </c>
      <c r="K14" s="6"/>
    </row>
    <row r="15" spans="1:11" x14ac:dyDescent="0.3">
      <c r="A15" s="6" t="s">
        <v>16</v>
      </c>
      <c r="B15" s="7">
        <v>46199</v>
      </c>
      <c r="C15" s="6" t="s">
        <v>23</v>
      </c>
      <c r="D15" s="6">
        <v>2</v>
      </c>
      <c r="E15" s="6" t="s">
        <v>19</v>
      </c>
      <c r="F15" s="6" t="s">
        <v>100</v>
      </c>
      <c r="G15" s="12">
        <v>0.89583333333333337</v>
      </c>
      <c r="H15" s="12">
        <v>0.91666666666666663</v>
      </c>
      <c r="I15" s="9">
        <f t="shared" si="0"/>
        <v>0.49999999999999822</v>
      </c>
      <c r="J15" s="7" t="s">
        <v>93</v>
      </c>
      <c r="K15" s="6"/>
    </row>
    <row r="16" spans="1:11" x14ac:dyDescent="0.3">
      <c r="A16" s="6" t="s">
        <v>16</v>
      </c>
      <c r="B16" s="7">
        <v>46199</v>
      </c>
      <c r="C16" s="6" t="s">
        <v>23</v>
      </c>
      <c r="D16" s="6">
        <v>4</v>
      </c>
      <c r="E16" s="6" t="s">
        <v>55</v>
      </c>
      <c r="F16" s="6" t="s">
        <v>100</v>
      </c>
      <c r="G16" s="12">
        <v>0.83333333333333337</v>
      </c>
      <c r="H16" s="12">
        <v>0.84027777777777779</v>
      </c>
      <c r="I16" s="9">
        <f t="shared" si="0"/>
        <v>0.16666666666666607</v>
      </c>
      <c r="J16" s="7" t="s">
        <v>93</v>
      </c>
      <c r="K16" s="6"/>
    </row>
    <row r="17" spans="1:11" x14ac:dyDescent="0.3">
      <c r="A17" s="6" t="s">
        <v>16</v>
      </c>
      <c r="B17" s="7">
        <v>46200</v>
      </c>
      <c r="C17" s="6" t="s">
        <v>25</v>
      </c>
      <c r="D17" s="6">
        <v>1</v>
      </c>
      <c r="E17" s="6" t="s">
        <v>19</v>
      </c>
      <c r="F17" s="6" t="s">
        <v>100</v>
      </c>
      <c r="G17" s="12">
        <v>8.6805555555555552E-2</v>
      </c>
      <c r="H17" s="12">
        <v>0.125</v>
      </c>
      <c r="I17" s="9">
        <f t="shared" si="0"/>
        <v>0.91666666666666674</v>
      </c>
      <c r="J17" s="7" t="s">
        <v>93</v>
      </c>
      <c r="K17" s="6"/>
    </row>
    <row r="18" spans="1:11" x14ac:dyDescent="0.3">
      <c r="A18" s="6" t="s">
        <v>16</v>
      </c>
      <c r="B18" s="7">
        <v>46200</v>
      </c>
      <c r="C18" s="6" t="s">
        <v>25</v>
      </c>
      <c r="D18" s="6">
        <v>4</v>
      </c>
      <c r="E18" s="6" t="s">
        <v>19</v>
      </c>
      <c r="F18" s="6" t="s">
        <v>100</v>
      </c>
      <c r="G18" s="12">
        <v>0.12847222222222221</v>
      </c>
      <c r="H18" s="12">
        <v>0.15972222222222221</v>
      </c>
      <c r="I18" s="9">
        <f t="shared" si="0"/>
        <v>0.75</v>
      </c>
      <c r="J18" s="7" t="s">
        <v>93</v>
      </c>
      <c r="K18" s="6"/>
    </row>
    <row r="19" spans="1:11" x14ac:dyDescent="0.3">
      <c r="A19" s="6" t="s">
        <v>16</v>
      </c>
      <c r="B19" s="7">
        <v>46200</v>
      </c>
      <c r="C19" s="6" t="s">
        <v>17</v>
      </c>
      <c r="D19" s="6">
        <v>1</v>
      </c>
      <c r="E19" s="6" t="s">
        <v>19</v>
      </c>
      <c r="F19" s="6" t="s">
        <v>100</v>
      </c>
      <c r="G19" s="12">
        <v>0.29166666666666669</v>
      </c>
      <c r="H19" s="12">
        <v>0.32291666666666669</v>
      </c>
      <c r="I19" s="9">
        <f t="shared" si="0"/>
        <v>0.75</v>
      </c>
      <c r="J19" s="7" t="s">
        <v>93</v>
      </c>
      <c r="K19" s="6"/>
    </row>
    <row r="20" spans="1:11" x14ac:dyDescent="0.3">
      <c r="A20" s="6" t="s">
        <v>16</v>
      </c>
      <c r="B20" s="7">
        <v>46200</v>
      </c>
      <c r="C20" s="6" t="s">
        <v>17</v>
      </c>
      <c r="D20" s="6">
        <v>4</v>
      </c>
      <c r="E20" s="6" t="s">
        <v>19</v>
      </c>
      <c r="F20" s="6" t="s">
        <v>100</v>
      </c>
      <c r="G20" s="12">
        <v>0.41666666666666669</v>
      </c>
      <c r="H20" s="12">
        <v>0.44791666666666669</v>
      </c>
      <c r="I20" s="9">
        <f t="shared" si="0"/>
        <v>0.75</v>
      </c>
      <c r="J20" s="7" t="s">
        <v>93</v>
      </c>
      <c r="K20" s="6"/>
    </row>
    <row r="21" spans="1:11" x14ac:dyDescent="0.3">
      <c r="A21" s="6" t="s">
        <v>16</v>
      </c>
      <c r="B21" s="7">
        <v>46200</v>
      </c>
      <c r="C21" s="6" t="s">
        <v>17</v>
      </c>
      <c r="D21" s="6">
        <v>5</v>
      </c>
      <c r="E21" s="6" t="s">
        <v>19</v>
      </c>
      <c r="F21" s="6" t="s">
        <v>100</v>
      </c>
      <c r="G21" s="12">
        <v>0.48958333333333331</v>
      </c>
      <c r="H21" s="12">
        <v>0.52083333333333337</v>
      </c>
      <c r="I21" s="9">
        <f t="shared" si="0"/>
        <v>0.75000000000000133</v>
      </c>
      <c r="J21" s="7" t="s">
        <v>93</v>
      </c>
      <c r="K21" s="6"/>
    </row>
    <row r="22" spans="1:11" x14ac:dyDescent="0.3">
      <c r="A22" s="6" t="s">
        <v>16</v>
      </c>
      <c r="B22" s="7">
        <v>46200</v>
      </c>
      <c r="C22" s="6" t="s">
        <v>21</v>
      </c>
      <c r="D22" s="6">
        <v>1</v>
      </c>
      <c r="E22" s="6" t="s">
        <v>19</v>
      </c>
      <c r="F22" s="6" t="s">
        <v>100</v>
      </c>
      <c r="G22" s="12">
        <v>0.54166666666666663</v>
      </c>
      <c r="H22" s="12">
        <v>0.5625</v>
      </c>
      <c r="I22" s="9">
        <f t="shared" si="0"/>
        <v>0.50000000000000089</v>
      </c>
      <c r="J22" s="7" t="s">
        <v>93</v>
      </c>
      <c r="K22" s="6"/>
    </row>
    <row r="23" spans="1:11" x14ac:dyDescent="0.3">
      <c r="A23" s="6" t="s">
        <v>16</v>
      </c>
      <c r="B23" s="7">
        <v>46200</v>
      </c>
      <c r="C23" s="6" t="s">
        <v>21</v>
      </c>
      <c r="D23" s="6">
        <v>5</v>
      </c>
      <c r="E23" s="6" t="s">
        <v>19</v>
      </c>
      <c r="F23" s="6" t="s">
        <v>100</v>
      </c>
      <c r="G23" s="12">
        <v>0.54166666666666663</v>
      </c>
      <c r="H23" s="12">
        <v>0.5625</v>
      </c>
      <c r="I23" s="9">
        <f t="shared" si="0"/>
        <v>0.50000000000000089</v>
      </c>
      <c r="J23" s="7" t="s">
        <v>93</v>
      </c>
      <c r="K23" s="6"/>
    </row>
    <row r="24" spans="1:11" x14ac:dyDescent="0.3">
      <c r="A24" s="6" t="s">
        <v>16</v>
      </c>
      <c r="B24" s="7">
        <v>46200</v>
      </c>
      <c r="C24" s="6" t="s">
        <v>23</v>
      </c>
      <c r="D24" s="6">
        <v>2</v>
      </c>
      <c r="E24" s="6" t="s">
        <v>19</v>
      </c>
      <c r="F24" s="6" t="s">
        <v>100</v>
      </c>
      <c r="G24" s="12">
        <v>0.79166666666666663</v>
      </c>
      <c r="H24" s="12">
        <v>0.82291666666666663</v>
      </c>
      <c r="I24" s="9">
        <f t="shared" si="0"/>
        <v>0.75</v>
      </c>
      <c r="J24" s="7" t="s">
        <v>93</v>
      </c>
      <c r="K24" s="6"/>
    </row>
    <row r="25" spans="1:11" x14ac:dyDescent="0.3">
      <c r="A25" s="6" t="s">
        <v>16</v>
      </c>
      <c r="B25" s="7">
        <v>46200</v>
      </c>
      <c r="C25" s="6" t="s">
        <v>23</v>
      </c>
      <c r="D25" s="6">
        <v>1</v>
      </c>
      <c r="E25" s="6" t="s">
        <v>19</v>
      </c>
      <c r="F25" s="6" t="s">
        <v>100</v>
      </c>
      <c r="G25" s="12">
        <v>0.79166666666666663</v>
      </c>
      <c r="H25" s="12">
        <v>0.8125</v>
      </c>
      <c r="I25" s="9">
        <f t="shared" si="0"/>
        <v>0.50000000000000089</v>
      </c>
      <c r="J25" s="7" t="s">
        <v>93</v>
      </c>
      <c r="K25" s="6"/>
    </row>
    <row r="26" spans="1:11" x14ac:dyDescent="0.3">
      <c r="A26" s="6" t="s">
        <v>16</v>
      </c>
      <c r="B26" s="7">
        <v>46200</v>
      </c>
      <c r="C26" s="6" t="s">
        <v>23</v>
      </c>
      <c r="D26" s="6">
        <v>4</v>
      </c>
      <c r="E26" s="6" t="s">
        <v>19</v>
      </c>
      <c r="F26" s="6" t="s">
        <v>100</v>
      </c>
      <c r="G26" s="12">
        <v>0.79166666666666663</v>
      </c>
      <c r="H26" s="12">
        <v>0.81944444444444442</v>
      </c>
      <c r="I26" s="9">
        <f t="shared" si="0"/>
        <v>0.66666666666666696</v>
      </c>
      <c r="J26" s="7" t="s">
        <v>93</v>
      </c>
      <c r="K26" s="6"/>
    </row>
    <row r="27" spans="1:11" x14ac:dyDescent="0.3">
      <c r="A27" s="6" t="s">
        <v>16</v>
      </c>
      <c r="B27" s="7">
        <v>46200</v>
      </c>
      <c r="C27" s="6" t="s">
        <v>23</v>
      </c>
      <c r="D27" s="6">
        <v>5</v>
      </c>
      <c r="E27" s="6" t="s">
        <v>19</v>
      </c>
      <c r="F27" s="6" t="s">
        <v>100</v>
      </c>
      <c r="G27" s="12">
        <v>0.79166666666666663</v>
      </c>
      <c r="H27" s="12">
        <v>0.82638888888888884</v>
      </c>
      <c r="I27" s="9">
        <f t="shared" si="0"/>
        <v>0.83333333333333304</v>
      </c>
      <c r="J27" s="7" t="s">
        <v>93</v>
      </c>
      <c r="K27" s="6"/>
    </row>
    <row r="28" spans="1:11" x14ac:dyDescent="0.3">
      <c r="A28" s="6" t="s">
        <v>16</v>
      </c>
      <c r="B28" s="7">
        <v>46201</v>
      </c>
      <c r="C28" s="6" t="s">
        <v>25</v>
      </c>
      <c r="D28" s="6">
        <v>1</v>
      </c>
      <c r="E28" s="6" t="s">
        <v>19</v>
      </c>
      <c r="F28" s="6" t="s">
        <v>101</v>
      </c>
      <c r="G28" s="12">
        <v>4.1666666666666657E-2</v>
      </c>
      <c r="H28" s="12">
        <v>7.9861111111111105E-2</v>
      </c>
      <c r="I28" s="9">
        <f t="shared" si="0"/>
        <v>0.91666666666666674</v>
      </c>
      <c r="J28" s="7" t="s">
        <v>93</v>
      </c>
      <c r="K28" s="6"/>
    </row>
    <row r="29" spans="1:11" x14ac:dyDescent="0.3">
      <c r="A29" s="6" t="s">
        <v>16</v>
      </c>
      <c r="B29" s="7">
        <v>46201</v>
      </c>
      <c r="C29" s="6" t="s">
        <v>25</v>
      </c>
      <c r="D29" s="6">
        <v>2</v>
      </c>
      <c r="E29" s="6" t="s">
        <v>19</v>
      </c>
      <c r="F29" s="6" t="s">
        <v>102</v>
      </c>
      <c r="G29" s="12">
        <v>0.25</v>
      </c>
      <c r="H29" s="12">
        <v>0.28819444444444442</v>
      </c>
      <c r="I29" s="9">
        <f t="shared" si="0"/>
        <v>0.91666666666666607</v>
      </c>
      <c r="J29" s="7" t="s">
        <v>93</v>
      </c>
      <c r="K29" s="6"/>
    </row>
    <row r="30" spans="1:11" x14ac:dyDescent="0.3">
      <c r="A30" s="6" t="s">
        <v>16</v>
      </c>
      <c r="B30" s="7">
        <v>46201</v>
      </c>
      <c r="C30" s="6" t="s">
        <v>25</v>
      </c>
      <c r="D30" s="6">
        <v>4</v>
      </c>
      <c r="E30" s="6" t="s">
        <v>19</v>
      </c>
      <c r="F30" s="6" t="s">
        <v>102</v>
      </c>
      <c r="G30" s="12">
        <v>0.1111111111111111</v>
      </c>
      <c r="H30" s="12">
        <v>0.15277777777777779</v>
      </c>
      <c r="I30" s="9">
        <f t="shared" si="0"/>
        <v>1.0000000000000004</v>
      </c>
      <c r="J30" s="7" t="s">
        <v>93</v>
      </c>
      <c r="K30" s="6"/>
    </row>
    <row r="31" spans="1:11" x14ac:dyDescent="0.3">
      <c r="A31" s="6" t="s">
        <v>16</v>
      </c>
      <c r="B31" s="7">
        <v>46201</v>
      </c>
      <c r="C31" s="6" t="s">
        <v>25</v>
      </c>
      <c r="D31" s="6">
        <v>5</v>
      </c>
      <c r="E31" s="6" t="s">
        <v>19</v>
      </c>
      <c r="F31" s="6" t="s">
        <v>101</v>
      </c>
      <c r="G31" s="12">
        <v>8.3333333333333329E-2</v>
      </c>
      <c r="H31" s="12">
        <v>0.125</v>
      </c>
      <c r="I31" s="9">
        <f t="shared" si="0"/>
        <v>1</v>
      </c>
      <c r="J31" s="7" t="s">
        <v>93</v>
      </c>
      <c r="K31" s="6"/>
    </row>
    <row r="32" spans="1:11" x14ac:dyDescent="0.3">
      <c r="A32" s="6" t="s">
        <v>16</v>
      </c>
      <c r="B32" s="7">
        <v>46201</v>
      </c>
      <c r="C32" s="6" t="s">
        <v>17</v>
      </c>
      <c r="D32" s="6">
        <v>3</v>
      </c>
      <c r="E32" s="6" t="s">
        <v>19</v>
      </c>
      <c r="F32" s="6" t="s">
        <v>100</v>
      </c>
      <c r="G32" s="12">
        <v>0.29166666666666669</v>
      </c>
      <c r="H32" s="12">
        <v>0.33680555555555558</v>
      </c>
      <c r="I32" s="9">
        <f t="shared" si="0"/>
        <v>1.0833333333333335</v>
      </c>
      <c r="J32" s="7" t="s">
        <v>93</v>
      </c>
      <c r="K32" s="6"/>
    </row>
    <row r="33" spans="1:11" x14ac:dyDescent="0.3">
      <c r="A33" s="6" t="s">
        <v>16</v>
      </c>
      <c r="B33" s="7">
        <v>46201</v>
      </c>
      <c r="C33" s="6" t="s">
        <v>17</v>
      </c>
      <c r="D33" s="6">
        <v>4</v>
      </c>
      <c r="E33" s="6" t="s">
        <v>19</v>
      </c>
      <c r="F33" s="6" t="s">
        <v>100</v>
      </c>
      <c r="G33" s="12">
        <v>0.29166666666666669</v>
      </c>
      <c r="H33" s="12">
        <v>0.3263888888888889</v>
      </c>
      <c r="I33" s="9">
        <f t="shared" si="0"/>
        <v>0.83333333333333304</v>
      </c>
      <c r="J33" s="7" t="s">
        <v>93</v>
      </c>
      <c r="K33" s="6"/>
    </row>
    <row r="34" spans="1:11" x14ac:dyDescent="0.3">
      <c r="A34" s="6" t="s">
        <v>16</v>
      </c>
      <c r="B34" s="7">
        <v>46201</v>
      </c>
      <c r="C34" s="6" t="s">
        <v>17</v>
      </c>
      <c r="D34" s="6">
        <v>5</v>
      </c>
      <c r="E34" s="6" t="s">
        <v>19</v>
      </c>
      <c r="F34" s="6" t="s">
        <v>100</v>
      </c>
      <c r="G34" s="12">
        <v>0.29166666666666669</v>
      </c>
      <c r="H34" s="12">
        <v>0.30555555555555558</v>
      </c>
      <c r="I34" s="9">
        <f t="shared" si="0"/>
        <v>0.33333333333333348</v>
      </c>
      <c r="J34" s="7" t="s">
        <v>93</v>
      </c>
      <c r="K34" s="6"/>
    </row>
    <row r="35" spans="1:11" x14ac:dyDescent="0.3">
      <c r="A35" s="6" t="s">
        <v>16</v>
      </c>
      <c r="B35" s="7">
        <v>46201</v>
      </c>
      <c r="C35" s="6" t="s">
        <v>21</v>
      </c>
      <c r="D35" s="6">
        <v>3</v>
      </c>
      <c r="E35" s="6" t="s">
        <v>51</v>
      </c>
      <c r="F35" s="6" t="s">
        <v>100</v>
      </c>
      <c r="G35" s="12">
        <v>0.70833333333333337</v>
      </c>
      <c r="H35" s="12">
        <v>0.76388888888888884</v>
      </c>
      <c r="I35" s="9">
        <f t="shared" si="0"/>
        <v>1.3333333333333313</v>
      </c>
      <c r="J35" s="7" t="s">
        <v>93</v>
      </c>
      <c r="K35" s="6"/>
    </row>
    <row r="36" spans="1:11" x14ac:dyDescent="0.3">
      <c r="A36" s="6" t="s">
        <v>16</v>
      </c>
      <c r="B36" s="7">
        <v>46201</v>
      </c>
      <c r="C36" s="6" t="s">
        <v>21</v>
      </c>
      <c r="D36" s="6">
        <v>4</v>
      </c>
      <c r="E36" s="6" t="s">
        <v>51</v>
      </c>
      <c r="F36" s="6" t="s">
        <v>100</v>
      </c>
      <c r="G36" s="12">
        <v>0.70833333333333337</v>
      </c>
      <c r="H36" s="12">
        <v>0.77083333333333337</v>
      </c>
      <c r="I36" s="9">
        <f t="shared" si="0"/>
        <v>1.5</v>
      </c>
      <c r="J36" s="7" t="s">
        <v>93</v>
      </c>
      <c r="K36" s="6"/>
    </row>
    <row r="37" spans="1:11" x14ac:dyDescent="0.3">
      <c r="A37" s="6" t="s">
        <v>16</v>
      </c>
      <c r="B37" s="7">
        <v>46201</v>
      </c>
      <c r="C37" s="6" t="s">
        <v>23</v>
      </c>
      <c r="D37" s="6">
        <v>3</v>
      </c>
      <c r="E37" s="6" t="s">
        <v>19</v>
      </c>
      <c r="F37" s="6" t="s">
        <v>100</v>
      </c>
      <c r="G37" s="12">
        <v>0.79166666666666663</v>
      </c>
      <c r="H37" s="12">
        <v>0.82638888888888884</v>
      </c>
      <c r="I37" s="9">
        <f t="shared" si="0"/>
        <v>0.83333333333333304</v>
      </c>
      <c r="J37" s="7" t="s">
        <v>93</v>
      </c>
      <c r="K37" s="6"/>
    </row>
    <row r="38" spans="1:11" x14ac:dyDescent="0.3">
      <c r="A38" s="6" t="s">
        <v>16</v>
      </c>
      <c r="B38" s="7">
        <v>46201</v>
      </c>
      <c r="C38" s="6" t="s">
        <v>23</v>
      </c>
      <c r="D38" s="6">
        <v>4</v>
      </c>
      <c r="E38" s="6" t="s">
        <v>19</v>
      </c>
      <c r="F38" s="6" t="s">
        <v>100</v>
      </c>
      <c r="G38" s="12">
        <v>0.79166666666666663</v>
      </c>
      <c r="H38" s="12">
        <v>0.8125</v>
      </c>
      <c r="I38" s="9">
        <f t="shared" si="0"/>
        <v>0.50000000000000089</v>
      </c>
      <c r="J38" s="7" t="s">
        <v>93</v>
      </c>
      <c r="K38" s="6"/>
    </row>
    <row r="39" spans="1:11" x14ac:dyDescent="0.3">
      <c r="A39" s="6" t="s">
        <v>16</v>
      </c>
      <c r="B39" s="7">
        <v>46202</v>
      </c>
      <c r="C39" s="6" t="s">
        <v>25</v>
      </c>
      <c r="D39" s="6">
        <v>3</v>
      </c>
      <c r="E39" s="6" t="s">
        <v>19</v>
      </c>
      <c r="F39" s="6" t="s">
        <v>100</v>
      </c>
      <c r="G39" s="12">
        <v>4.1666666666666657E-2</v>
      </c>
      <c r="H39" s="12">
        <v>5.5555555555555552E-2</v>
      </c>
      <c r="I39" s="9">
        <f t="shared" si="0"/>
        <v>0.33333333333333348</v>
      </c>
      <c r="J39" s="7" t="s">
        <v>93</v>
      </c>
      <c r="K39" s="6"/>
    </row>
    <row r="40" spans="1:11" x14ac:dyDescent="0.3">
      <c r="A40" s="6" t="s">
        <v>16</v>
      </c>
      <c r="B40" s="7">
        <v>46201</v>
      </c>
      <c r="C40" s="6" t="s">
        <v>25</v>
      </c>
      <c r="D40" s="6">
        <v>4</v>
      </c>
      <c r="E40" s="6" t="s">
        <v>19</v>
      </c>
      <c r="F40" s="6" t="s">
        <v>100</v>
      </c>
      <c r="G40" s="12">
        <v>4.1666666666666657E-2</v>
      </c>
      <c r="H40" s="12">
        <v>5.5555555555555552E-2</v>
      </c>
      <c r="I40" s="9">
        <f t="shared" si="0"/>
        <v>0.33333333333333348</v>
      </c>
      <c r="J40" s="7" t="s">
        <v>93</v>
      </c>
      <c r="K40" s="6"/>
    </row>
    <row r="41" spans="1:11" x14ac:dyDescent="0.3">
      <c r="A41" s="6" t="s">
        <v>27</v>
      </c>
      <c r="B41" s="7">
        <v>46211</v>
      </c>
      <c r="C41" s="6" t="s">
        <v>23</v>
      </c>
      <c r="D41" s="6">
        <v>2</v>
      </c>
      <c r="E41" s="6" t="s">
        <v>28</v>
      </c>
      <c r="F41" s="6" t="s">
        <v>103</v>
      </c>
      <c r="G41" s="12">
        <v>0.79166666666666663</v>
      </c>
      <c r="H41" s="12">
        <v>0.81458333333333333</v>
      </c>
      <c r="I41" s="9">
        <v>0.55000000000000071</v>
      </c>
      <c r="J41" s="7" t="s">
        <v>93</v>
      </c>
      <c r="K41" s="6"/>
    </row>
    <row r="42" spans="1:11" x14ac:dyDescent="0.3">
      <c r="A42" s="6" t="s">
        <v>27</v>
      </c>
      <c r="B42" s="7">
        <v>46211</v>
      </c>
      <c r="C42" s="6" t="s">
        <v>23</v>
      </c>
      <c r="D42" s="6">
        <v>2</v>
      </c>
      <c r="E42" s="6" t="s">
        <v>29</v>
      </c>
      <c r="F42" s="6" t="s">
        <v>95</v>
      </c>
      <c r="G42" s="12">
        <v>0.79166666666666663</v>
      </c>
      <c r="H42" s="12">
        <v>0.79861111111111116</v>
      </c>
      <c r="I42" s="9">
        <v>0.16666666666666871</v>
      </c>
      <c r="J42" s="7" t="s">
        <v>93</v>
      </c>
      <c r="K42" s="6"/>
    </row>
    <row r="43" spans="1:11" x14ac:dyDescent="0.3">
      <c r="A43" s="6" t="s">
        <v>27</v>
      </c>
      <c r="B43" s="7">
        <v>46212</v>
      </c>
      <c r="C43" s="6" t="s">
        <v>25</v>
      </c>
      <c r="D43" s="6">
        <v>2</v>
      </c>
      <c r="E43" s="6" t="s">
        <v>29</v>
      </c>
      <c r="F43" s="6" t="s">
        <v>95</v>
      </c>
      <c r="G43" s="12">
        <v>4.1666666666666657E-2</v>
      </c>
      <c r="H43" s="12">
        <v>4.8611111111111112E-2</v>
      </c>
      <c r="I43" s="9">
        <v>0.16666666666666671</v>
      </c>
      <c r="J43" s="7" t="s">
        <v>93</v>
      </c>
      <c r="K43" s="6"/>
    </row>
    <row r="44" spans="1:11" x14ac:dyDescent="0.3">
      <c r="A44" s="6" t="s">
        <v>27</v>
      </c>
      <c r="B44" s="7">
        <v>46212</v>
      </c>
      <c r="C44" s="6" t="s">
        <v>25</v>
      </c>
      <c r="D44" s="6">
        <v>2</v>
      </c>
      <c r="E44" s="6" t="s">
        <v>19</v>
      </c>
      <c r="F44" s="6" t="s">
        <v>101</v>
      </c>
      <c r="G44" s="12">
        <v>0.14930555555555561</v>
      </c>
      <c r="H44" s="12">
        <v>0.2326388888888889</v>
      </c>
      <c r="I44" s="9">
        <v>2</v>
      </c>
      <c r="J44" s="7" t="s">
        <v>93</v>
      </c>
      <c r="K44" s="6"/>
    </row>
    <row r="45" spans="1:11" x14ac:dyDescent="0.3">
      <c r="A45" s="6" t="s">
        <v>27</v>
      </c>
      <c r="B45" s="7">
        <v>46212</v>
      </c>
      <c r="C45" s="6" t="s">
        <v>17</v>
      </c>
      <c r="D45" s="6">
        <v>4</v>
      </c>
      <c r="E45" s="6" t="s">
        <v>30</v>
      </c>
      <c r="F45" s="6" t="s">
        <v>104</v>
      </c>
      <c r="G45" s="12">
        <v>0.5</v>
      </c>
      <c r="H45" s="12">
        <v>0.53125</v>
      </c>
      <c r="I45" s="9">
        <v>0.75</v>
      </c>
      <c r="J45" s="7" t="s">
        <v>93</v>
      </c>
      <c r="K45" s="6"/>
    </row>
    <row r="46" spans="1:11" x14ac:dyDescent="0.3">
      <c r="A46" s="6" t="s">
        <v>27</v>
      </c>
      <c r="B46" s="7">
        <v>46212</v>
      </c>
      <c r="C46" s="6" t="s">
        <v>17</v>
      </c>
      <c r="D46" s="6">
        <v>4</v>
      </c>
      <c r="E46" s="6" t="s">
        <v>29</v>
      </c>
      <c r="F46" s="6" t="s">
        <v>95</v>
      </c>
      <c r="G46" s="12">
        <v>0.29166666666666669</v>
      </c>
      <c r="H46" s="12">
        <v>0.2986111111111111</v>
      </c>
      <c r="I46" s="9">
        <v>0.1666666666666661</v>
      </c>
      <c r="J46" s="7" t="s">
        <v>93</v>
      </c>
      <c r="K46" s="6"/>
    </row>
    <row r="47" spans="1:11" x14ac:dyDescent="0.3">
      <c r="A47" s="6" t="s">
        <v>27</v>
      </c>
      <c r="B47" s="7">
        <v>46212</v>
      </c>
      <c r="C47" s="6" t="s">
        <v>21</v>
      </c>
      <c r="D47" s="6">
        <v>4</v>
      </c>
      <c r="E47" s="6" t="s">
        <v>29</v>
      </c>
      <c r="F47" s="6" t="s">
        <v>95</v>
      </c>
      <c r="G47" s="12">
        <v>0.54166666666666663</v>
      </c>
      <c r="H47" s="12">
        <v>0.54861111111111116</v>
      </c>
      <c r="I47" s="9">
        <v>0.16666666666666871</v>
      </c>
      <c r="J47" s="7" t="s">
        <v>93</v>
      </c>
      <c r="K47" s="6"/>
    </row>
    <row r="48" spans="1:11" x14ac:dyDescent="0.3">
      <c r="A48" s="6" t="s">
        <v>27</v>
      </c>
      <c r="B48" s="7">
        <v>46212</v>
      </c>
      <c r="C48" s="6" t="s">
        <v>21</v>
      </c>
      <c r="D48" s="6">
        <v>4</v>
      </c>
      <c r="E48" s="6" t="s">
        <v>30</v>
      </c>
      <c r="F48" s="6" t="s">
        <v>104</v>
      </c>
      <c r="G48" s="12">
        <v>0.625</v>
      </c>
      <c r="H48" s="12">
        <v>0.67708333333333337</v>
      </c>
      <c r="I48" s="9">
        <v>1.2500000000000011</v>
      </c>
      <c r="J48" s="7" t="s">
        <v>93</v>
      </c>
      <c r="K48" s="6"/>
    </row>
    <row r="49" spans="1:11" x14ac:dyDescent="0.3">
      <c r="A49" s="6" t="s">
        <v>27</v>
      </c>
      <c r="B49" s="7">
        <v>46212</v>
      </c>
      <c r="C49" s="6" t="s">
        <v>23</v>
      </c>
      <c r="D49" s="6">
        <v>4</v>
      </c>
      <c r="E49" s="6" t="s">
        <v>29</v>
      </c>
      <c r="F49" s="6" t="s">
        <v>95</v>
      </c>
      <c r="G49" s="12">
        <v>0.79166666666666663</v>
      </c>
      <c r="H49" s="12">
        <v>0.79861111111111116</v>
      </c>
      <c r="I49" s="9">
        <v>0.16666666666666871</v>
      </c>
      <c r="J49" s="7" t="s">
        <v>93</v>
      </c>
      <c r="K49" s="6"/>
    </row>
    <row r="50" spans="1:11" x14ac:dyDescent="0.3">
      <c r="A50" s="6" t="s">
        <v>27</v>
      </c>
      <c r="B50" s="7">
        <v>46212</v>
      </c>
      <c r="C50" s="6" t="s">
        <v>23</v>
      </c>
      <c r="D50" s="6">
        <v>4</v>
      </c>
      <c r="E50" s="6" t="s">
        <v>30</v>
      </c>
      <c r="F50" s="6" t="s">
        <v>104</v>
      </c>
      <c r="G50" s="12">
        <v>0</v>
      </c>
      <c r="H50" s="12">
        <v>3.4722222222222217E-2</v>
      </c>
      <c r="I50" s="9">
        <v>0.83333333333333337</v>
      </c>
      <c r="J50" s="7" t="s">
        <v>93</v>
      </c>
      <c r="K50" s="6"/>
    </row>
    <row r="51" spans="1:11" x14ac:dyDescent="0.3">
      <c r="A51" s="6" t="s">
        <v>27</v>
      </c>
      <c r="B51" s="7">
        <v>46213</v>
      </c>
      <c r="C51" s="6" t="s">
        <v>25</v>
      </c>
      <c r="D51" s="6">
        <v>4</v>
      </c>
      <c r="E51" s="6" t="s">
        <v>29</v>
      </c>
      <c r="F51" s="6" t="s">
        <v>95</v>
      </c>
      <c r="G51" s="12">
        <v>4.1666666666666657E-2</v>
      </c>
      <c r="H51" s="12">
        <v>4.8611111111111112E-2</v>
      </c>
      <c r="I51" s="9">
        <v>0.16666666666666671</v>
      </c>
      <c r="J51" s="7" t="s">
        <v>93</v>
      </c>
      <c r="K51" s="6"/>
    </row>
    <row r="52" spans="1:11" x14ac:dyDescent="0.3">
      <c r="A52" s="6" t="s">
        <v>27</v>
      </c>
      <c r="B52" s="7">
        <v>46213</v>
      </c>
      <c r="C52" s="6" t="s">
        <v>25</v>
      </c>
      <c r="D52" s="6">
        <v>4</v>
      </c>
      <c r="E52" s="6" t="s">
        <v>30</v>
      </c>
      <c r="F52" s="6" t="s">
        <v>104</v>
      </c>
      <c r="G52" s="12">
        <v>0.19791666666666671</v>
      </c>
      <c r="H52" s="12">
        <v>0.29166666666666669</v>
      </c>
      <c r="I52" s="9">
        <v>2.2500000000000009</v>
      </c>
      <c r="J52" s="7" t="s">
        <v>93</v>
      </c>
      <c r="K52" s="6"/>
    </row>
    <row r="53" spans="1:11" x14ac:dyDescent="0.3">
      <c r="A53" s="6" t="s">
        <v>27</v>
      </c>
      <c r="B53" s="7">
        <v>46213</v>
      </c>
      <c r="C53" s="6" t="s">
        <v>17</v>
      </c>
      <c r="D53" s="6">
        <v>4</v>
      </c>
      <c r="E53" s="6" t="s">
        <v>30</v>
      </c>
      <c r="F53" s="6" t="s">
        <v>104</v>
      </c>
      <c r="G53" s="12">
        <v>0.375</v>
      </c>
      <c r="H53" s="12">
        <v>0.45833333333333331</v>
      </c>
      <c r="I53" s="9">
        <f t="shared" ref="I53:I116" si="1">IF(AND(G53&lt;&gt;"",H53&lt;&gt;""),MOD(H53-G53,1)*24,"")</f>
        <v>1.9999999999999996</v>
      </c>
      <c r="J53" s="7" t="s">
        <v>93</v>
      </c>
      <c r="K53" s="6"/>
    </row>
    <row r="54" spans="1:11" x14ac:dyDescent="0.3">
      <c r="A54" s="6" t="s">
        <v>221</v>
      </c>
      <c r="B54" s="7">
        <v>46237</v>
      </c>
      <c r="C54" s="6" t="s">
        <v>23</v>
      </c>
      <c r="D54" s="6">
        <v>2</v>
      </c>
      <c r="E54" s="6" t="s">
        <v>29</v>
      </c>
      <c r="F54" s="6" t="s">
        <v>95</v>
      </c>
      <c r="G54" s="12">
        <v>0.79166666666666663</v>
      </c>
      <c r="H54" s="12">
        <v>0.79861111111111116</v>
      </c>
      <c r="I54" s="9">
        <f t="shared" si="1"/>
        <v>0.16666666666666874</v>
      </c>
      <c r="J54" s="7" t="s">
        <v>93</v>
      </c>
      <c r="K54" s="6"/>
    </row>
    <row r="55" spans="1:11" x14ac:dyDescent="0.3">
      <c r="A55" s="6" t="s">
        <v>221</v>
      </c>
      <c r="B55" s="7">
        <v>46238</v>
      </c>
      <c r="C55" s="6" t="s">
        <v>25</v>
      </c>
      <c r="D55" s="6">
        <v>2</v>
      </c>
      <c r="E55" s="6" t="s">
        <v>29</v>
      </c>
      <c r="F55" s="6" t="s">
        <v>95</v>
      </c>
      <c r="G55" s="12">
        <v>4.1666666666666664E-2</v>
      </c>
      <c r="H55" s="12">
        <v>4.8611111111111112E-2</v>
      </c>
      <c r="I55" s="9">
        <f t="shared" si="1"/>
        <v>0.16666666666666674</v>
      </c>
      <c r="J55" s="7" t="s">
        <v>93</v>
      </c>
      <c r="K55" s="6"/>
    </row>
    <row r="56" spans="1:11" x14ac:dyDescent="0.3">
      <c r="A56" s="6" t="s">
        <v>221</v>
      </c>
      <c r="B56" s="7">
        <v>46238</v>
      </c>
      <c r="C56" s="6" t="s">
        <v>17</v>
      </c>
      <c r="D56" s="6">
        <v>2</v>
      </c>
      <c r="E56" s="6" t="s">
        <v>29</v>
      </c>
      <c r="F56" s="6" t="s">
        <v>95</v>
      </c>
      <c r="G56" s="12">
        <v>0.29166666666666669</v>
      </c>
      <c r="H56" s="12">
        <v>0.2986111111111111</v>
      </c>
      <c r="I56" s="9">
        <f t="shared" si="1"/>
        <v>0.16666666666666607</v>
      </c>
      <c r="J56" s="7" t="s">
        <v>93</v>
      </c>
      <c r="K56" s="6"/>
    </row>
    <row r="57" spans="1:11" x14ac:dyDescent="0.3">
      <c r="A57" s="6" t="s">
        <v>221</v>
      </c>
      <c r="B57" s="7">
        <v>46238</v>
      </c>
      <c r="C57" s="6" t="s">
        <v>17</v>
      </c>
      <c r="D57" s="6">
        <v>2</v>
      </c>
      <c r="E57" s="6" t="s">
        <v>51</v>
      </c>
      <c r="F57" s="6" t="s">
        <v>224</v>
      </c>
      <c r="G57" s="12">
        <v>0.40625</v>
      </c>
      <c r="H57" s="12">
        <v>0.41319444444444442</v>
      </c>
      <c r="I57" s="9">
        <f t="shared" si="1"/>
        <v>0.16666666666666607</v>
      </c>
      <c r="J57" s="7" t="s">
        <v>66</v>
      </c>
      <c r="K57" s="6"/>
    </row>
    <row r="58" spans="1:11" x14ac:dyDescent="0.3">
      <c r="A58" s="6" t="s">
        <v>221</v>
      </c>
      <c r="B58" s="7">
        <v>46238</v>
      </c>
      <c r="C58" s="6" t="s">
        <v>17</v>
      </c>
      <c r="D58" s="6">
        <v>2</v>
      </c>
      <c r="E58" s="6" t="s">
        <v>19</v>
      </c>
      <c r="F58" s="6" t="s">
        <v>225</v>
      </c>
      <c r="G58" s="12">
        <v>0.51388888888888884</v>
      </c>
      <c r="H58" s="12">
        <v>0.53472222222222221</v>
      </c>
      <c r="I58" s="9">
        <f t="shared" si="1"/>
        <v>0.50000000000000089</v>
      </c>
      <c r="J58" s="7" t="s">
        <v>93</v>
      </c>
      <c r="K58" s="6"/>
    </row>
    <row r="59" spans="1:11" x14ac:dyDescent="0.3">
      <c r="A59" s="6"/>
      <c r="B59" s="7"/>
      <c r="C59" s="6"/>
      <c r="D59" s="6"/>
      <c r="E59" s="6"/>
      <c r="F59" s="6"/>
      <c r="G59" s="12"/>
      <c r="H59" s="12"/>
      <c r="I59" s="9" t="str">
        <f t="shared" si="1"/>
        <v/>
      </c>
      <c r="J59" s="7"/>
      <c r="K59" s="6"/>
    </row>
    <row r="60" spans="1:11" x14ac:dyDescent="0.3">
      <c r="A60" s="6"/>
      <c r="B60" s="7"/>
      <c r="C60" s="6"/>
      <c r="D60" s="6"/>
      <c r="E60" s="6"/>
      <c r="F60" s="6"/>
      <c r="G60" s="12"/>
      <c r="H60" s="12"/>
      <c r="I60" s="9" t="str">
        <f t="shared" si="1"/>
        <v/>
      </c>
      <c r="J60" s="7"/>
      <c r="K60" s="6"/>
    </row>
    <row r="61" spans="1:11" x14ac:dyDescent="0.3">
      <c r="A61" s="6"/>
      <c r="B61" s="7"/>
      <c r="C61" s="6"/>
      <c r="D61" s="6"/>
      <c r="E61" s="6"/>
      <c r="F61" s="6"/>
      <c r="G61" s="12"/>
      <c r="H61" s="12"/>
      <c r="I61" s="9" t="str">
        <f t="shared" si="1"/>
        <v/>
      </c>
      <c r="J61" s="7"/>
      <c r="K61" s="6"/>
    </row>
    <row r="62" spans="1:11" x14ac:dyDescent="0.3">
      <c r="A62" s="6"/>
      <c r="B62" s="7"/>
      <c r="C62" s="6"/>
      <c r="D62" s="6"/>
      <c r="E62" s="6"/>
      <c r="F62" s="6"/>
      <c r="G62" s="12"/>
      <c r="H62" s="12"/>
      <c r="I62" s="9" t="str">
        <f t="shared" si="1"/>
        <v/>
      </c>
      <c r="J62" s="7"/>
      <c r="K62" s="6"/>
    </row>
    <row r="63" spans="1:11" x14ac:dyDescent="0.3">
      <c r="A63" s="6"/>
      <c r="B63" s="7"/>
      <c r="C63" s="6"/>
      <c r="D63" s="6"/>
      <c r="E63" s="6"/>
      <c r="F63" s="6"/>
      <c r="G63" s="12"/>
      <c r="H63" s="12"/>
      <c r="I63" s="9" t="str">
        <f t="shared" si="1"/>
        <v/>
      </c>
      <c r="J63" s="7"/>
      <c r="K63" s="6"/>
    </row>
    <row r="64" spans="1:11" x14ac:dyDescent="0.3">
      <c r="A64" s="6"/>
      <c r="B64" s="7"/>
      <c r="C64" s="6"/>
      <c r="D64" s="6"/>
      <c r="E64" s="6"/>
      <c r="F64" s="6"/>
      <c r="G64" s="12"/>
      <c r="H64" s="12"/>
      <c r="I64" s="9" t="str">
        <f t="shared" si="1"/>
        <v/>
      </c>
      <c r="J64" s="7"/>
      <c r="K64" s="6"/>
    </row>
    <row r="65" spans="1:11" x14ac:dyDescent="0.3">
      <c r="A65" s="6"/>
      <c r="B65" s="7"/>
      <c r="C65" s="6"/>
      <c r="D65" s="6"/>
      <c r="E65" s="6"/>
      <c r="F65" s="6"/>
      <c r="G65" s="12"/>
      <c r="H65" s="12"/>
      <c r="I65" s="9" t="str">
        <f t="shared" si="1"/>
        <v/>
      </c>
      <c r="J65" s="7"/>
      <c r="K65" s="6"/>
    </row>
    <row r="66" spans="1:11" x14ac:dyDescent="0.3">
      <c r="A66" s="6"/>
      <c r="B66" s="7"/>
      <c r="C66" s="6"/>
      <c r="D66" s="6"/>
      <c r="E66" s="6"/>
      <c r="F66" s="6"/>
      <c r="G66" s="12"/>
      <c r="H66" s="12"/>
      <c r="I66" s="9" t="str">
        <f t="shared" si="1"/>
        <v/>
      </c>
      <c r="J66" s="7"/>
      <c r="K66" s="6"/>
    </row>
    <row r="67" spans="1:11" x14ac:dyDescent="0.3">
      <c r="A67" s="6"/>
      <c r="B67" s="7"/>
      <c r="C67" s="6"/>
      <c r="D67" s="6"/>
      <c r="E67" s="6"/>
      <c r="F67" s="6"/>
      <c r="G67" s="12"/>
      <c r="H67" s="12"/>
      <c r="I67" s="9" t="str">
        <f t="shared" si="1"/>
        <v/>
      </c>
      <c r="J67" s="7"/>
      <c r="K67" s="6"/>
    </row>
    <row r="68" spans="1:11" x14ac:dyDescent="0.3">
      <c r="A68" s="6"/>
      <c r="B68" s="7"/>
      <c r="C68" s="6"/>
      <c r="D68" s="6"/>
      <c r="E68" s="6"/>
      <c r="F68" s="6"/>
      <c r="G68" s="12"/>
      <c r="H68" s="12"/>
      <c r="I68" s="9" t="str">
        <f t="shared" si="1"/>
        <v/>
      </c>
      <c r="J68" s="7"/>
      <c r="K68" s="6"/>
    </row>
    <row r="69" spans="1:11" x14ac:dyDescent="0.3">
      <c r="A69" s="6"/>
      <c r="B69" s="7"/>
      <c r="C69" s="6"/>
      <c r="D69" s="6"/>
      <c r="E69" s="6"/>
      <c r="F69" s="6"/>
      <c r="G69" s="12"/>
      <c r="H69" s="12"/>
      <c r="I69" s="9" t="str">
        <f t="shared" si="1"/>
        <v/>
      </c>
      <c r="J69" s="7"/>
      <c r="K69" s="6"/>
    </row>
    <row r="70" spans="1:11" x14ac:dyDescent="0.3">
      <c r="A70" s="6"/>
      <c r="B70" s="7"/>
      <c r="C70" s="6"/>
      <c r="D70" s="6"/>
      <c r="E70" s="6"/>
      <c r="F70" s="6"/>
      <c r="G70" s="12"/>
      <c r="H70" s="12"/>
      <c r="I70" s="9" t="str">
        <f t="shared" si="1"/>
        <v/>
      </c>
      <c r="J70" s="7"/>
      <c r="K70" s="6"/>
    </row>
    <row r="71" spans="1:11" x14ac:dyDescent="0.3">
      <c r="A71" s="6"/>
      <c r="B71" s="7"/>
      <c r="C71" s="6"/>
      <c r="D71" s="6"/>
      <c r="E71" s="6"/>
      <c r="F71" s="6"/>
      <c r="G71" s="12"/>
      <c r="H71" s="12"/>
      <c r="I71" s="9" t="str">
        <f t="shared" si="1"/>
        <v/>
      </c>
      <c r="J71" s="7"/>
      <c r="K71" s="6"/>
    </row>
    <row r="72" spans="1:11" x14ac:dyDescent="0.3">
      <c r="A72" s="6"/>
      <c r="B72" s="7"/>
      <c r="C72" s="6"/>
      <c r="D72" s="6"/>
      <c r="E72" s="6"/>
      <c r="F72" s="6"/>
      <c r="G72" s="12"/>
      <c r="H72" s="12"/>
      <c r="I72" s="9" t="str">
        <f t="shared" si="1"/>
        <v/>
      </c>
      <c r="J72" s="7"/>
      <c r="K72" s="6"/>
    </row>
    <row r="73" spans="1:11" x14ac:dyDescent="0.3">
      <c r="A73" s="6"/>
      <c r="B73" s="7"/>
      <c r="C73" s="6"/>
      <c r="D73" s="6"/>
      <c r="E73" s="6"/>
      <c r="F73" s="6"/>
      <c r="G73" s="12"/>
      <c r="H73" s="12"/>
      <c r="I73" s="9" t="str">
        <f t="shared" si="1"/>
        <v/>
      </c>
      <c r="J73" s="7"/>
      <c r="K73" s="6"/>
    </row>
    <row r="74" spans="1:11" x14ac:dyDescent="0.3">
      <c r="A74" s="6"/>
      <c r="B74" s="7"/>
      <c r="C74" s="6"/>
      <c r="D74" s="6"/>
      <c r="E74" s="6"/>
      <c r="F74" s="6"/>
      <c r="G74" s="12"/>
      <c r="H74" s="12"/>
      <c r="I74" s="9" t="str">
        <f t="shared" si="1"/>
        <v/>
      </c>
      <c r="J74" s="7"/>
      <c r="K74" s="6"/>
    </row>
    <row r="75" spans="1:11" x14ac:dyDescent="0.3">
      <c r="A75" s="6"/>
      <c r="B75" s="7"/>
      <c r="C75" s="6"/>
      <c r="D75" s="6"/>
      <c r="E75" s="6"/>
      <c r="F75" s="6"/>
      <c r="G75" s="12"/>
      <c r="H75" s="12"/>
      <c r="I75" s="9" t="str">
        <f t="shared" si="1"/>
        <v/>
      </c>
      <c r="J75" s="7"/>
      <c r="K75" s="6"/>
    </row>
    <row r="76" spans="1:11" x14ac:dyDescent="0.3">
      <c r="A76" s="6"/>
      <c r="B76" s="7"/>
      <c r="C76" s="6"/>
      <c r="D76" s="6"/>
      <c r="E76" s="6"/>
      <c r="F76" s="6"/>
      <c r="G76" s="12"/>
      <c r="H76" s="12"/>
      <c r="I76" s="9" t="str">
        <f t="shared" si="1"/>
        <v/>
      </c>
      <c r="J76" s="7"/>
      <c r="K76" s="6"/>
    </row>
    <row r="77" spans="1:11" x14ac:dyDescent="0.3">
      <c r="A77" s="6"/>
      <c r="B77" s="7"/>
      <c r="C77" s="6"/>
      <c r="D77" s="6"/>
      <c r="E77" s="6"/>
      <c r="F77" s="6"/>
      <c r="G77" s="12"/>
      <c r="H77" s="12"/>
      <c r="I77" s="9" t="str">
        <f t="shared" si="1"/>
        <v/>
      </c>
      <c r="J77" s="7"/>
      <c r="K77" s="6"/>
    </row>
    <row r="78" spans="1:11" x14ac:dyDescent="0.3">
      <c r="A78" s="6"/>
      <c r="B78" s="7"/>
      <c r="C78" s="6"/>
      <c r="D78" s="6"/>
      <c r="E78" s="6"/>
      <c r="F78" s="6"/>
      <c r="G78" s="12"/>
      <c r="H78" s="12"/>
      <c r="I78" s="9" t="str">
        <f t="shared" si="1"/>
        <v/>
      </c>
      <c r="J78" s="7"/>
      <c r="K78" s="6"/>
    </row>
    <row r="79" spans="1:11" x14ac:dyDescent="0.3">
      <c r="A79" s="6"/>
      <c r="B79" s="7"/>
      <c r="C79" s="6"/>
      <c r="D79" s="6"/>
      <c r="E79" s="6"/>
      <c r="F79" s="6"/>
      <c r="G79" s="12"/>
      <c r="H79" s="12"/>
      <c r="I79" s="9" t="str">
        <f t="shared" si="1"/>
        <v/>
      </c>
      <c r="J79" s="7"/>
      <c r="K79" s="6"/>
    </row>
    <row r="80" spans="1:11" x14ac:dyDescent="0.3">
      <c r="A80" s="6"/>
      <c r="B80" s="7"/>
      <c r="C80" s="6"/>
      <c r="D80" s="6"/>
      <c r="E80" s="6"/>
      <c r="F80" s="6"/>
      <c r="G80" s="12"/>
      <c r="H80" s="12"/>
      <c r="I80" s="9" t="str">
        <f t="shared" si="1"/>
        <v/>
      </c>
      <c r="J80" s="7"/>
      <c r="K80" s="6"/>
    </row>
    <row r="81" spans="1:11" x14ac:dyDescent="0.3">
      <c r="A81" s="6"/>
      <c r="B81" s="7"/>
      <c r="C81" s="6"/>
      <c r="D81" s="6"/>
      <c r="E81" s="6"/>
      <c r="F81" s="6"/>
      <c r="G81" s="12"/>
      <c r="H81" s="12"/>
      <c r="I81" s="9" t="str">
        <f t="shared" si="1"/>
        <v/>
      </c>
      <c r="J81" s="7"/>
      <c r="K81" s="6"/>
    </row>
    <row r="82" spans="1:11" x14ac:dyDescent="0.3">
      <c r="A82" s="6"/>
      <c r="B82" s="7"/>
      <c r="C82" s="6"/>
      <c r="D82" s="6"/>
      <c r="E82" s="6"/>
      <c r="F82" s="6"/>
      <c r="G82" s="12"/>
      <c r="H82" s="12"/>
      <c r="I82" s="9" t="str">
        <f t="shared" si="1"/>
        <v/>
      </c>
      <c r="J82" s="7"/>
      <c r="K82" s="6"/>
    </row>
    <row r="83" spans="1:11" x14ac:dyDescent="0.3">
      <c r="A83" s="6"/>
      <c r="B83" s="7"/>
      <c r="C83" s="6"/>
      <c r="D83" s="6"/>
      <c r="E83" s="6"/>
      <c r="F83" s="6"/>
      <c r="G83" s="12"/>
      <c r="H83" s="12"/>
      <c r="I83" s="9" t="str">
        <f t="shared" si="1"/>
        <v/>
      </c>
      <c r="J83" s="7"/>
      <c r="K83" s="6"/>
    </row>
    <row r="84" spans="1:11" x14ac:dyDescent="0.3">
      <c r="A84" s="6"/>
      <c r="B84" s="7"/>
      <c r="C84" s="6"/>
      <c r="D84" s="6"/>
      <c r="E84" s="6"/>
      <c r="F84" s="6"/>
      <c r="G84" s="12"/>
      <c r="H84" s="12"/>
      <c r="I84" s="9" t="str">
        <f t="shared" si="1"/>
        <v/>
      </c>
      <c r="J84" s="7"/>
      <c r="K84" s="6"/>
    </row>
    <row r="85" spans="1:11" x14ac:dyDescent="0.3">
      <c r="A85" s="6"/>
      <c r="B85" s="7"/>
      <c r="C85" s="6"/>
      <c r="D85" s="6"/>
      <c r="E85" s="6"/>
      <c r="F85" s="6"/>
      <c r="G85" s="12"/>
      <c r="H85" s="12"/>
      <c r="I85" s="9" t="str">
        <f t="shared" si="1"/>
        <v/>
      </c>
      <c r="J85" s="7"/>
      <c r="K85" s="6"/>
    </row>
    <row r="86" spans="1:11" x14ac:dyDescent="0.3">
      <c r="A86" s="6"/>
      <c r="B86" s="7"/>
      <c r="C86" s="6"/>
      <c r="D86" s="6"/>
      <c r="E86" s="6"/>
      <c r="F86" s="6"/>
      <c r="G86" s="12"/>
      <c r="H86" s="12"/>
      <c r="I86" s="9" t="str">
        <f t="shared" si="1"/>
        <v/>
      </c>
      <c r="J86" s="7"/>
      <c r="K86" s="6"/>
    </row>
    <row r="87" spans="1:11" x14ac:dyDescent="0.3">
      <c r="A87" s="6"/>
      <c r="B87" s="7"/>
      <c r="C87" s="6"/>
      <c r="D87" s="6"/>
      <c r="E87" s="6"/>
      <c r="F87" s="6"/>
      <c r="G87" s="12"/>
      <c r="H87" s="12"/>
      <c r="I87" s="9" t="str">
        <f t="shared" si="1"/>
        <v/>
      </c>
      <c r="J87" s="7"/>
      <c r="K87" s="6"/>
    </row>
    <row r="88" spans="1:11" x14ac:dyDescent="0.3">
      <c r="A88" s="6"/>
      <c r="B88" s="7"/>
      <c r="C88" s="6"/>
      <c r="D88" s="6"/>
      <c r="E88" s="6"/>
      <c r="F88" s="6"/>
      <c r="G88" s="12"/>
      <c r="H88" s="12"/>
      <c r="I88" s="9" t="str">
        <f t="shared" si="1"/>
        <v/>
      </c>
      <c r="J88" s="7"/>
      <c r="K88" s="6"/>
    </row>
    <row r="89" spans="1:11" x14ac:dyDescent="0.3">
      <c r="A89" s="6"/>
      <c r="B89" s="7"/>
      <c r="C89" s="6"/>
      <c r="D89" s="6"/>
      <c r="E89" s="6"/>
      <c r="F89" s="6"/>
      <c r="G89" s="12"/>
      <c r="H89" s="12"/>
      <c r="I89" s="9" t="str">
        <f t="shared" si="1"/>
        <v/>
      </c>
      <c r="J89" s="7"/>
      <c r="K89" s="6"/>
    </row>
    <row r="90" spans="1:11" x14ac:dyDescent="0.3">
      <c r="A90" s="6"/>
      <c r="B90" s="7"/>
      <c r="C90" s="6"/>
      <c r="D90" s="6"/>
      <c r="E90" s="6"/>
      <c r="F90" s="6"/>
      <c r="G90" s="12"/>
      <c r="H90" s="12"/>
      <c r="I90" s="9" t="str">
        <f t="shared" si="1"/>
        <v/>
      </c>
      <c r="J90" s="7"/>
      <c r="K90" s="6"/>
    </row>
    <row r="91" spans="1:11" x14ac:dyDescent="0.3">
      <c r="A91" s="6"/>
      <c r="B91" s="7"/>
      <c r="C91" s="6"/>
      <c r="D91" s="6"/>
      <c r="E91" s="6"/>
      <c r="F91" s="6"/>
      <c r="G91" s="12"/>
      <c r="H91" s="12"/>
      <c r="I91" s="9" t="str">
        <f t="shared" si="1"/>
        <v/>
      </c>
      <c r="J91" s="7"/>
      <c r="K91" s="6"/>
    </row>
    <row r="92" spans="1:11" x14ac:dyDescent="0.3">
      <c r="A92" s="6"/>
      <c r="B92" s="7"/>
      <c r="C92" s="6"/>
      <c r="D92" s="6"/>
      <c r="E92" s="6"/>
      <c r="F92" s="6"/>
      <c r="G92" s="12"/>
      <c r="H92" s="12"/>
      <c r="I92" s="9" t="str">
        <f t="shared" si="1"/>
        <v/>
      </c>
      <c r="J92" s="7"/>
      <c r="K92" s="6"/>
    </row>
    <row r="93" spans="1:11" x14ac:dyDescent="0.3">
      <c r="A93" s="6"/>
      <c r="B93" s="7"/>
      <c r="C93" s="6"/>
      <c r="D93" s="6"/>
      <c r="E93" s="6"/>
      <c r="F93" s="6"/>
      <c r="G93" s="12"/>
      <c r="H93" s="12"/>
      <c r="I93" s="9" t="str">
        <f t="shared" si="1"/>
        <v/>
      </c>
      <c r="J93" s="7"/>
      <c r="K93" s="6"/>
    </row>
    <row r="94" spans="1:11" x14ac:dyDescent="0.3">
      <c r="A94" s="6"/>
      <c r="B94" s="7"/>
      <c r="C94" s="6"/>
      <c r="D94" s="6"/>
      <c r="E94" s="6"/>
      <c r="F94" s="6"/>
      <c r="G94" s="12"/>
      <c r="H94" s="12"/>
      <c r="I94" s="9" t="str">
        <f t="shared" si="1"/>
        <v/>
      </c>
      <c r="J94" s="7"/>
      <c r="K94" s="6"/>
    </row>
    <row r="95" spans="1:11" x14ac:dyDescent="0.3">
      <c r="A95" s="6"/>
      <c r="B95" s="7"/>
      <c r="C95" s="6"/>
      <c r="D95" s="6"/>
      <c r="E95" s="6"/>
      <c r="F95" s="6"/>
      <c r="G95" s="12"/>
      <c r="H95" s="12"/>
      <c r="I95" s="9" t="str">
        <f t="shared" si="1"/>
        <v/>
      </c>
      <c r="J95" s="7"/>
      <c r="K95" s="6"/>
    </row>
    <row r="96" spans="1:11" x14ac:dyDescent="0.3">
      <c r="A96" s="6"/>
      <c r="B96" s="7"/>
      <c r="C96" s="6"/>
      <c r="D96" s="6"/>
      <c r="E96" s="6"/>
      <c r="F96" s="6"/>
      <c r="G96" s="12"/>
      <c r="H96" s="12"/>
      <c r="I96" s="9" t="str">
        <f t="shared" si="1"/>
        <v/>
      </c>
      <c r="J96" s="7"/>
      <c r="K96" s="6"/>
    </row>
    <row r="97" spans="1:11" x14ac:dyDescent="0.3">
      <c r="A97" s="6"/>
      <c r="B97" s="7"/>
      <c r="C97" s="6"/>
      <c r="D97" s="6"/>
      <c r="E97" s="6"/>
      <c r="F97" s="6"/>
      <c r="G97" s="12"/>
      <c r="H97" s="12"/>
      <c r="I97" s="9" t="str">
        <f t="shared" si="1"/>
        <v/>
      </c>
      <c r="J97" s="7"/>
      <c r="K97" s="6"/>
    </row>
    <row r="98" spans="1:11" x14ac:dyDescent="0.3">
      <c r="A98" s="6"/>
      <c r="B98" s="7"/>
      <c r="C98" s="6"/>
      <c r="D98" s="6"/>
      <c r="E98" s="6"/>
      <c r="F98" s="6"/>
      <c r="G98" s="12"/>
      <c r="H98" s="12"/>
      <c r="I98" s="9" t="str">
        <f t="shared" si="1"/>
        <v/>
      </c>
      <c r="J98" s="7"/>
      <c r="K98" s="6"/>
    </row>
    <row r="99" spans="1:11" x14ac:dyDescent="0.3">
      <c r="A99" s="6"/>
      <c r="B99" s="7"/>
      <c r="C99" s="6"/>
      <c r="D99" s="6"/>
      <c r="E99" s="6"/>
      <c r="F99" s="6"/>
      <c r="G99" s="12"/>
      <c r="H99" s="12"/>
      <c r="I99" s="9" t="str">
        <f t="shared" si="1"/>
        <v/>
      </c>
      <c r="J99" s="7"/>
      <c r="K99" s="6"/>
    </row>
    <row r="100" spans="1:11" x14ac:dyDescent="0.3">
      <c r="A100" s="6"/>
      <c r="B100" s="7"/>
      <c r="C100" s="6"/>
      <c r="D100" s="6"/>
      <c r="E100" s="6"/>
      <c r="F100" s="6"/>
      <c r="G100" s="12"/>
      <c r="H100" s="12"/>
      <c r="I100" s="9" t="str">
        <f t="shared" si="1"/>
        <v/>
      </c>
      <c r="J100" s="7"/>
      <c r="K100" s="6"/>
    </row>
    <row r="101" spans="1:11" x14ac:dyDescent="0.3">
      <c r="A101" s="6"/>
      <c r="B101" s="7"/>
      <c r="C101" s="6"/>
      <c r="D101" s="6"/>
      <c r="E101" s="6"/>
      <c r="F101" s="6"/>
      <c r="G101" s="12"/>
      <c r="H101" s="12"/>
      <c r="I101" s="9" t="str">
        <f t="shared" si="1"/>
        <v/>
      </c>
      <c r="J101" s="7"/>
      <c r="K101" s="6"/>
    </row>
    <row r="102" spans="1:11" x14ac:dyDescent="0.3">
      <c r="A102" s="6"/>
      <c r="B102" s="7"/>
      <c r="C102" s="6"/>
      <c r="D102" s="6"/>
      <c r="E102" s="6"/>
      <c r="F102" s="6"/>
      <c r="G102" s="12"/>
      <c r="H102" s="12"/>
      <c r="I102" s="9" t="str">
        <f t="shared" si="1"/>
        <v/>
      </c>
      <c r="J102" s="7"/>
      <c r="K102" s="6"/>
    </row>
    <row r="103" spans="1:11" x14ac:dyDescent="0.3">
      <c r="A103" s="6"/>
      <c r="B103" s="7"/>
      <c r="C103" s="6"/>
      <c r="D103" s="6"/>
      <c r="E103" s="6"/>
      <c r="F103" s="6"/>
      <c r="G103" s="12"/>
      <c r="H103" s="12"/>
      <c r="I103" s="9" t="str">
        <f t="shared" si="1"/>
        <v/>
      </c>
      <c r="J103" s="7"/>
      <c r="K103" s="6"/>
    </row>
    <row r="104" spans="1:11" x14ac:dyDescent="0.3">
      <c r="A104" s="6"/>
      <c r="B104" s="7"/>
      <c r="C104" s="6"/>
      <c r="D104" s="6"/>
      <c r="E104" s="6"/>
      <c r="F104" s="6"/>
      <c r="G104" s="12"/>
      <c r="H104" s="12"/>
      <c r="I104" s="9" t="str">
        <f t="shared" si="1"/>
        <v/>
      </c>
      <c r="J104" s="7"/>
      <c r="K104" s="6"/>
    </row>
    <row r="105" spans="1:11" x14ac:dyDescent="0.3">
      <c r="A105" s="6"/>
      <c r="B105" s="7"/>
      <c r="C105" s="6"/>
      <c r="D105" s="6"/>
      <c r="E105" s="6"/>
      <c r="F105" s="6"/>
      <c r="G105" s="12"/>
      <c r="H105" s="12"/>
      <c r="I105" s="9" t="str">
        <f t="shared" si="1"/>
        <v/>
      </c>
      <c r="J105" s="7"/>
      <c r="K105" s="6"/>
    </row>
    <row r="106" spans="1:11" x14ac:dyDescent="0.3">
      <c r="A106" s="6"/>
      <c r="B106" s="7"/>
      <c r="C106" s="6"/>
      <c r="D106" s="6"/>
      <c r="E106" s="6"/>
      <c r="F106" s="6"/>
      <c r="G106" s="12"/>
      <c r="H106" s="12"/>
      <c r="I106" s="9" t="str">
        <f t="shared" si="1"/>
        <v/>
      </c>
      <c r="J106" s="7"/>
      <c r="K106" s="6"/>
    </row>
    <row r="107" spans="1:11" x14ac:dyDescent="0.3">
      <c r="A107" s="6"/>
      <c r="B107" s="7"/>
      <c r="C107" s="6"/>
      <c r="D107" s="6"/>
      <c r="E107" s="6"/>
      <c r="F107" s="6"/>
      <c r="G107" s="12"/>
      <c r="H107" s="12"/>
      <c r="I107" s="9" t="str">
        <f t="shared" si="1"/>
        <v/>
      </c>
      <c r="J107" s="7"/>
      <c r="K107" s="6"/>
    </row>
    <row r="108" spans="1:11" x14ac:dyDescent="0.3">
      <c r="A108" s="6"/>
      <c r="B108" s="7"/>
      <c r="C108" s="6"/>
      <c r="D108" s="6"/>
      <c r="E108" s="6"/>
      <c r="F108" s="6"/>
      <c r="G108" s="12"/>
      <c r="H108" s="12"/>
      <c r="I108" s="9" t="str">
        <f t="shared" si="1"/>
        <v/>
      </c>
      <c r="J108" s="7"/>
      <c r="K108" s="6"/>
    </row>
    <row r="109" spans="1:11" x14ac:dyDescent="0.3">
      <c r="A109" s="6"/>
      <c r="B109" s="7"/>
      <c r="C109" s="6"/>
      <c r="D109" s="6"/>
      <c r="E109" s="6"/>
      <c r="F109" s="6"/>
      <c r="G109" s="12"/>
      <c r="H109" s="12"/>
      <c r="I109" s="9" t="str">
        <f t="shared" si="1"/>
        <v/>
      </c>
      <c r="J109" s="7"/>
      <c r="K109" s="6"/>
    </row>
    <row r="110" spans="1:11" x14ac:dyDescent="0.3">
      <c r="A110" s="6"/>
      <c r="B110" s="7"/>
      <c r="C110" s="6"/>
      <c r="D110" s="6"/>
      <c r="E110" s="6"/>
      <c r="F110" s="6"/>
      <c r="G110" s="12"/>
      <c r="H110" s="12"/>
      <c r="I110" s="9" t="str">
        <f t="shared" si="1"/>
        <v/>
      </c>
      <c r="J110" s="7"/>
      <c r="K110" s="6"/>
    </row>
    <row r="111" spans="1:11" x14ac:dyDescent="0.3">
      <c r="A111" s="6"/>
      <c r="B111" s="7"/>
      <c r="C111" s="6"/>
      <c r="D111" s="6"/>
      <c r="E111" s="6"/>
      <c r="F111" s="6"/>
      <c r="G111" s="12"/>
      <c r="H111" s="12"/>
      <c r="I111" s="9" t="str">
        <f t="shared" si="1"/>
        <v/>
      </c>
      <c r="J111" s="7"/>
      <c r="K111" s="6"/>
    </row>
    <row r="112" spans="1:11" x14ac:dyDescent="0.3">
      <c r="A112" s="6"/>
      <c r="B112" s="7"/>
      <c r="C112" s="6"/>
      <c r="D112" s="6"/>
      <c r="E112" s="6"/>
      <c r="F112" s="6"/>
      <c r="G112" s="12"/>
      <c r="H112" s="12"/>
      <c r="I112" s="9" t="str">
        <f t="shared" si="1"/>
        <v/>
      </c>
      <c r="J112" s="7"/>
      <c r="K112" s="6"/>
    </row>
    <row r="113" spans="1:11" x14ac:dyDescent="0.3">
      <c r="A113" s="6"/>
      <c r="B113" s="7"/>
      <c r="C113" s="6"/>
      <c r="D113" s="6"/>
      <c r="E113" s="6"/>
      <c r="F113" s="6"/>
      <c r="G113" s="12"/>
      <c r="H113" s="12"/>
      <c r="I113" s="9" t="str">
        <f t="shared" si="1"/>
        <v/>
      </c>
      <c r="J113" s="7"/>
      <c r="K113" s="6"/>
    </row>
    <row r="114" spans="1:11" x14ac:dyDescent="0.3">
      <c r="A114" s="6"/>
      <c r="B114" s="7"/>
      <c r="C114" s="6"/>
      <c r="D114" s="6"/>
      <c r="E114" s="6"/>
      <c r="F114" s="6"/>
      <c r="G114" s="12"/>
      <c r="H114" s="12"/>
      <c r="I114" s="9" t="str">
        <f t="shared" si="1"/>
        <v/>
      </c>
      <c r="J114" s="7"/>
      <c r="K114" s="6"/>
    </row>
    <row r="115" spans="1:11" x14ac:dyDescent="0.3">
      <c r="A115" s="6"/>
      <c r="B115" s="7"/>
      <c r="C115" s="6"/>
      <c r="D115" s="6"/>
      <c r="E115" s="6"/>
      <c r="F115" s="6"/>
      <c r="G115" s="12"/>
      <c r="H115" s="12"/>
      <c r="I115" s="9" t="str">
        <f t="shared" si="1"/>
        <v/>
      </c>
      <c r="J115" s="7"/>
      <c r="K115" s="6"/>
    </row>
    <row r="116" spans="1:11" x14ac:dyDescent="0.3">
      <c r="A116" s="6"/>
      <c r="B116" s="7"/>
      <c r="C116" s="6"/>
      <c r="D116" s="6"/>
      <c r="E116" s="6"/>
      <c r="F116" s="6"/>
      <c r="G116" s="12"/>
      <c r="H116" s="12"/>
      <c r="I116" s="9" t="str">
        <f t="shared" si="1"/>
        <v/>
      </c>
      <c r="J116" s="7"/>
      <c r="K116" s="6"/>
    </row>
    <row r="117" spans="1:11" x14ac:dyDescent="0.3">
      <c r="A117" s="6"/>
      <c r="B117" s="7"/>
      <c r="C117" s="6"/>
      <c r="D117" s="6"/>
      <c r="E117" s="6"/>
      <c r="F117" s="6"/>
      <c r="G117" s="12"/>
      <c r="H117" s="12"/>
      <c r="I117" s="9" t="str">
        <f t="shared" ref="I117:I180" si="2">IF(AND(G117&lt;&gt;"",H117&lt;&gt;""),MOD(H117-G117,1)*24,"")</f>
        <v/>
      </c>
      <c r="J117" s="7"/>
      <c r="K117" s="6"/>
    </row>
    <row r="118" spans="1:11" x14ac:dyDescent="0.3">
      <c r="A118" s="6"/>
      <c r="B118" s="7"/>
      <c r="C118" s="6"/>
      <c r="D118" s="6"/>
      <c r="E118" s="6"/>
      <c r="F118" s="6"/>
      <c r="G118" s="12"/>
      <c r="H118" s="12"/>
      <c r="I118" s="9" t="str">
        <f t="shared" si="2"/>
        <v/>
      </c>
      <c r="J118" s="7"/>
      <c r="K118" s="6"/>
    </row>
    <row r="119" spans="1:11" x14ac:dyDescent="0.3">
      <c r="A119" s="6"/>
      <c r="B119" s="7"/>
      <c r="C119" s="6"/>
      <c r="D119" s="6"/>
      <c r="E119" s="6"/>
      <c r="F119" s="6"/>
      <c r="G119" s="12"/>
      <c r="H119" s="12"/>
      <c r="I119" s="9" t="str">
        <f t="shared" si="2"/>
        <v/>
      </c>
      <c r="J119" s="7"/>
      <c r="K119" s="6"/>
    </row>
    <row r="120" spans="1:11" x14ac:dyDescent="0.3">
      <c r="A120" s="6"/>
      <c r="B120" s="7"/>
      <c r="C120" s="6"/>
      <c r="D120" s="6"/>
      <c r="E120" s="6"/>
      <c r="F120" s="6"/>
      <c r="G120" s="12"/>
      <c r="H120" s="12"/>
      <c r="I120" s="9" t="str">
        <f t="shared" si="2"/>
        <v/>
      </c>
      <c r="J120" s="7"/>
      <c r="K120" s="6"/>
    </row>
    <row r="121" spans="1:11" x14ac:dyDescent="0.3">
      <c r="A121" s="6"/>
      <c r="B121" s="7"/>
      <c r="C121" s="6"/>
      <c r="D121" s="6"/>
      <c r="E121" s="6"/>
      <c r="F121" s="6"/>
      <c r="G121" s="12"/>
      <c r="H121" s="12"/>
      <c r="I121" s="9" t="str">
        <f t="shared" si="2"/>
        <v/>
      </c>
      <c r="J121" s="7"/>
      <c r="K121" s="6"/>
    </row>
    <row r="122" spans="1:11" x14ac:dyDescent="0.3">
      <c r="A122" s="6"/>
      <c r="B122" s="7"/>
      <c r="C122" s="6"/>
      <c r="D122" s="6"/>
      <c r="E122" s="6"/>
      <c r="F122" s="6"/>
      <c r="G122" s="12"/>
      <c r="H122" s="12"/>
      <c r="I122" s="9" t="str">
        <f t="shared" si="2"/>
        <v/>
      </c>
      <c r="J122" s="7"/>
      <c r="K122" s="6"/>
    </row>
    <row r="123" spans="1:11" x14ac:dyDescent="0.3">
      <c r="A123" s="6"/>
      <c r="B123" s="7"/>
      <c r="C123" s="6"/>
      <c r="D123" s="6"/>
      <c r="E123" s="6"/>
      <c r="F123" s="6"/>
      <c r="G123" s="12"/>
      <c r="H123" s="12"/>
      <c r="I123" s="9" t="str">
        <f t="shared" si="2"/>
        <v/>
      </c>
      <c r="J123" s="7"/>
      <c r="K123" s="6"/>
    </row>
    <row r="124" spans="1:11" x14ac:dyDescent="0.3">
      <c r="A124" s="6"/>
      <c r="B124" s="7"/>
      <c r="C124" s="6"/>
      <c r="D124" s="6"/>
      <c r="E124" s="6"/>
      <c r="F124" s="6"/>
      <c r="G124" s="12"/>
      <c r="H124" s="12"/>
      <c r="I124" s="9" t="str">
        <f t="shared" si="2"/>
        <v/>
      </c>
      <c r="J124" s="7"/>
      <c r="K124" s="6"/>
    </row>
    <row r="125" spans="1:11" x14ac:dyDescent="0.3">
      <c r="A125" s="6"/>
      <c r="B125" s="7"/>
      <c r="C125" s="6"/>
      <c r="D125" s="6"/>
      <c r="E125" s="6"/>
      <c r="F125" s="6"/>
      <c r="G125" s="12"/>
      <c r="H125" s="12"/>
      <c r="I125" s="9" t="str">
        <f t="shared" si="2"/>
        <v/>
      </c>
      <c r="J125" s="7"/>
      <c r="K125" s="6"/>
    </row>
    <row r="126" spans="1:11" x14ac:dyDescent="0.3">
      <c r="A126" s="6"/>
      <c r="B126" s="7"/>
      <c r="C126" s="6"/>
      <c r="D126" s="6"/>
      <c r="E126" s="6"/>
      <c r="F126" s="6"/>
      <c r="G126" s="12"/>
      <c r="H126" s="12"/>
      <c r="I126" s="9" t="str">
        <f t="shared" si="2"/>
        <v/>
      </c>
      <c r="J126" s="7"/>
      <c r="K126" s="6"/>
    </row>
    <row r="127" spans="1:11" x14ac:dyDescent="0.3">
      <c r="A127" s="6"/>
      <c r="B127" s="7"/>
      <c r="C127" s="6"/>
      <c r="D127" s="6"/>
      <c r="E127" s="6"/>
      <c r="F127" s="6"/>
      <c r="G127" s="12"/>
      <c r="H127" s="12"/>
      <c r="I127" s="9" t="str">
        <f t="shared" si="2"/>
        <v/>
      </c>
      <c r="J127" s="7"/>
      <c r="K127" s="6"/>
    </row>
    <row r="128" spans="1:11" x14ac:dyDescent="0.3">
      <c r="A128" s="6"/>
      <c r="B128" s="7"/>
      <c r="C128" s="6"/>
      <c r="D128" s="6"/>
      <c r="E128" s="6"/>
      <c r="F128" s="6"/>
      <c r="G128" s="12"/>
      <c r="H128" s="12"/>
      <c r="I128" s="9" t="str">
        <f t="shared" si="2"/>
        <v/>
      </c>
      <c r="J128" s="7"/>
      <c r="K128" s="6"/>
    </row>
    <row r="129" spans="1:11" x14ac:dyDescent="0.3">
      <c r="A129" s="6"/>
      <c r="B129" s="7"/>
      <c r="C129" s="6"/>
      <c r="D129" s="6"/>
      <c r="E129" s="6"/>
      <c r="F129" s="6"/>
      <c r="G129" s="12"/>
      <c r="H129" s="12"/>
      <c r="I129" s="9" t="str">
        <f t="shared" si="2"/>
        <v/>
      </c>
      <c r="J129" s="7"/>
      <c r="K129" s="6"/>
    </row>
    <row r="130" spans="1:11" x14ac:dyDescent="0.3">
      <c r="A130" s="6"/>
      <c r="B130" s="7"/>
      <c r="C130" s="6"/>
      <c r="D130" s="6"/>
      <c r="E130" s="6"/>
      <c r="F130" s="6"/>
      <c r="G130" s="12"/>
      <c r="H130" s="12"/>
      <c r="I130" s="9" t="str">
        <f t="shared" si="2"/>
        <v/>
      </c>
      <c r="J130" s="7"/>
      <c r="K130" s="6"/>
    </row>
    <row r="131" spans="1:11" x14ac:dyDescent="0.3">
      <c r="A131" s="6"/>
      <c r="B131" s="7"/>
      <c r="C131" s="6"/>
      <c r="D131" s="6"/>
      <c r="E131" s="6"/>
      <c r="F131" s="6"/>
      <c r="G131" s="12"/>
      <c r="H131" s="12"/>
      <c r="I131" s="9" t="str">
        <f t="shared" si="2"/>
        <v/>
      </c>
      <c r="J131" s="7"/>
      <c r="K131" s="6"/>
    </row>
    <row r="132" spans="1:11" x14ac:dyDescent="0.3">
      <c r="A132" s="6"/>
      <c r="B132" s="7"/>
      <c r="C132" s="6"/>
      <c r="D132" s="6"/>
      <c r="E132" s="6"/>
      <c r="F132" s="6"/>
      <c r="G132" s="12"/>
      <c r="H132" s="12"/>
      <c r="I132" s="9" t="str">
        <f t="shared" si="2"/>
        <v/>
      </c>
      <c r="J132" s="7"/>
      <c r="K132" s="6"/>
    </row>
    <row r="133" spans="1:11" x14ac:dyDescent="0.3">
      <c r="A133" s="6"/>
      <c r="B133" s="7"/>
      <c r="C133" s="6"/>
      <c r="D133" s="6"/>
      <c r="E133" s="6"/>
      <c r="F133" s="6"/>
      <c r="G133" s="12"/>
      <c r="H133" s="12"/>
      <c r="I133" s="9" t="str">
        <f t="shared" si="2"/>
        <v/>
      </c>
      <c r="J133" s="7"/>
      <c r="K133" s="6"/>
    </row>
    <row r="134" spans="1:11" x14ac:dyDescent="0.3">
      <c r="A134" s="6"/>
      <c r="B134" s="7"/>
      <c r="C134" s="6"/>
      <c r="D134" s="6"/>
      <c r="E134" s="6"/>
      <c r="F134" s="6"/>
      <c r="G134" s="12"/>
      <c r="H134" s="12"/>
      <c r="I134" s="9" t="str">
        <f t="shared" si="2"/>
        <v/>
      </c>
      <c r="J134" s="7"/>
      <c r="K134" s="6"/>
    </row>
    <row r="135" spans="1:11" x14ac:dyDescent="0.3">
      <c r="A135" s="6"/>
      <c r="B135" s="7"/>
      <c r="C135" s="6"/>
      <c r="D135" s="6"/>
      <c r="E135" s="6"/>
      <c r="F135" s="6"/>
      <c r="G135" s="12"/>
      <c r="H135" s="12"/>
      <c r="I135" s="9" t="str">
        <f t="shared" si="2"/>
        <v/>
      </c>
      <c r="J135" s="7"/>
      <c r="K135" s="6"/>
    </row>
    <row r="136" spans="1:11" x14ac:dyDescent="0.3">
      <c r="A136" s="6"/>
      <c r="B136" s="7"/>
      <c r="C136" s="6"/>
      <c r="D136" s="6"/>
      <c r="E136" s="6"/>
      <c r="F136" s="6"/>
      <c r="G136" s="12"/>
      <c r="H136" s="12"/>
      <c r="I136" s="9" t="str">
        <f t="shared" si="2"/>
        <v/>
      </c>
      <c r="J136" s="7"/>
      <c r="K136" s="6"/>
    </row>
    <row r="137" spans="1:11" x14ac:dyDescent="0.3">
      <c r="A137" s="6"/>
      <c r="B137" s="7"/>
      <c r="C137" s="6"/>
      <c r="D137" s="6"/>
      <c r="E137" s="6"/>
      <c r="F137" s="6"/>
      <c r="G137" s="12"/>
      <c r="H137" s="12"/>
      <c r="I137" s="9" t="str">
        <f t="shared" si="2"/>
        <v/>
      </c>
      <c r="J137" s="7"/>
      <c r="K137" s="6"/>
    </row>
    <row r="138" spans="1:11" x14ac:dyDescent="0.3">
      <c r="A138" s="6"/>
      <c r="B138" s="7"/>
      <c r="C138" s="6"/>
      <c r="D138" s="6"/>
      <c r="E138" s="6"/>
      <c r="F138" s="6"/>
      <c r="G138" s="12"/>
      <c r="H138" s="12"/>
      <c r="I138" s="9" t="str">
        <f t="shared" si="2"/>
        <v/>
      </c>
      <c r="J138" s="7"/>
      <c r="K138" s="6"/>
    </row>
    <row r="139" spans="1:11" x14ac:dyDescent="0.3">
      <c r="A139" s="6"/>
      <c r="B139" s="7"/>
      <c r="C139" s="6"/>
      <c r="D139" s="6"/>
      <c r="E139" s="6"/>
      <c r="F139" s="6"/>
      <c r="G139" s="12"/>
      <c r="H139" s="12"/>
      <c r="I139" s="9" t="str">
        <f t="shared" si="2"/>
        <v/>
      </c>
      <c r="J139" s="7"/>
      <c r="K139" s="6"/>
    </row>
    <row r="140" spans="1:11" x14ac:dyDescent="0.3">
      <c r="A140" s="6"/>
      <c r="B140" s="7"/>
      <c r="C140" s="6"/>
      <c r="D140" s="6"/>
      <c r="E140" s="6"/>
      <c r="F140" s="6"/>
      <c r="G140" s="12"/>
      <c r="H140" s="12"/>
      <c r="I140" s="9" t="str">
        <f t="shared" si="2"/>
        <v/>
      </c>
      <c r="J140" s="7"/>
      <c r="K140" s="6"/>
    </row>
    <row r="141" spans="1:11" x14ac:dyDescent="0.3">
      <c r="A141" s="6"/>
      <c r="B141" s="7"/>
      <c r="C141" s="6"/>
      <c r="D141" s="6"/>
      <c r="E141" s="6"/>
      <c r="F141" s="6"/>
      <c r="G141" s="12"/>
      <c r="H141" s="12"/>
      <c r="I141" s="9" t="str">
        <f t="shared" si="2"/>
        <v/>
      </c>
      <c r="J141" s="7"/>
      <c r="K141" s="6"/>
    </row>
    <row r="142" spans="1:11" x14ac:dyDescent="0.3">
      <c r="A142" s="6"/>
      <c r="B142" s="7"/>
      <c r="C142" s="6"/>
      <c r="D142" s="6"/>
      <c r="E142" s="6"/>
      <c r="F142" s="6"/>
      <c r="G142" s="12"/>
      <c r="H142" s="12"/>
      <c r="I142" s="9" t="str">
        <f t="shared" si="2"/>
        <v/>
      </c>
      <c r="J142" s="7"/>
      <c r="K142" s="6"/>
    </row>
    <row r="143" spans="1:11" x14ac:dyDescent="0.3">
      <c r="A143" s="6"/>
      <c r="B143" s="7"/>
      <c r="C143" s="6"/>
      <c r="D143" s="6"/>
      <c r="E143" s="6"/>
      <c r="F143" s="6"/>
      <c r="G143" s="12"/>
      <c r="H143" s="12"/>
      <c r="I143" s="9" t="str">
        <f t="shared" si="2"/>
        <v/>
      </c>
      <c r="J143" s="7"/>
      <c r="K143" s="6"/>
    </row>
    <row r="144" spans="1:11" x14ac:dyDescent="0.3">
      <c r="A144" s="6"/>
      <c r="B144" s="7"/>
      <c r="C144" s="6"/>
      <c r="D144" s="6"/>
      <c r="E144" s="6"/>
      <c r="F144" s="6"/>
      <c r="G144" s="12"/>
      <c r="H144" s="12"/>
      <c r="I144" s="9" t="str">
        <f t="shared" si="2"/>
        <v/>
      </c>
      <c r="J144" s="7"/>
      <c r="K144" s="6"/>
    </row>
    <row r="145" spans="1:11" x14ac:dyDescent="0.3">
      <c r="A145" s="6"/>
      <c r="B145" s="7"/>
      <c r="C145" s="6"/>
      <c r="D145" s="6"/>
      <c r="E145" s="6"/>
      <c r="F145" s="6"/>
      <c r="G145" s="12"/>
      <c r="H145" s="12"/>
      <c r="I145" s="9" t="str">
        <f t="shared" si="2"/>
        <v/>
      </c>
      <c r="J145" s="7"/>
      <c r="K145" s="6"/>
    </row>
    <row r="146" spans="1:11" x14ac:dyDescent="0.3">
      <c r="A146" s="6"/>
      <c r="B146" s="7"/>
      <c r="C146" s="6"/>
      <c r="D146" s="6"/>
      <c r="E146" s="6"/>
      <c r="F146" s="6"/>
      <c r="G146" s="12"/>
      <c r="H146" s="12"/>
      <c r="I146" s="9" t="str">
        <f t="shared" si="2"/>
        <v/>
      </c>
      <c r="J146" s="7"/>
      <c r="K146" s="6"/>
    </row>
    <row r="147" spans="1:11" x14ac:dyDescent="0.3">
      <c r="A147" s="6"/>
      <c r="B147" s="7"/>
      <c r="C147" s="6"/>
      <c r="D147" s="6"/>
      <c r="E147" s="6"/>
      <c r="F147" s="6"/>
      <c r="G147" s="12"/>
      <c r="H147" s="12"/>
      <c r="I147" s="9" t="str">
        <f t="shared" si="2"/>
        <v/>
      </c>
      <c r="J147" s="7"/>
      <c r="K147" s="6"/>
    </row>
    <row r="148" spans="1:11" x14ac:dyDescent="0.3">
      <c r="A148" s="6"/>
      <c r="B148" s="7"/>
      <c r="C148" s="6"/>
      <c r="D148" s="6"/>
      <c r="E148" s="6"/>
      <c r="F148" s="6"/>
      <c r="G148" s="12"/>
      <c r="H148" s="12"/>
      <c r="I148" s="9" t="str">
        <f t="shared" si="2"/>
        <v/>
      </c>
      <c r="J148" s="7"/>
      <c r="K148" s="6"/>
    </row>
    <row r="149" spans="1:11" x14ac:dyDescent="0.3">
      <c r="A149" s="6"/>
      <c r="B149" s="7"/>
      <c r="C149" s="6"/>
      <c r="D149" s="6"/>
      <c r="E149" s="6"/>
      <c r="F149" s="6"/>
      <c r="G149" s="12"/>
      <c r="H149" s="12"/>
      <c r="I149" s="9" t="str">
        <f t="shared" si="2"/>
        <v/>
      </c>
      <c r="J149" s="7"/>
      <c r="K149" s="6"/>
    </row>
    <row r="150" spans="1:11" x14ac:dyDescent="0.3">
      <c r="A150" s="6"/>
      <c r="B150" s="7"/>
      <c r="C150" s="6"/>
      <c r="D150" s="6"/>
      <c r="E150" s="6"/>
      <c r="F150" s="6"/>
      <c r="G150" s="12"/>
      <c r="H150" s="12"/>
      <c r="I150" s="9" t="str">
        <f t="shared" si="2"/>
        <v/>
      </c>
      <c r="J150" s="7"/>
      <c r="K150" s="6"/>
    </row>
    <row r="151" spans="1:11" x14ac:dyDescent="0.3">
      <c r="A151" s="6"/>
      <c r="B151" s="7"/>
      <c r="C151" s="6"/>
      <c r="D151" s="6"/>
      <c r="E151" s="6"/>
      <c r="F151" s="6"/>
      <c r="G151" s="12"/>
      <c r="H151" s="12"/>
      <c r="I151" s="9" t="str">
        <f t="shared" si="2"/>
        <v/>
      </c>
      <c r="J151" s="7"/>
      <c r="K151" s="6"/>
    </row>
    <row r="152" spans="1:11" x14ac:dyDescent="0.3">
      <c r="A152" s="6"/>
      <c r="B152" s="7"/>
      <c r="C152" s="6"/>
      <c r="D152" s="6"/>
      <c r="E152" s="6"/>
      <c r="F152" s="6"/>
      <c r="G152" s="12"/>
      <c r="H152" s="12"/>
      <c r="I152" s="9" t="str">
        <f t="shared" si="2"/>
        <v/>
      </c>
      <c r="J152" s="7"/>
      <c r="K152" s="6"/>
    </row>
    <row r="153" spans="1:11" x14ac:dyDescent="0.3">
      <c r="A153" s="6"/>
      <c r="B153" s="7"/>
      <c r="C153" s="6"/>
      <c r="D153" s="6"/>
      <c r="E153" s="6"/>
      <c r="F153" s="6"/>
      <c r="G153" s="12"/>
      <c r="H153" s="12"/>
      <c r="I153" s="9" t="str">
        <f t="shared" si="2"/>
        <v/>
      </c>
      <c r="J153" s="7"/>
      <c r="K153" s="6"/>
    </row>
    <row r="154" spans="1:11" x14ac:dyDescent="0.3">
      <c r="A154" s="6"/>
      <c r="B154" s="7"/>
      <c r="C154" s="6"/>
      <c r="D154" s="6"/>
      <c r="E154" s="6"/>
      <c r="F154" s="6"/>
      <c r="G154" s="12"/>
      <c r="H154" s="12"/>
      <c r="I154" s="9" t="str">
        <f t="shared" si="2"/>
        <v/>
      </c>
      <c r="J154" s="7"/>
      <c r="K154" s="6"/>
    </row>
    <row r="155" spans="1:11" x14ac:dyDescent="0.3">
      <c r="A155" s="6"/>
      <c r="B155" s="7"/>
      <c r="C155" s="6"/>
      <c r="D155" s="6"/>
      <c r="E155" s="6"/>
      <c r="F155" s="6"/>
      <c r="G155" s="12"/>
      <c r="H155" s="12"/>
      <c r="I155" s="9" t="str">
        <f t="shared" si="2"/>
        <v/>
      </c>
      <c r="J155" s="7"/>
      <c r="K155" s="6"/>
    </row>
    <row r="156" spans="1:11" x14ac:dyDescent="0.3">
      <c r="A156" s="6"/>
      <c r="B156" s="7"/>
      <c r="C156" s="6"/>
      <c r="D156" s="6"/>
      <c r="E156" s="6"/>
      <c r="F156" s="6"/>
      <c r="G156" s="12"/>
      <c r="H156" s="12"/>
      <c r="I156" s="9" t="str">
        <f t="shared" si="2"/>
        <v/>
      </c>
      <c r="J156" s="7"/>
      <c r="K156" s="6"/>
    </row>
    <row r="157" spans="1:11" x14ac:dyDescent="0.3">
      <c r="A157" s="6"/>
      <c r="B157" s="7"/>
      <c r="C157" s="6"/>
      <c r="D157" s="6"/>
      <c r="E157" s="6"/>
      <c r="F157" s="6"/>
      <c r="G157" s="12"/>
      <c r="H157" s="12"/>
      <c r="I157" s="9" t="str">
        <f t="shared" si="2"/>
        <v/>
      </c>
      <c r="J157" s="7"/>
      <c r="K157" s="6"/>
    </row>
    <row r="158" spans="1:11" x14ac:dyDescent="0.3">
      <c r="A158" s="6"/>
      <c r="B158" s="7"/>
      <c r="C158" s="6"/>
      <c r="D158" s="6"/>
      <c r="E158" s="6"/>
      <c r="F158" s="6"/>
      <c r="G158" s="12"/>
      <c r="H158" s="12"/>
      <c r="I158" s="9" t="str">
        <f t="shared" si="2"/>
        <v/>
      </c>
      <c r="J158" s="7"/>
      <c r="K158" s="6"/>
    </row>
    <row r="159" spans="1:11" x14ac:dyDescent="0.3">
      <c r="A159" s="6"/>
      <c r="B159" s="7"/>
      <c r="C159" s="6"/>
      <c r="D159" s="6"/>
      <c r="E159" s="6"/>
      <c r="F159" s="6"/>
      <c r="G159" s="12"/>
      <c r="H159" s="12"/>
      <c r="I159" s="9" t="str">
        <f t="shared" si="2"/>
        <v/>
      </c>
      <c r="J159" s="7"/>
      <c r="K159" s="6"/>
    </row>
    <row r="160" spans="1:11" x14ac:dyDescent="0.3">
      <c r="A160" s="6"/>
      <c r="B160" s="7"/>
      <c r="C160" s="6"/>
      <c r="D160" s="6"/>
      <c r="E160" s="6"/>
      <c r="F160" s="6"/>
      <c r="G160" s="12"/>
      <c r="H160" s="12"/>
      <c r="I160" s="9" t="str">
        <f t="shared" si="2"/>
        <v/>
      </c>
      <c r="J160" s="7"/>
      <c r="K160" s="6"/>
    </row>
    <row r="161" spans="1:11" x14ac:dyDescent="0.3">
      <c r="A161" s="6"/>
      <c r="B161" s="7"/>
      <c r="C161" s="6"/>
      <c r="D161" s="6"/>
      <c r="E161" s="6"/>
      <c r="F161" s="6"/>
      <c r="G161" s="12"/>
      <c r="H161" s="12"/>
      <c r="I161" s="9" t="str">
        <f t="shared" si="2"/>
        <v/>
      </c>
      <c r="J161" s="7"/>
      <c r="K161" s="6"/>
    </row>
    <row r="162" spans="1:11" x14ac:dyDescent="0.3">
      <c r="A162" s="6"/>
      <c r="B162" s="7"/>
      <c r="C162" s="6"/>
      <c r="D162" s="6"/>
      <c r="E162" s="6"/>
      <c r="F162" s="6"/>
      <c r="G162" s="12"/>
      <c r="H162" s="12"/>
      <c r="I162" s="9" t="str">
        <f t="shared" si="2"/>
        <v/>
      </c>
      <c r="J162" s="7"/>
      <c r="K162" s="6"/>
    </row>
    <row r="163" spans="1:11" x14ac:dyDescent="0.3">
      <c r="A163" s="6"/>
      <c r="B163" s="7"/>
      <c r="C163" s="6"/>
      <c r="D163" s="6"/>
      <c r="E163" s="6"/>
      <c r="F163" s="6"/>
      <c r="G163" s="12"/>
      <c r="H163" s="12"/>
      <c r="I163" s="9" t="str">
        <f t="shared" si="2"/>
        <v/>
      </c>
      <c r="J163" s="7"/>
      <c r="K163" s="6"/>
    </row>
    <row r="164" spans="1:11" x14ac:dyDescent="0.3">
      <c r="A164" s="6"/>
      <c r="B164" s="7"/>
      <c r="C164" s="6"/>
      <c r="D164" s="6"/>
      <c r="E164" s="6"/>
      <c r="F164" s="6"/>
      <c r="G164" s="12"/>
      <c r="H164" s="12"/>
      <c r="I164" s="9" t="str">
        <f t="shared" si="2"/>
        <v/>
      </c>
      <c r="J164" s="7"/>
      <c r="K164" s="6"/>
    </row>
    <row r="165" spans="1:11" x14ac:dyDescent="0.3">
      <c r="A165" s="6"/>
      <c r="B165" s="7"/>
      <c r="C165" s="6"/>
      <c r="D165" s="6"/>
      <c r="E165" s="6"/>
      <c r="F165" s="6"/>
      <c r="G165" s="12"/>
      <c r="H165" s="12"/>
      <c r="I165" s="9" t="str">
        <f t="shared" si="2"/>
        <v/>
      </c>
      <c r="J165" s="7"/>
      <c r="K165" s="6"/>
    </row>
    <row r="166" spans="1:11" x14ac:dyDescent="0.3">
      <c r="A166" s="6"/>
      <c r="B166" s="7"/>
      <c r="C166" s="6"/>
      <c r="D166" s="6"/>
      <c r="E166" s="6"/>
      <c r="F166" s="6"/>
      <c r="G166" s="12"/>
      <c r="H166" s="12"/>
      <c r="I166" s="9" t="str">
        <f t="shared" si="2"/>
        <v/>
      </c>
      <c r="J166" s="7"/>
      <c r="K166" s="6"/>
    </row>
    <row r="167" spans="1:11" x14ac:dyDescent="0.3">
      <c r="A167" s="6"/>
      <c r="B167" s="7"/>
      <c r="C167" s="6"/>
      <c r="D167" s="6"/>
      <c r="E167" s="6"/>
      <c r="F167" s="6"/>
      <c r="G167" s="12"/>
      <c r="H167" s="12"/>
      <c r="I167" s="9" t="str">
        <f t="shared" si="2"/>
        <v/>
      </c>
      <c r="J167" s="7"/>
      <c r="K167" s="6"/>
    </row>
    <row r="168" spans="1:11" x14ac:dyDescent="0.3">
      <c r="A168" s="6"/>
      <c r="B168" s="7"/>
      <c r="C168" s="6"/>
      <c r="D168" s="6"/>
      <c r="E168" s="6"/>
      <c r="F168" s="6"/>
      <c r="G168" s="12"/>
      <c r="H168" s="12"/>
      <c r="I168" s="9" t="str">
        <f t="shared" si="2"/>
        <v/>
      </c>
      <c r="J168" s="7"/>
      <c r="K168" s="6"/>
    </row>
    <row r="169" spans="1:11" x14ac:dyDescent="0.3">
      <c r="A169" s="6"/>
      <c r="B169" s="7"/>
      <c r="C169" s="6"/>
      <c r="D169" s="6"/>
      <c r="E169" s="6"/>
      <c r="F169" s="6"/>
      <c r="G169" s="12"/>
      <c r="H169" s="12"/>
      <c r="I169" s="9" t="str">
        <f t="shared" si="2"/>
        <v/>
      </c>
      <c r="J169" s="7"/>
      <c r="K169" s="6"/>
    </row>
    <row r="170" spans="1:11" x14ac:dyDescent="0.3">
      <c r="A170" s="6"/>
      <c r="B170" s="7"/>
      <c r="C170" s="6"/>
      <c r="D170" s="6"/>
      <c r="E170" s="6"/>
      <c r="F170" s="6"/>
      <c r="G170" s="12"/>
      <c r="H170" s="12"/>
      <c r="I170" s="9" t="str">
        <f t="shared" si="2"/>
        <v/>
      </c>
      <c r="J170" s="7"/>
      <c r="K170" s="6"/>
    </row>
    <row r="171" spans="1:11" x14ac:dyDescent="0.3">
      <c r="A171" s="6"/>
      <c r="B171" s="7"/>
      <c r="C171" s="6"/>
      <c r="D171" s="6"/>
      <c r="E171" s="6"/>
      <c r="F171" s="6"/>
      <c r="G171" s="12"/>
      <c r="H171" s="12"/>
      <c r="I171" s="9" t="str">
        <f t="shared" si="2"/>
        <v/>
      </c>
      <c r="J171" s="7"/>
      <c r="K171" s="6"/>
    </row>
    <row r="172" spans="1:11" x14ac:dyDescent="0.3">
      <c r="A172" s="6"/>
      <c r="B172" s="7"/>
      <c r="C172" s="6"/>
      <c r="D172" s="6"/>
      <c r="E172" s="6"/>
      <c r="F172" s="6"/>
      <c r="G172" s="12"/>
      <c r="H172" s="12"/>
      <c r="I172" s="9" t="str">
        <f t="shared" si="2"/>
        <v/>
      </c>
      <c r="J172" s="7"/>
      <c r="K172" s="6"/>
    </row>
    <row r="173" spans="1:11" x14ac:dyDescent="0.3">
      <c r="A173" s="6"/>
      <c r="B173" s="7"/>
      <c r="C173" s="6"/>
      <c r="D173" s="6"/>
      <c r="E173" s="6"/>
      <c r="F173" s="6"/>
      <c r="G173" s="12"/>
      <c r="H173" s="12"/>
      <c r="I173" s="9" t="str">
        <f t="shared" si="2"/>
        <v/>
      </c>
      <c r="J173" s="7"/>
      <c r="K173" s="6"/>
    </row>
    <row r="174" spans="1:11" x14ac:dyDescent="0.3">
      <c r="A174" s="6"/>
      <c r="B174" s="7"/>
      <c r="C174" s="6"/>
      <c r="D174" s="6"/>
      <c r="E174" s="6"/>
      <c r="F174" s="6"/>
      <c r="G174" s="12"/>
      <c r="H174" s="12"/>
      <c r="I174" s="9" t="str">
        <f t="shared" si="2"/>
        <v/>
      </c>
      <c r="J174" s="7"/>
      <c r="K174" s="6"/>
    </row>
    <row r="175" spans="1:11" x14ac:dyDescent="0.3">
      <c r="A175" s="6"/>
      <c r="B175" s="7"/>
      <c r="C175" s="6"/>
      <c r="D175" s="6"/>
      <c r="E175" s="6"/>
      <c r="F175" s="6"/>
      <c r="G175" s="12"/>
      <c r="H175" s="12"/>
      <c r="I175" s="9" t="str">
        <f t="shared" si="2"/>
        <v/>
      </c>
      <c r="J175" s="7"/>
      <c r="K175" s="6"/>
    </row>
    <row r="176" spans="1:11" x14ac:dyDescent="0.3">
      <c r="A176" s="6"/>
      <c r="B176" s="7"/>
      <c r="C176" s="6"/>
      <c r="D176" s="6"/>
      <c r="E176" s="6"/>
      <c r="F176" s="6"/>
      <c r="G176" s="12"/>
      <c r="H176" s="12"/>
      <c r="I176" s="9" t="str">
        <f t="shared" si="2"/>
        <v/>
      </c>
      <c r="J176" s="7"/>
      <c r="K176" s="6"/>
    </row>
    <row r="177" spans="1:11" x14ac:dyDescent="0.3">
      <c r="A177" s="6"/>
      <c r="B177" s="7"/>
      <c r="C177" s="6"/>
      <c r="D177" s="6"/>
      <c r="E177" s="6"/>
      <c r="F177" s="6"/>
      <c r="G177" s="12"/>
      <c r="H177" s="12"/>
      <c r="I177" s="9" t="str">
        <f t="shared" si="2"/>
        <v/>
      </c>
      <c r="J177" s="7"/>
      <c r="K177" s="6"/>
    </row>
    <row r="178" spans="1:11" x14ac:dyDescent="0.3">
      <c r="A178" s="6"/>
      <c r="B178" s="7"/>
      <c r="C178" s="6"/>
      <c r="D178" s="6"/>
      <c r="E178" s="6"/>
      <c r="F178" s="6"/>
      <c r="G178" s="12"/>
      <c r="H178" s="12"/>
      <c r="I178" s="9" t="str">
        <f t="shared" si="2"/>
        <v/>
      </c>
      <c r="J178" s="7"/>
      <c r="K178" s="6"/>
    </row>
    <row r="179" spans="1:11" x14ac:dyDescent="0.3">
      <c r="A179" s="6"/>
      <c r="B179" s="7"/>
      <c r="C179" s="6"/>
      <c r="D179" s="6"/>
      <c r="E179" s="6"/>
      <c r="F179" s="6"/>
      <c r="G179" s="12"/>
      <c r="H179" s="12"/>
      <c r="I179" s="9" t="str">
        <f t="shared" si="2"/>
        <v/>
      </c>
      <c r="J179" s="7"/>
      <c r="K179" s="6"/>
    </row>
    <row r="180" spans="1:11" x14ac:dyDescent="0.3">
      <c r="A180" s="6"/>
      <c r="B180" s="7"/>
      <c r="C180" s="6"/>
      <c r="D180" s="6"/>
      <c r="E180" s="6"/>
      <c r="F180" s="6"/>
      <c r="G180" s="12"/>
      <c r="H180" s="12"/>
      <c r="I180" s="9" t="str">
        <f t="shared" si="2"/>
        <v/>
      </c>
      <c r="J180" s="7"/>
      <c r="K180" s="6"/>
    </row>
    <row r="181" spans="1:11" x14ac:dyDescent="0.3">
      <c r="A181" s="6"/>
      <c r="B181" s="7"/>
      <c r="C181" s="6"/>
      <c r="D181" s="6"/>
      <c r="E181" s="6"/>
      <c r="F181" s="6"/>
      <c r="G181" s="12"/>
      <c r="H181" s="12"/>
      <c r="I181" s="9" t="str">
        <f t="shared" ref="I181:I244" si="3">IF(AND(G181&lt;&gt;"",H181&lt;&gt;""),MOD(H181-G181,1)*24,"")</f>
        <v/>
      </c>
      <c r="J181" s="7"/>
      <c r="K181" s="6"/>
    </row>
    <row r="182" spans="1:11" x14ac:dyDescent="0.3">
      <c r="A182" s="6"/>
      <c r="B182" s="7"/>
      <c r="C182" s="6"/>
      <c r="D182" s="6"/>
      <c r="E182" s="6"/>
      <c r="F182" s="6"/>
      <c r="G182" s="12"/>
      <c r="H182" s="12"/>
      <c r="I182" s="9" t="str">
        <f t="shared" si="3"/>
        <v/>
      </c>
      <c r="J182" s="7"/>
      <c r="K182" s="6"/>
    </row>
    <row r="183" spans="1:11" x14ac:dyDescent="0.3">
      <c r="A183" s="6"/>
      <c r="B183" s="7"/>
      <c r="C183" s="6"/>
      <c r="D183" s="6"/>
      <c r="E183" s="6"/>
      <c r="F183" s="6"/>
      <c r="G183" s="12"/>
      <c r="H183" s="12"/>
      <c r="I183" s="9" t="str">
        <f t="shared" si="3"/>
        <v/>
      </c>
      <c r="J183" s="7"/>
      <c r="K183" s="6"/>
    </row>
    <row r="184" spans="1:11" x14ac:dyDescent="0.3">
      <c r="A184" s="6"/>
      <c r="B184" s="7"/>
      <c r="C184" s="6"/>
      <c r="D184" s="6"/>
      <c r="E184" s="6"/>
      <c r="F184" s="6"/>
      <c r="G184" s="12"/>
      <c r="H184" s="12"/>
      <c r="I184" s="9" t="str">
        <f t="shared" si="3"/>
        <v/>
      </c>
      <c r="J184" s="7"/>
      <c r="K184" s="6"/>
    </row>
    <row r="185" spans="1:11" x14ac:dyDescent="0.3">
      <c r="A185" s="6"/>
      <c r="B185" s="7"/>
      <c r="C185" s="6"/>
      <c r="D185" s="6"/>
      <c r="E185" s="6"/>
      <c r="F185" s="6"/>
      <c r="G185" s="12"/>
      <c r="H185" s="12"/>
      <c r="I185" s="9" t="str">
        <f t="shared" si="3"/>
        <v/>
      </c>
      <c r="J185" s="7"/>
      <c r="K185" s="6"/>
    </row>
    <row r="186" spans="1:11" x14ac:dyDescent="0.3">
      <c r="A186" s="6"/>
      <c r="B186" s="7"/>
      <c r="C186" s="6"/>
      <c r="D186" s="6"/>
      <c r="E186" s="6"/>
      <c r="F186" s="6"/>
      <c r="G186" s="12"/>
      <c r="H186" s="12"/>
      <c r="I186" s="9" t="str">
        <f t="shared" si="3"/>
        <v/>
      </c>
      <c r="J186" s="7"/>
      <c r="K186" s="6"/>
    </row>
    <row r="187" spans="1:11" x14ac:dyDescent="0.3">
      <c r="A187" s="6"/>
      <c r="B187" s="7"/>
      <c r="C187" s="6"/>
      <c r="D187" s="6"/>
      <c r="E187" s="6"/>
      <c r="F187" s="6"/>
      <c r="G187" s="12"/>
      <c r="H187" s="12"/>
      <c r="I187" s="9" t="str">
        <f t="shared" si="3"/>
        <v/>
      </c>
      <c r="J187" s="7"/>
      <c r="K187" s="6"/>
    </row>
    <row r="188" spans="1:11" x14ac:dyDescent="0.3">
      <c r="A188" s="6"/>
      <c r="B188" s="7"/>
      <c r="C188" s="6"/>
      <c r="D188" s="6"/>
      <c r="E188" s="6"/>
      <c r="F188" s="6"/>
      <c r="G188" s="12"/>
      <c r="H188" s="12"/>
      <c r="I188" s="9" t="str">
        <f t="shared" si="3"/>
        <v/>
      </c>
      <c r="J188" s="7"/>
      <c r="K188" s="6"/>
    </row>
    <row r="189" spans="1:11" x14ac:dyDescent="0.3">
      <c r="A189" s="6"/>
      <c r="B189" s="7"/>
      <c r="C189" s="6"/>
      <c r="D189" s="6"/>
      <c r="E189" s="6"/>
      <c r="F189" s="6"/>
      <c r="G189" s="12"/>
      <c r="H189" s="12"/>
      <c r="I189" s="9" t="str">
        <f t="shared" si="3"/>
        <v/>
      </c>
      <c r="J189" s="7"/>
      <c r="K189" s="6"/>
    </row>
    <row r="190" spans="1:11" x14ac:dyDescent="0.3">
      <c r="A190" s="6"/>
      <c r="B190" s="7"/>
      <c r="C190" s="6"/>
      <c r="D190" s="6"/>
      <c r="E190" s="6"/>
      <c r="F190" s="6"/>
      <c r="G190" s="12"/>
      <c r="H190" s="12"/>
      <c r="I190" s="9" t="str">
        <f t="shared" si="3"/>
        <v/>
      </c>
      <c r="J190" s="7"/>
      <c r="K190" s="6"/>
    </row>
    <row r="191" spans="1:11" x14ac:dyDescent="0.3">
      <c r="A191" s="6"/>
      <c r="B191" s="7"/>
      <c r="C191" s="6"/>
      <c r="D191" s="6"/>
      <c r="E191" s="6"/>
      <c r="F191" s="6"/>
      <c r="G191" s="12"/>
      <c r="H191" s="12"/>
      <c r="I191" s="9" t="str">
        <f t="shared" si="3"/>
        <v/>
      </c>
      <c r="J191" s="7"/>
      <c r="K191" s="6"/>
    </row>
    <row r="192" spans="1:11" x14ac:dyDescent="0.3">
      <c r="A192" s="6"/>
      <c r="B192" s="7"/>
      <c r="C192" s="6"/>
      <c r="D192" s="6"/>
      <c r="E192" s="6"/>
      <c r="F192" s="6"/>
      <c r="G192" s="12"/>
      <c r="H192" s="12"/>
      <c r="I192" s="9" t="str">
        <f t="shared" si="3"/>
        <v/>
      </c>
      <c r="J192" s="7"/>
      <c r="K192" s="6"/>
    </row>
    <row r="193" spans="1:11" x14ac:dyDescent="0.3">
      <c r="A193" s="6"/>
      <c r="B193" s="7"/>
      <c r="C193" s="6"/>
      <c r="D193" s="6"/>
      <c r="E193" s="6"/>
      <c r="F193" s="6"/>
      <c r="G193" s="12"/>
      <c r="H193" s="12"/>
      <c r="I193" s="9" t="str">
        <f t="shared" si="3"/>
        <v/>
      </c>
      <c r="J193" s="7"/>
      <c r="K193" s="6"/>
    </row>
    <row r="194" spans="1:11" x14ac:dyDescent="0.3">
      <c r="A194" s="6"/>
      <c r="B194" s="7"/>
      <c r="C194" s="6"/>
      <c r="D194" s="6"/>
      <c r="E194" s="6"/>
      <c r="F194" s="6"/>
      <c r="G194" s="12"/>
      <c r="H194" s="12"/>
      <c r="I194" s="9" t="str">
        <f t="shared" si="3"/>
        <v/>
      </c>
      <c r="J194" s="7"/>
      <c r="K194" s="6"/>
    </row>
    <row r="195" spans="1:11" x14ac:dyDescent="0.3">
      <c r="A195" s="6"/>
      <c r="B195" s="7"/>
      <c r="C195" s="6"/>
      <c r="D195" s="6"/>
      <c r="E195" s="6"/>
      <c r="F195" s="6"/>
      <c r="G195" s="12"/>
      <c r="H195" s="12"/>
      <c r="I195" s="9" t="str">
        <f t="shared" si="3"/>
        <v/>
      </c>
      <c r="J195" s="7"/>
      <c r="K195" s="6"/>
    </row>
    <row r="196" spans="1:11" x14ac:dyDescent="0.3">
      <c r="A196" s="6"/>
      <c r="B196" s="7"/>
      <c r="C196" s="6"/>
      <c r="D196" s="6"/>
      <c r="E196" s="6"/>
      <c r="F196" s="6"/>
      <c r="G196" s="12"/>
      <c r="H196" s="12"/>
      <c r="I196" s="9" t="str">
        <f t="shared" si="3"/>
        <v/>
      </c>
      <c r="J196" s="7"/>
      <c r="K196" s="6"/>
    </row>
    <row r="197" spans="1:11" x14ac:dyDescent="0.3">
      <c r="A197" s="6"/>
      <c r="B197" s="7"/>
      <c r="C197" s="6"/>
      <c r="D197" s="6"/>
      <c r="E197" s="6"/>
      <c r="F197" s="6"/>
      <c r="G197" s="12"/>
      <c r="H197" s="12"/>
      <c r="I197" s="9" t="str">
        <f t="shared" si="3"/>
        <v/>
      </c>
      <c r="J197" s="7"/>
      <c r="K197" s="6"/>
    </row>
    <row r="198" spans="1:11" x14ac:dyDescent="0.3">
      <c r="A198" s="6"/>
      <c r="B198" s="7"/>
      <c r="C198" s="6"/>
      <c r="D198" s="6"/>
      <c r="E198" s="6"/>
      <c r="F198" s="6"/>
      <c r="G198" s="12"/>
      <c r="H198" s="12"/>
      <c r="I198" s="9" t="str">
        <f t="shared" si="3"/>
        <v/>
      </c>
      <c r="J198" s="7"/>
      <c r="K198" s="6"/>
    </row>
    <row r="199" spans="1:11" x14ac:dyDescent="0.3">
      <c r="A199" s="6"/>
      <c r="B199" s="7"/>
      <c r="C199" s="6"/>
      <c r="D199" s="6"/>
      <c r="E199" s="6"/>
      <c r="F199" s="6"/>
      <c r="G199" s="12"/>
      <c r="H199" s="12"/>
      <c r="I199" s="9" t="str">
        <f t="shared" si="3"/>
        <v/>
      </c>
      <c r="J199" s="7"/>
      <c r="K199" s="6"/>
    </row>
    <row r="200" spans="1:11" x14ac:dyDescent="0.3">
      <c r="A200" s="6"/>
      <c r="B200" s="7"/>
      <c r="C200" s="6"/>
      <c r="D200" s="6"/>
      <c r="E200" s="6"/>
      <c r="F200" s="6"/>
      <c r="G200" s="12"/>
      <c r="H200" s="12"/>
      <c r="I200" s="9" t="str">
        <f t="shared" si="3"/>
        <v/>
      </c>
      <c r="J200" s="7"/>
      <c r="K200" s="6"/>
    </row>
    <row r="201" spans="1:11" x14ac:dyDescent="0.3">
      <c r="A201" s="6"/>
      <c r="B201" s="7"/>
      <c r="C201" s="6"/>
      <c r="D201" s="6"/>
      <c r="E201" s="6"/>
      <c r="F201" s="6"/>
      <c r="G201" s="12"/>
      <c r="H201" s="12"/>
      <c r="I201" s="9" t="str">
        <f t="shared" si="3"/>
        <v/>
      </c>
      <c r="J201" s="7"/>
      <c r="K201" s="6"/>
    </row>
    <row r="202" spans="1:11" x14ac:dyDescent="0.3">
      <c r="A202" s="6"/>
      <c r="B202" s="7"/>
      <c r="C202" s="6"/>
      <c r="D202" s="6"/>
      <c r="E202" s="6"/>
      <c r="F202" s="6"/>
      <c r="G202" s="12"/>
      <c r="H202" s="12"/>
      <c r="I202" s="9" t="str">
        <f t="shared" si="3"/>
        <v/>
      </c>
      <c r="J202" s="7"/>
      <c r="K202" s="6"/>
    </row>
    <row r="203" spans="1:11" x14ac:dyDescent="0.3">
      <c r="A203" s="6"/>
      <c r="B203" s="7"/>
      <c r="C203" s="6"/>
      <c r="D203" s="6"/>
      <c r="E203" s="6"/>
      <c r="F203" s="6"/>
      <c r="G203" s="12"/>
      <c r="H203" s="12"/>
      <c r="I203" s="9" t="str">
        <f t="shared" si="3"/>
        <v/>
      </c>
      <c r="J203" s="7"/>
      <c r="K203" s="6"/>
    </row>
    <row r="204" spans="1:11" x14ac:dyDescent="0.3">
      <c r="A204" s="6"/>
      <c r="B204" s="7"/>
      <c r="C204" s="6"/>
      <c r="D204" s="6"/>
      <c r="E204" s="6"/>
      <c r="F204" s="6"/>
      <c r="G204" s="12"/>
      <c r="H204" s="12"/>
      <c r="I204" s="9" t="str">
        <f t="shared" si="3"/>
        <v/>
      </c>
      <c r="J204" s="7"/>
      <c r="K204" s="6"/>
    </row>
    <row r="205" spans="1:11" x14ac:dyDescent="0.3">
      <c r="A205" s="6"/>
      <c r="B205" s="7"/>
      <c r="C205" s="6"/>
      <c r="D205" s="6"/>
      <c r="E205" s="6"/>
      <c r="F205" s="6"/>
      <c r="G205" s="12"/>
      <c r="H205" s="12"/>
      <c r="I205" s="9" t="str">
        <f t="shared" si="3"/>
        <v/>
      </c>
      <c r="J205" s="7"/>
      <c r="K205" s="6"/>
    </row>
    <row r="206" spans="1:11" x14ac:dyDescent="0.3">
      <c r="A206" s="6"/>
      <c r="B206" s="7"/>
      <c r="C206" s="6"/>
      <c r="D206" s="6"/>
      <c r="E206" s="6"/>
      <c r="F206" s="6"/>
      <c r="G206" s="12"/>
      <c r="H206" s="12"/>
      <c r="I206" s="9" t="str">
        <f t="shared" si="3"/>
        <v/>
      </c>
      <c r="J206" s="7"/>
      <c r="K206" s="6"/>
    </row>
    <row r="207" spans="1:11" x14ac:dyDescent="0.3">
      <c r="A207" s="6"/>
      <c r="B207" s="7"/>
      <c r="C207" s="6"/>
      <c r="D207" s="6"/>
      <c r="E207" s="6"/>
      <c r="F207" s="6"/>
      <c r="G207" s="12"/>
      <c r="H207" s="12"/>
      <c r="I207" s="9" t="str">
        <f t="shared" si="3"/>
        <v/>
      </c>
      <c r="J207" s="7"/>
      <c r="K207" s="6"/>
    </row>
    <row r="208" spans="1:11" x14ac:dyDescent="0.3">
      <c r="A208" s="6"/>
      <c r="B208" s="7"/>
      <c r="C208" s="6"/>
      <c r="D208" s="6"/>
      <c r="E208" s="6"/>
      <c r="F208" s="6"/>
      <c r="G208" s="12"/>
      <c r="H208" s="12"/>
      <c r="I208" s="9" t="str">
        <f t="shared" si="3"/>
        <v/>
      </c>
      <c r="J208" s="7"/>
      <c r="K208" s="6"/>
    </row>
    <row r="209" spans="1:11" x14ac:dyDescent="0.3">
      <c r="A209" s="6"/>
      <c r="B209" s="7"/>
      <c r="C209" s="6"/>
      <c r="D209" s="6"/>
      <c r="E209" s="6"/>
      <c r="F209" s="6"/>
      <c r="G209" s="12"/>
      <c r="H209" s="12"/>
      <c r="I209" s="9" t="str">
        <f t="shared" si="3"/>
        <v/>
      </c>
      <c r="J209" s="7"/>
      <c r="K209" s="6"/>
    </row>
    <row r="210" spans="1:11" x14ac:dyDescent="0.3">
      <c r="A210" s="6"/>
      <c r="B210" s="7"/>
      <c r="C210" s="6"/>
      <c r="D210" s="6"/>
      <c r="E210" s="6"/>
      <c r="F210" s="6"/>
      <c r="G210" s="12"/>
      <c r="H210" s="12"/>
      <c r="I210" s="9" t="str">
        <f t="shared" si="3"/>
        <v/>
      </c>
      <c r="J210" s="7"/>
      <c r="K210" s="6"/>
    </row>
    <row r="211" spans="1:11" x14ac:dyDescent="0.3">
      <c r="A211" s="6"/>
      <c r="B211" s="7"/>
      <c r="C211" s="6"/>
      <c r="D211" s="6"/>
      <c r="E211" s="6"/>
      <c r="F211" s="6"/>
      <c r="G211" s="12"/>
      <c r="H211" s="12"/>
      <c r="I211" s="9" t="str">
        <f t="shared" si="3"/>
        <v/>
      </c>
      <c r="J211" s="7"/>
      <c r="K211" s="6"/>
    </row>
    <row r="212" spans="1:11" x14ac:dyDescent="0.3">
      <c r="A212" s="6"/>
      <c r="B212" s="7"/>
      <c r="C212" s="6"/>
      <c r="D212" s="6"/>
      <c r="E212" s="6"/>
      <c r="F212" s="6"/>
      <c r="G212" s="12"/>
      <c r="H212" s="12"/>
      <c r="I212" s="9" t="str">
        <f t="shared" si="3"/>
        <v/>
      </c>
      <c r="J212" s="7"/>
      <c r="K212" s="6"/>
    </row>
    <row r="213" spans="1:11" x14ac:dyDescent="0.3">
      <c r="A213" s="6"/>
      <c r="B213" s="7"/>
      <c r="C213" s="6"/>
      <c r="D213" s="6"/>
      <c r="E213" s="6"/>
      <c r="F213" s="6"/>
      <c r="G213" s="12"/>
      <c r="H213" s="12"/>
      <c r="I213" s="9" t="str">
        <f t="shared" si="3"/>
        <v/>
      </c>
      <c r="J213" s="7"/>
      <c r="K213" s="6"/>
    </row>
    <row r="214" spans="1:11" x14ac:dyDescent="0.3">
      <c r="A214" s="6"/>
      <c r="B214" s="7"/>
      <c r="C214" s="6"/>
      <c r="D214" s="6"/>
      <c r="E214" s="6"/>
      <c r="F214" s="6"/>
      <c r="G214" s="12"/>
      <c r="H214" s="12"/>
      <c r="I214" s="9" t="str">
        <f t="shared" si="3"/>
        <v/>
      </c>
      <c r="J214" s="7"/>
      <c r="K214" s="6"/>
    </row>
    <row r="215" spans="1:11" x14ac:dyDescent="0.3">
      <c r="A215" s="6"/>
      <c r="B215" s="7"/>
      <c r="C215" s="6"/>
      <c r="D215" s="6"/>
      <c r="E215" s="6"/>
      <c r="F215" s="6"/>
      <c r="G215" s="12"/>
      <c r="H215" s="12"/>
      <c r="I215" s="9" t="str">
        <f t="shared" si="3"/>
        <v/>
      </c>
      <c r="J215" s="7"/>
      <c r="K215" s="6"/>
    </row>
    <row r="216" spans="1:11" x14ac:dyDescent="0.3">
      <c r="A216" s="6"/>
      <c r="B216" s="7"/>
      <c r="C216" s="6"/>
      <c r="D216" s="6"/>
      <c r="E216" s="6"/>
      <c r="F216" s="6"/>
      <c r="G216" s="12"/>
      <c r="H216" s="12"/>
      <c r="I216" s="9" t="str">
        <f t="shared" si="3"/>
        <v/>
      </c>
      <c r="J216" s="7"/>
      <c r="K216" s="6"/>
    </row>
    <row r="217" spans="1:11" x14ac:dyDescent="0.3">
      <c r="A217" s="6"/>
      <c r="B217" s="7"/>
      <c r="C217" s="6"/>
      <c r="D217" s="6"/>
      <c r="E217" s="6"/>
      <c r="F217" s="6"/>
      <c r="G217" s="12"/>
      <c r="H217" s="12"/>
      <c r="I217" s="9" t="str">
        <f t="shared" si="3"/>
        <v/>
      </c>
      <c r="J217" s="7"/>
      <c r="K217" s="6"/>
    </row>
    <row r="218" spans="1:11" x14ac:dyDescent="0.3">
      <c r="A218" s="6"/>
      <c r="B218" s="7"/>
      <c r="C218" s="6"/>
      <c r="D218" s="6"/>
      <c r="E218" s="6"/>
      <c r="F218" s="6"/>
      <c r="G218" s="12"/>
      <c r="H218" s="12"/>
      <c r="I218" s="9" t="str">
        <f t="shared" si="3"/>
        <v/>
      </c>
      <c r="J218" s="7"/>
      <c r="K218" s="6"/>
    </row>
    <row r="219" spans="1:11" x14ac:dyDescent="0.3">
      <c r="A219" s="6"/>
      <c r="B219" s="7"/>
      <c r="C219" s="6"/>
      <c r="D219" s="6"/>
      <c r="E219" s="6"/>
      <c r="F219" s="6"/>
      <c r="G219" s="12"/>
      <c r="H219" s="12"/>
      <c r="I219" s="9" t="str">
        <f t="shared" si="3"/>
        <v/>
      </c>
      <c r="J219" s="7"/>
      <c r="K219" s="6"/>
    </row>
    <row r="220" spans="1:11" x14ac:dyDescent="0.3">
      <c r="A220" s="6"/>
      <c r="B220" s="7"/>
      <c r="C220" s="6"/>
      <c r="D220" s="6"/>
      <c r="E220" s="6"/>
      <c r="F220" s="6"/>
      <c r="G220" s="12"/>
      <c r="H220" s="12"/>
      <c r="I220" s="9" t="str">
        <f t="shared" si="3"/>
        <v/>
      </c>
      <c r="J220" s="7"/>
      <c r="K220" s="6"/>
    </row>
    <row r="221" spans="1:11" x14ac:dyDescent="0.3">
      <c r="A221" s="6"/>
      <c r="B221" s="7"/>
      <c r="C221" s="6"/>
      <c r="D221" s="6"/>
      <c r="E221" s="6"/>
      <c r="F221" s="6"/>
      <c r="G221" s="12"/>
      <c r="H221" s="12"/>
      <c r="I221" s="9" t="str">
        <f t="shared" si="3"/>
        <v/>
      </c>
      <c r="J221" s="7"/>
      <c r="K221" s="6"/>
    </row>
    <row r="222" spans="1:11" x14ac:dyDescent="0.3">
      <c r="A222" s="6"/>
      <c r="B222" s="7"/>
      <c r="C222" s="6"/>
      <c r="D222" s="6"/>
      <c r="E222" s="6"/>
      <c r="F222" s="6"/>
      <c r="G222" s="12"/>
      <c r="H222" s="12"/>
      <c r="I222" s="9" t="str">
        <f t="shared" si="3"/>
        <v/>
      </c>
      <c r="J222" s="7"/>
      <c r="K222" s="6"/>
    </row>
    <row r="223" spans="1:11" x14ac:dyDescent="0.3">
      <c r="A223" s="6"/>
      <c r="B223" s="7"/>
      <c r="C223" s="6"/>
      <c r="D223" s="6"/>
      <c r="E223" s="6"/>
      <c r="F223" s="6"/>
      <c r="G223" s="12"/>
      <c r="H223" s="12"/>
      <c r="I223" s="9" t="str">
        <f t="shared" si="3"/>
        <v/>
      </c>
      <c r="J223" s="7"/>
      <c r="K223" s="6"/>
    </row>
    <row r="224" spans="1:11" x14ac:dyDescent="0.3">
      <c r="A224" s="6"/>
      <c r="B224" s="7"/>
      <c r="C224" s="6"/>
      <c r="D224" s="6"/>
      <c r="E224" s="6"/>
      <c r="F224" s="6"/>
      <c r="G224" s="12"/>
      <c r="H224" s="12"/>
      <c r="I224" s="9" t="str">
        <f t="shared" si="3"/>
        <v/>
      </c>
      <c r="J224" s="7"/>
      <c r="K224" s="6"/>
    </row>
    <row r="225" spans="1:11" x14ac:dyDescent="0.3">
      <c r="A225" s="6"/>
      <c r="B225" s="7"/>
      <c r="C225" s="6"/>
      <c r="D225" s="6"/>
      <c r="E225" s="6"/>
      <c r="F225" s="6"/>
      <c r="G225" s="12"/>
      <c r="H225" s="12"/>
      <c r="I225" s="9" t="str">
        <f t="shared" si="3"/>
        <v/>
      </c>
      <c r="J225" s="7"/>
      <c r="K225" s="6"/>
    </row>
    <row r="226" spans="1:11" x14ac:dyDescent="0.3">
      <c r="A226" s="6"/>
      <c r="B226" s="7"/>
      <c r="C226" s="6"/>
      <c r="D226" s="6"/>
      <c r="E226" s="6"/>
      <c r="F226" s="6"/>
      <c r="G226" s="12"/>
      <c r="H226" s="12"/>
      <c r="I226" s="9" t="str">
        <f t="shared" si="3"/>
        <v/>
      </c>
      <c r="J226" s="7"/>
      <c r="K226" s="6"/>
    </row>
    <row r="227" spans="1:11" x14ac:dyDescent="0.3">
      <c r="A227" s="6"/>
      <c r="B227" s="7"/>
      <c r="C227" s="6"/>
      <c r="D227" s="6"/>
      <c r="E227" s="6"/>
      <c r="F227" s="6"/>
      <c r="G227" s="12"/>
      <c r="H227" s="12"/>
      <c r="I227" s="9" t="str">
        <f t="shared" si="3"/>
        <v/>
      </c>
      <c r="J227" s="7"/>
      <c r="K227" s="6"/>
    </row>
    <row r="228" spans="1:11" x14ac:dyDescent="0.3">
      <c r="A228" s="6"/>
      <c r="B228" s="7"/>
      <c r="C228" s="6"/>
      <c r="D228" s="6"/>
      <c r="E228" s="6"/>
      <c r="F228" s="6"/>
      <c r="G228" s="12"/>
      <c r="H228" s="12"/>
      <c r="I228" s="9" t="str">
        <f t="shared" si="3"/>
        <v/>
      </c>
      <c r="J228" s="7"/>
      <c r="K228" s="6"/>
    </row>
    <row r="229" spans="1:11" x14ac:dyDescent="0.3">
      <c r="A229" s="6"/>
      <c r="B229" s="7"/>
      <c r="C229" s="6"/>
      <c r="D229" s="6"/>
      <c r="E229" s="6"/>
      <c r="F229" s="6"/>
      <c r="G229" s="12"/>
      <c r="H229" s="12"/>
      <c r="I229" s="9" t="str">
        <f t="shared" si="3"/>
        <v/>
      </c>
      <c r="J229" s="7"/>
      <c r="K229" s="6"/>
    </row>
    <row r="230" spans="1:11" x14ac:dyDescent="0.3">
      <c r="A230" s="6"/>
      <c r="B230" s="7"/>
      <c r="C230" s="6"/>
      <c r="D230" s="6"/>
      <c r="E230" s="6"/>
      <c r="F230" s="6"/>
      <c r="G230" s="12"/>
      <c r="H230" s="12"/>
      <c r="I230" s="9" t="str">
        <f t="shared" si="3"/>
        <v/>
      </c>
      <c r="J230" s="7"/>
      <c r="K230" s="6"/>
    </row>
    <row r="231" spans="1:11" x14ac:dyDescent="0.3">
      <c r="A231" s="6"/>
      <c r="B231" s="7"/>
      <c r="C231" s="6"/>
      <c r="D231" s="6"/>
      <c r="E231" s="6"/>
      <c r="F231" s="6"/>
      <c r="G231" s="12"/>
      <c r="H231" s="12"/>
      <c r="I231" s="9" t="str">
        <f t="shared" si="3"/>
        <v/>
      </c>
      <c r="J231" s="7"/>
      <c r="K231" s="6"/>
    </row>
    <row r="232" spans="1:11" x14ac:dyDescent="0.3">
      <c r="A232" s="6"/>
      <c r="B232" s="7"/>
      <c r="C232" s="6"/>
      <c r="D232" s="6"/>
      <c r="E232" s="6"/>
      <c r="F232" s="6"/>
      <c r="G232" s="12"/>
      <c r="H232" s="12"/>
      <c r="I232" s="9" t="str">
        <f t="shared" si="3"/>
        <v/>
      </c>
      <c r="J232" s="7"/>
      <c r="K232" s="6"/>
    </row>
    <row r="233" spans="1:11" x14ac:dyDescent="0.3">
      <c r="A233" s="6"/>
      <c r="B233" s="7"/>
      <c r="C233" s="6"/>
      <c r="D233" s="6"/>
      <c r="E233" s="6"/>
      <c r="F233" s="6"/>
      <c r="G233" s="12"/>
      <c r="H233" s="12"/>
      <c r="I233" s="9" t="str">
        <f t="shared" si="3"/>
        <v/>
      </c>
      <c r="J233" s="7"/>
      <c r="K233" s="6"/>
    </row>
    <row r="234" spans="1:11" x14ac:dyDescent="0.3">
      <c r="A234" s="6"/>
      <c r="B234" s="7"/>
      <c r="C234" s="6"/>
      <c r="D234" s="6"/>
      <c r="E234" s="6"/>
      <c r="F234" s="6"/>
      <c r="G234" s="12"/>
      <c r="H234" s="12"/>
      <c r="I234" s="9" t="str">
        <f t="shared" si="3"/>
        <v/>
      </c>
      <c r="J234" s="7"/>
      <c r="K234" s="6"/>
    </row>
    <row r="235" spans="1:11" x14ac:dyDescent="0.3">
      <c r="A235" s="6"/>
      <c r="B235" s="7"/>
      <c r="C235" s="6"/>
      <c r="D235" s="6"/>
      <c r="E235" s="6"/>
      <c r="F235" s="6"/>
      <c r="G235" s="12"/>
      <c r="H235" s="12"/>
      <c r="I235" s="9" t="str">
        <f t="shared" si="3"/>
        <v/>
      </c>
      <c r="J235" s="7"/>
      <c r="K235" s="6"/>
    </row>
    <row r="236" spans="1:11" x14ac:dyDescent="0.3">
      <c r="A236" s="6"/>
      <c r="B236" s="7"/>
      <c r="C236" s="6"/>
      <c r="D236" s="6"/>
      <c r="E236" s="6"/>
      <c r="F236" s="6"/>
      <c r="G236" s="12"/>
      <c r="H236" s="12"/>
      <c r="I236" s="9" t="str">
        <f t="shared" si="3"/>
        <v/>
      </c>
      <c r="J236" s="7"/>
      <c r="K236" s="6"/>
    </row>
    <row r="237" spans="1:11" x14ac:dyDescent="0.3">
      <c r="A237" s="6"/>
      <c r="B237" s="7"/>
      <c r="C237" s="6"/>
      <c r="D237" s="6"/>
      <c r="E237" s="6"/>
      <c r="F237" s="6"/>
      <c r="G237" s="12"/>
      <c r="H237" s="12"/>
      <c r="I237" s="9" t="str">
        <f t="shared" si="3"/>
        <v/>
      </c>
      <c r="J237" s="7"/>
      <c r="K237" s="6"/>
    </row>
    <row r="238" spans="1:11" x14ac:dyDescent="0.3">
      <c r="A238" s="6"/>
      <c r="B238" s="7"/>
      <c r="C238" s="6"/>
      <c r="D238" s="6"/>
      <c r="E238" s="6"/>
      <c r="F238" s="6"/>
      <c r="G238" s="12"/>
      <c r="H238" s="12"/>
      <c r="I238" s="9" t="str">
        <f t="shared" si="3"/>
        <v/>
      </c>
      <c r="J238" s="7"/>
      <c r="K238" s="6"/>
    </row>
    <row r="239" spans="1:11" x14ac:dyDescent="0.3">
      <c r="A239" s="6"/>
      <c r="B239" s="7"/>
      <c r="C239" s="6"/>
      <c r="D239" s="6"/>
      <c r="E239" s="6"/>
      <c r="F239" s="6"/>
      <c r="G239" s="12"/>
      <c r="H239" s="12"/>
      <c r="I239" s="9" t="str">
        <f t="shared" si="3"/>
        <v/>
      </c>
      <c r="J239" s="7"/>
      <c r="K239" s="6"/>
    </row>
    <row r="240" spans="1:11" x14ac:dyDescent="0.3">
      <c r="A240" s="6"/>
      <c r="B240" s="7"/>
      <c r="C240" s="6"/>
      <c r="D240" s="6"/>
      <c r="E240" s="6"/>
      <c r="F240" s="6"/>
      <c r="G240" s="12"/>
      <c r="H240" s="12"/>
      <c r="I240" s="9" t="str">
        <f t="shared" si="3"/>
        <v/>
      </c>
      <c r="J240" s="7"/>
      <c r="K240" s="6"/>
    </row>
    <row r="241" spans="1:11" x14ac:dyDescent="0.3">
      <c r="A241" s="6"/>
      <c r="B241" s="7"/>
      <c r="C241" s="6"/>
      <c r="D241" s="6"/>
      <c r="E241" s="6"/>
      <c r="F241" s="6"/>
      <c r="G241" s="12"/>
      <c r="H241" s="12"/>
      <c r="I241" s="9" t="str">
        <f t="shared" si="3"/>
        <v/>
      </c>
      <c r="J241" s="7"/>
      <c r="K241" s="6"/>
    </row>
    <row r="242" spans="1:11" x14ac:dyDescent="0.3">
      <c r="A242" s="6"/>
      <c r="B242" s="7"/>
      <c r="C242" s="6"/>
      <c r="D242" s="6"/>
      <c r="E242" s="6"/>
      <c r="F242" s="6"/>
      <c r="G242" s="12"/>
      <c r="H242" s="12"/>
      <c r="I242" s="9" t="str">
        <f t="shared" si="3"/>
        <v/>
      </c>
      <c r="J242" s="7"/>
      <c r="K242" s="6"/>
    </row>
    <row r="243" spans="1:11" x14ac:dyDescent="0.3">
      <c r="A243" s="6"/>
      <c r="B243" s="7"/>
      <c r="C243" s="6"/>
      <c r="D243" s="6"/>
      <c r="E243" s="6"/>
      <c r="F243" s="6"/>
      <c r="G243" s="12"/>
      <c r="H243" s="12"/>
      <c r="I243" s="9" t="str">
        <f t="shared" si="3"/>
        <v/>
      </c>
      <c r="J243" s="7"/>
      <c r="K243" s="6"/>
    </row>
    <row r="244" spans="1:11" x14ac:dyDescent="0.3">
      <c r="A244" s="6"/>
      <c r="B244" s="7"/>
      <c r="C244" s="6"/>
      <c r="D244" s="6"/>
      <c r="E244" s="6"/>
      <c r="F244" s="6"/>
      <c r="G244" s="12"/>
      <c r="H244" s="12"/>
      <c r="I244" s="9" t="str">
        <f t="shared" si="3"/>
        <v/>
      </c>
      <c r="J244" s="7"/>
      <c r="K244" s="6"/>
    </row>
    <row r="245" spans="1:11" x14ac:dyDescent="0.3">
      <c r="A245" s="6"/>
      <c r="B245" s="7"/>
      <c r="C245" s="6"/>
      <c r="D245" s="6"/>
      <c r="E245" s="6"/>
      <c r="F245" s="6"/>
      <c r="G245" s="12"/>
      <c r="H245" s="12"/>
      <c r="I245" s="9" t="str">
        <f t="shared" ref="I245:I308" si="4">IF(AND(G245&lt;&gt;"",H245&lt;&gt;""),MOD(H245-G245,1)*24,"")</f>
        <v/>
      </c>
      <c r="J245" s="7"/>
      <c r="K245" s="6"/>
    </row>
    <row r="246" spans="1:11" x14ac:dyDescent="0.3">
      <c r="A246" s="6"/>
      <c r="B246" s="7"/>
      <c r="C246" s="6"/>
      <c r="D246" s="6"/>
      <c r="E246" s="6"/>
      <c r="F246" s="6"/>
      <c r="G246" s="12"/>
      <c r="H246" s="12"/>
      <c r="I246" s="9" t="str">
        <f t="shared" si="4"/>
        <v/>
      </c>
      <c r="J246" s="7"/>
      <c r="K246" s="6"/>
    </row>
    <row r="247" spans="1:11" x14ac:dyDescent="0.3">
      <c r="A247" s="6"/>
      <c r="B247" s="7"/>
      <c r="C247" s="6"/>
      <c r="D247" s="6"/>
      <c r="E247" s="6"/>
      <c r="F247" s="6"/>
      <c r="G247" s="12"/>
      <c r="H247" s="12"/>
      <c r="I247" s="9" t="str">
        <f t="shared" si="4"/>
        <v/>
      </c>
      <c r="J247" s="7"/>
      <c r="K247" s="6"/>
    </row>
    <row r="248" spans="1:11" x14ac:dyDescent="0.3">
      <c r="A248" s="6"/>
      <c r="B248" s="7"/>
      <c r="C248" s="6"/>
      <c r="D248" s="6"/>
      <c r="E248" s="6"/>
      <c r="F248" s="6"/>
      <c r="G248" s="12"/>
      <c r="H248" s="12"/>
      <c r="I248" s="9" t="str">
        <f t="shared" si="4"/>
        <v/>
      </c>
      <c r="J248" s="7"/>
      <c r="K248" s="6"/>
    </row>
    <row r="249" spans="1:11" x14ac:dyDescent="0.3">
      <c r="A249" s="6"/>
      <c r="B249" s="7"/>
      <c r="C249" s="6"/>
      <c r="D249" s="6"/>
      <c r="E249" s="6"/>
      <c r="F249" s="6"/>
      <c r="G249" s="12"/>
      <c r="H249" s="12"/>
      <c r="I249" s="9" t="str">
        <f t="shared" si="4"/>
        <v/>
      </c>
      <c r="J249" s="7"/>
      <c r="K249" s="6"/>
    </row>
    <row r="250" spans="1:11" x14ac:dyDescent="0.3">
      <c r="A250" s="6"/>
      <c r="B250" s="7"/>
      <c r="C250" s="6"/>
      <c r="D250" s="6"/>
      <c r="E250" s="6"/>
      <c r="F250" s="6"/>
      <c r="G250" s="12"/>
      <c r="H250" s="12"/>
      <c r="I250" s="9" t="str">
        <f t="shared" si="4"/>
        <v/>
      </c>
      <c r="J250" s="7"/>
      <c r="K250" s="6"/>
    </row>
    <row r="251" spans="1:11" x14ac:dyDescent="0.3">
      <c r="A251" s="6"/>
      <c r="B251" s="7"/>
      <c r="C251" s="6"/>
      <c r="D251" s="6"/>
      <c r="E251" s="6"/>
      <c r="F251" s="6"/>
      <c r="G251" s="12"/>
      <c r="H251" s="12"/>
      <c r="I251" s="9" t="str">
        <f t="shared" si="4"/>
        <v/>
      </c>
      <c r="J251" s="7"/>
      <c r="K251" s="6"/>
    </row>
    <row r="252" spans="1:11" x14ac:dyDescent="0.3">
      <c r="A252" s="6"/>
      <c r="B252" s="7"/>
      <c r="C252" s="6"/>
      <c r="D252" s="6"/>
      <c r="E252" s="6"/>
      <c r="F252" s="6"/>
      <c r="G252" s="12"/>
      <c r="H252" s="12"/>
      <c r="I252" s="9" t="str">
        <f t="shared" si="4"/>
        <v/>
      </c>
      <c r="J252" s="7"/>
      <c r="K252" s="6"/>
    </row>
    <row r="253" spans="1:11" x14ac:dyDescent="0.3">
      <c r="A253" s="6"/>
      <c r="B253" s="7"/>
      <c r="C253" s="6"/>
      <c r="D253" s="6"/>
      <c r="E253" s="6"/>
      <c r="F253" s="6"/>
      <c r="G253" s="12"/>
      <c r="H253" s="12"/>
      <c r="I253" s="9" t="str">
        <f t="shared" si="4"/>
        <v/>
      </c>
      <c r="J253" s="7"/>
      <c r="K253" s="6"/>
    </row>
    <row r="254" spans="1:11" x14ac:dyDescent="0.3">
      <c r="A254" s="6"/>
      <c r="B254" s="7"/>
      <c r="C254" s="6"/>
      <c r="D254" s="6"/>
      <c r="E254" s="6"/>
      <c r="F254" s="6"/>
      <c r="G254" s="12"/>
      <c r="H254" s="12"/>
      <c r="I254" s="9" t="str">
        <f t="shared" si="4"/>
        <v/>
      </c>
      <c r="J254" s="7"/>
      <c r="K254" s="6"/>
    </row>
    <row r="255" spans="1:11" x14ac:dyDescent="0.3">
      <c r="A255" s="6"/>
      <c r="B255" s="7"/>
      <c r="C255" s="6"/>
      <c r="D255" s="6"/>
      <c r="E255" s="6"/>
      <c r="F255" s="6"/>
      <c r="G255" s="12"/>
      <c r="H255" s="12"/>
      <c r="I255" s="9" t="str">
        <f t="shared" si="4"/>
        <v/>
      </c>
      <c r="J255" s="7"/>
      <c r="K255" s="6"/>
    </row>
    <row r="256" spans="1:11" x14ac:dyDescent="0.3">
      <c r="A256" s="6"/>
      <c r="B256" s="7"/>
      <c r="C256" s="6"/>
      <c r="D256" s="6"/>
      <c r="E256" s="6"/>
      <c r="F256" s="6"/>
      <c r="G256" s="12"/>
      <c r="H256" s="12"/>
      <c r="I256" s="9" t="str">
        <f t="shared" si="4"/>
        <v/>
      </c>
      <c r="J256" s="7"/>
      <c r="K256" s="6"/>
    </row>
    <row r="257" spans="1:11" x14ac:dyDescent="0.3">
      <c r="A257" s="6"/>
      <c r="B257" s="7"/>
      <c r="C257" s="6"/>
      <c r="D257" s="6"/>
      <c r="E257" s="6"/>
      <c r="F257" s="6"/>
      <c r="G257" s="12"/>
      <c r="H257" s="12"/>
      <c r="I257" s="9" t="str">
        <f t="shared" si="4"/>
        <v/>
      </c>
      <c r="J257" s="7"/>
      <c r="K257" s="6"/>
    </row>
    <row r="258" spans="1:11" x14ac:dyDescent="0.3">
      <c r="A258" s="6"/>
      <c r="B258" s="7"/>
      <c r="C258" s="6"/>
      <c r="D258" s="6"/>
      <c r="E258" s="6"/>
      <c r="F258" s="6"/>
      <c r="G258" s="12"/>
      <c r="H258" s="12"/>
      <c r="I258" s="9" t="str">
        <f t="shared" si="4"/>
        <v/>
      </c>
      <c r="J258" s="7"/>
      <c r="K258" s="6"/>
    </row>
    <row r="259" spans="1:11" x14ac:dyDescent="0.3">
      <c r="A259" s="6"/>
      <c r="B259" s="7"/>
      <c r="C259" s="6"/>
      <c r="D259" s="6"/>
      <c r="E259" s="6"/>
      <c r="F259" s="6"/>
      <c r="G259" s="12"/>
      <c r="H259" s="12"/>
      <c r="I259" s="9" t="str">
        <f t="shared" si="4"/>
        <v/>
      </c>
      <c r="J259" s="7"/>
      <c r="K259" s="6"/>
    </row>
    <row r="260" spans="1:11" x14ac:dyDescent="0.3">
      <c r="A260" s="6"/>
      <c r="B260" s="7"/>
      <c r="C260" s="6"/>
      <c r="D260" s="6"/>
      <c r="E260" s="6"/>
      <c r="F260" s="6"/>
      <c r="G260" s="12"/>
      <c r="H260" s="12"/>
      <c r="I260" s="9" t="str">
        <f t="shared" si="4"/>
        <v/>
      </c>
      <c r="J260" s="7"/>
      <c r="K260" s="6"/>
    </row>
    <row r="261" spans="1:11" x14ac:dyDescent="0.3">
      <c r="A261" s="6"/>
      <c r="B261" s="7"/>
      <c r="C261" s="6"/>
      <c r="D261" s="6"/>
      <c r="E261" s="6"/>
      <c r="F261" s="6"/>
      <c r="G261" s="12"/>
      <c r="H261" s="12"/>
      <c r="I261" s="9" t="str">
        <f t="shared" si="4"/>
        <v/>
      </c>
      <c r="J261" s="7"/>
      <c r="K261" s="6"/>
    </row>
    <row r="262" spans="1:11" x14ac:dyDescent="0.3">
      <c r="A262" s="6"/>
      <c r="B262" s="7"/>
      <c r="C262" s="6"/>
      <c r="D262" s="6"/>
      <c r="E262" s="6"/>
      <c r="F262" s="6"/>
      <c r="G262" s="12"/>
      <c r="H262" s="12"/>
      <c r="I262" s="9" t="str">
        <f t="shared" si="4"/>
        <v/>
      </c>
      <c r="J262" s="7"/>
      <c r="K262" s="6"/>
    </row>
    <row r="263" spans="1:11" x14ac:dyDescent="0.3">
      <c r="A263" s="6"/>
      <c r="B263" s="7"/>
      <c r="C263" s="6"/>
      <c r="D263" s="6"/>
      <c r="E263" s="6"/>
      <c r="F263" s="6"/>
      <c r="G263" s="12"/>
      <c r="H263" s="12"/>
      <c r="I263" s="9" t="str">
        <f t="shared" si="4"/>
        <v/>
      </c>
      <c r="J263" s="7"/>
      <c r="K263" s="6"/>
    </row>
    <row r="264" spans="1:11" x14ac:dyDescent="0.3">
      <c r="A264" s="6"/>
      <c r="B264" s="7"/>
      <c r="C264" s="6"/>
      <c r="D264" s="6"/>
      <c r="E264" s="6"/>
      <c r="F264" s="6"/>
      <c r="G264" s="12"/>
      <c r="H264" s="12"/>
      <c r="I264" s="9" t="str">
        <f t="shared" si="4"/>
        <v/>
      </c>
      <c r="J264" s="7"/>
      <c r="K264" s="6"/>
    </row>
    <row r="265" spans="1:11" x14ac:dyDescent="0.3">
      <c r="A265" s="6"/>
      <c r="B265" s="7"/>
      <c r="C265" s="6"/>
      <c r="D265" s="6"/>
      <c r="E265" s="6"/>
      <c r="F265" s="6"/>
      <c r="G265" s="12"/>
      <c r="H265" s="12"/>
      <c r="I265" s="9" t="str">
        <f t="shared" si="4"/>
        <v/>
      </c>
      <c r="J265" s="7"/>
      <c r="K265" s="6"/>
    </row>
    <row r="266" spans="1:11" x14ac:dyDescent="0.3">
      <c r="A266" s="6"/>
      <c r="B266" s="7"/>
      <c r="C266" s="6"/>
      <c r="D266" s="6"/>
      <c r="E266" s="6"/>
      <c r="F266" s="6"/>
      <c r="G266" s="12"/>
      <c r="H266" s="12"/>
      <c r="I266" s="9" t="str">
        <f t="shared" si="4"/>
        <v/>
      </c>
      <c r="J266" s="7"/>
      <c r="K266" s="6"/>
    </row>
    <row r="267" spans="1:11" x14ac:dyDescent="0.3">
      <c r="A267" s="6"/>
      <c r="B267" s="7"/>
      <c r="C267" s="6"/>
      <c r="D267" s="6"/>
      <c r="E267" s="6"/>
      <c r="F267" s="6"/>
      <c r="G267" s="12"/>
      <c r="H267" s="12"/>
      <c r="I267" s="9" t="str">
        <f t="shared" si="4"/>
        <v/>
      </c>
      <c r="J267" s="7"/>
      <c r="K267" s="6"/>
    </row>
    <row r="268" spans="1:11" x14ac:dyDescent="0.3">
      <c r="A268" s="6"/>
      <c r="B268" s="7"/>
      <c r="C268" s="6"/>
      <c r="D268" s="6"/>
      <c r="E268" s="6"/>
      <c r="F268" s="6"/>
      <c r="G268" s="12"/>
      <c r="H268" s="12"/>
      <c r="I268" s="9" t="str">
        <f t="shared" si="4"/>
        <v/>
      </c>
      <c r="J268" s="7"/>
      <c r="K268" s="6"/>
    </row>
    <row r="269" spans="1:11" x14ac:dyDescent="0.3">
      <c r="A269" s="6"/>
      <c r="B269" s="7"/>
      <c r="C269" s="6"/>
      <c r="D269" s="6"/>
      <c r="E269" s="6"/>
      <c r="F269" s="6"/>
      <c r="G269" s="12"/>
      <c r="H269" s="12"/>
      <c r="I269" s="9" t="str">
        <f t="shared" si="4"/>
        <v/>
      </c>
      <c r="J269" s="7"/>
      <c r="K269" s="6"/>
    </row>
    <row r="270" spans="1:11" x14ac:dyDescent="0.3">
      <c r="A270" s="6"/>
      <c r="B270" s="7"/>
      <c r="C270" s="6"/>
      <c r="D270" s="6"/>
      <c r="E270" s="6"/>
      <c r="F270" s="6"/>
      <c r="G270" s="12"/>
      <c r="H270" s="12"/>
      <c r="I270" s="9" t="str">
        <f t="shared" si="4"/>
        <v/>
      </c>
      <c r="J270" s="7"/>
      <c r="K270" s="6"/>
    </row>
    <row r="271" spans="1:11" x14ac:dyDescent="0.3">
      <c r="A271" s="6"/>
      <c r="B271" s="7"/>
      <c r="C271" s="6"/>
      <c r="D271" s="6"/>
      <c r="E271" s="6"/>
      <c r="F271" s="6"/>
      <c r="G271" s="12"/>
      <c r="H271" s="12"/>
      <c r="I271" s="9" t="str">
        <f t="shared" si="4"/>
        <v/>
      </c>
      <c r="J271" s="7"/>
      <c r="K271" s="6"/>
    </row>
    <row r="272" spans="1:11" x14ac:dyDescent="0.3">
      <c r="A272" s="6"/>
      <c r="B272" s="7"/>
      <c r="C272" s="6"/>
      <c r="D272" s="6"/>
      <c r="E272" s="6"/>
      <c r="F272" s="6"/>
      <c r="G272" s="12"/>
      <c r="H272" s="12"/>
      <c r="I272" s="9" t="str">
        <f t="shared" si="4"/>
        <v/>
      </c>
      <c r="J272" s="7"/>
      <c r="K272" s="6"/>
    </row>
    <row r="273" spans="1:11" x14ac:dyDescent="0.3">
      <c r="A273" s="6"/>
      <c r="B273" s="7"/>
      <c r="C273" s="6"/>
      <c r="D273" s="6"/>
      <c r="E273" s="6"/>
      <c r="F273" s="6"/>
      <c r="G273" s="12"/>
      <c r="H273" s="12"/>
      <c r="I273" s="9" t="str">
        <f t="shared" si="4"/>
        <v/>
      </c>
      <c r="J273" s="7"/>
      <c r="K273" s="6"/>
    </row>
    <row r="274" spans="1:11" x14ac:dyDescent="0.3">
      <c r="A274" s="6"/>
      <c r="B274" s="7"/>
      <c r="C274" s="6"/>
      <c r="D274" s="6"/>
      <c r="E274" s="6"/>
      <c r="F274" s="6"/>
      <c r="G274" s="12"/>
      <c r="H274" s="12"/>
      <c r="I274" s="9" t="str">
        <f t="shared" si="4"/>
        <v/>
      </c>
      <c r="J274" s="7"/>
      <c r="K274" s="6"/>
    </row>
    <row r="275" spans="1:11" x14ac:dyDescent="0.3">
      <c r="A275" s="6"/>
      <c r="B275" s="7"/>
      <c r="C275" s="6"/>
      <c r="D275" s="6"/>
      <c r="E275" s="6"/>
      <c r="F275" s="6"/>
      <c r="G275" s="12"/>
      <c r="H275" s="12"/>
      <c r="I275" s="9" t="str">
        <f t="shared" si="4"/>
        <v/>
      </c>
      <c r="J275" s="7"/>
      <c r="K275" s="6"/>
    </row>
    <row r="276" spans="1:11" x14ac:dyDescent="0.3">
      <c r="A276" s="6"/>
      <c r="B276" s="7"/>
      <c r="C276" s="6"/>
      <c r="D276" s="6"/>
      <c r="E276" s="6"/>
      <c r="F276" s="6"/>
      <c r="G276" s="12"/>
      <c r="H276" s="12"/>
      <c r="I276" s="9" t="str">
        <f t="shared" si="4"/>
        <v/>
      </c>
      <c r="J276" s="7"/>
      <c r="K276" s="6"/>
    </row>
    <row r="277" spans="1:11" x14ac:dyDescent="0.3">
      <c r="A277" s="6"/>
      <c r="B277" s="7"/>
      <c r="C277" s="6"/>
      <c r="D277" s="6"/>
      <c r="E277" s="6"/>
      <c r="F277" s="6"/>
      <c r="G277" s="12"/>
      <c r="H277" s="12"/>
      <c r="I277" s="9" t="str">
        <f t="shared" si="4"/>
        <v/>
      </c>
      <c r="J277" s="7"/>
      <c r="K277" s="6"/>
    </row>
    <row r="278" spans="1:11" x14ac:dyDescent="0.3">
      <c r="A278" s="6"/>
      <c r="B278" s="7"/>
      <c r="C278" s="6"/>
      <c r="D278" s="6"/>
      <c r="E278" s="6"/>
      <c r="F278" s="6"/>
      <c r="G278" s="12"/>
      <c r="H278" s="12"/>
      <c r="I278" s="9" t="str">
        <f t="shared" si="4"/>
        <v/>
      </c>
      <c r="J278" s="7"/>
      <c r="K278" s="6"/>
    </row>
    <row r="279" spans="1:11" x14ac:dyDescent="0.3">
      <c r="A279" s="6"/>
      <c r="B279" s="7"/>
      <c r="C279" s="6"/>
      <c r="D279" s="6"/>
      <c r="E279" s="6"/>
      <c r="F279" s="6"/>
      <c r="G279" s="12"/>
      <c r="H279" s="12"/>
      <c r="I279" s="9" t="str">
        <f t="shared" si="4"/>
        <v/>
      </c>
      <c r="J279" s="7"/>
      <c r="K279" s="6"/>
    </row>
    <row r="280" spans="1:11" x14ac:dyDescent="0.3">
      <c r="A280" s="6"/>
      <c r="B280" s="7"/>
      <c r="C280" s="6"/>
      <c r="D280" s="6"/>
      <c r="E280" s="6"/>
      <c r="F280" s="6"/>
      <c r="G280" s="12"/>
      <c r="H280" s="12"/>
      <c r="I280" s="9" t="str">
        <f t="shared" si="4"/>
        <v/>
      </c>
      <c r="J280" s="7"/>
      <c r="K280" s="6"/>
    </row>
    <row r="281" spans="1:11" x14ac:dyDescent="0.3">
      <c r="A281" s="6"/>
      <c r="B281" s="7"/>
      <c r="C281" s="6"/>
      <c r="D281" s="6"/>
      <c r="E281" s="6"/>
      <c r="F281" s="6"/>
      <c r="G281" s="12"/>
      <c r="H281" s="12"/>
      <c r="I281" s="9" t="str">
        <f t="shared" si="4"/>
        <v/>
      </c>
      <c r="J281" s="7"/>
      <c r="K281" s="6"/>
    </row>
    <row r="282" spans="1:11" x14ac:dyDescent="0.3">
      <c r="A282" s="6"/>
      <c r="B282" s="7"/>
      <c r="C282" s="6"/>
      <c r="D282" s="6"/>
      <c r="E282" s="6"/>
      <c r="F282" s="6"/>
      <c r="G282" s="12"/>
      <c r="H282" s="12"/>
      <c r="I282" s="9" t="str">
        <f t="shared" si="4"/>
        <v/>
      </c>
      <c r="J282" s="7"/>
      <c r="K282" s="6"/>
    </row>
    <row r="283" spans="1:11" x14ac:dyDescent="0.3">
      <c r="A283" s="6"/>
      <c r="B283" s="7"/>
      <c r="C283" s="6"/>
      <c r="D283" s="6"/>
      <c r="E283" s="6"/>
      <c r="F283" s="6"/>
      <c r="G283" s="12"/>
      <c r="H283" s="12"/>
      <c r="I283" s="9" t="str">
        <f t="shared" si="4"/>
        <v/>
      </c>
      <c r="J283" s="7"/>
      <c r="K283" s="6"/>
    </row>
    <row r="284" spans="1:11" x14ac:dyDescent="0.3">
      <c r="A284" s="6"/>
      <c r="B284" s="7"/>
      <c r="C284" s="6"/>
      <c r="D284" s="6"/>
      <c r="E284" s="6"/>
      <c r="F284" s="6"/>
      <c r="G284" s="12"/>
      <c r="H284" s="12"/>
      <c r="I284" s="9" t="str">
        <f t="shared" si="4"/>
        <v/>
      </c>
      <c r="J284" s="7"/>
      <c r="K284" s="6"/>
    </row>
    <row r="285" spans="1:11" x14ac:dyDescent="0.3">
      <c r="A285" s="6"/>
      <c r="B285" s="7"/>
      <c r="C285" s="6"/>
      <c r="D285" s="6"/>
      <c r="E285" s="6"/>
      <c r="F285" s="6"/>
      <c r="G285" s="12"/>
      <c r="H285" s="12"/>
      <c r="I285" s="9" t="str">
        <f t="shared" si="4"/>
        <v/>
      </c>
      <c r="J285" s="7"/>
      <c r="K285" s="6"/>
    </row>
    <row r="286" spans="1:11" x14ac:dyDescent="0.3">
      <c r="A286" s="6"/>
      <c r="B286" s="7"/>
      <c r="C286" s="6"/>
      <c r="D286" s="6"/>
      <c r="E286" s="6"/>
      <c r="F286" s="6"/>
      <c r="G286" s="12"/>
      <c r="H286" s="12"/>
      <c r="I286" s="9" t="str">
        <f t="shared" si="4"/>
        <v/>
      </c>
      <c r="J286" s="7"/>
      <c r="K286" s="6"/>
    </row>
    <row r="287" spans="1:11" x14ac:dyDescent="0.3">
      <c r="A287" s="6"/>
      <c r="B287" s="7"/>
      <c r="C287" s="6"/>
      <c r="D287" s="6"/>
      <c r="E287" s="6"/>
      <c r="F287" s="6"/>
      <c r="G287" s="12"/>
      <c r="H287" s="12"/>
      <c r="I287" s="9" t="str">
        <f t="shared" si="4"/>
        <v/>
      </c>
      <c r="J287" s="7"/>
      <c r="K287" s="6"/>
    </row>
    <row r="288" spans="1:11" x14ac:dyDescent="0.3">
      <c r="A288" s="6"/>
      <c r="B288" s="7"/>
      <c r="C288" s="6"/>
      <c r="D288" s="6"/>
      <c r="E288" s="6"/>
      <c r="F288" s="6"/>
      <c r="G288" s="12"/>
      <c r="H288" s="12"/>
      <c r="I288" s="9" t="str">
        <f t="shared" si="4"/>
        <v/>
      </c>
      <c r="J288" s="7"/>
      <c r="K288" s="6"/>
    </row>
    <row r="289" spans="1:11" x14ac:dyDescent="0.3">
      <c r="A289" s="6"/>
      <c r="B289" s="7"/>
      <c r="C289" s="6"/>
      <c r="D289" s="6"/>
      <c r="E289" s="6"/>
      <c r="F289" s="6"/>
      <c r="G289" s="12"/>
      <c r="H289" s="12"/>
      <c r="I289" s="9" t="str">
        <f t="shared" si="4"/>
        <v/>
      </c>
      <c r="J289" s="7"/>
      <c r="K289" s="6"/>
    </row>
    <row r="290" spans="1:11" x14ac:dyDescent="0.3">
      <c r="A290" s="6"/>
      <c r="B290" s="7"/>
      <c r="C290" s="6"/>
      <c r="D290" s="6"/>
      <c r="E290" s="6"/>
      <c r="F290" s="6"/>
      <c r="G290" s="12"/>
      <c r="H290" s="12"/>
      <c r="I290" s="9" t="str">
        <f t="shared" si="4"/>
        <v/>
      </c>
      <c r="J290" s="7"/>
      <c r="K290" s="6"/>
    </row>
    <row r="291" spans="1:11" x14ac:dyDescent="0.3">
      <c r="A291" s="6"/>
      <c r="B291" s="7"/>
      <c r="C291" s="6"/>
      <c r="D291" s="6"/>
      <c r="E291" s="6"/>
      <c r="F291" s="6"/>
      <c r="G291" s="12"/>
      <c r="H291" s="12"/>
      <c r="I291" s="9" t="str">
        <f t="shared" si="4"/>
        <v/>
      </c>
      <c r="J291" s="7"/>
      <c r="K291" s="6"/>
    </row>
    <row r="292" spans="1:11" x14ac:dyDescent="0.3">
      <c r="A292" s="6"/>
      <c r="B292" s="7"/>
      <c r="C292" s="6"/>
      <c r="D292" s="6"/>
      <c r="E292" s="6"/>
      <c r="F292" s="6"/>
      <c r="G292" s="12"/>
      <c r="H292" s="12"/>
      <c r="I292" s="9" t="str">
        <f t="shared" si="4"/>
        <v/>
      </c>
      <c r="J292" s="7"/>
      <c r="K292" s="6"/>
    </row>
    <row r="293" spans="1:11" x14ac:dyDescent="0.3">
      <c r="A293" s="6"/>
      <c r="B293" s="7"/>
      <c r="C293" s="6"/>
      <c r="D293" s="6"/>
      <c r="E293" s="6"/>
      <c r="F293" s="6"/>
      <c r="G293" s="12"/>
      <c r="H293" s="12"/>
      <c r="I293" s="9" t="str">
        <f t="shared" si="4"/>
        <v/>
      </c>
      <c r="J293" s="7"/>
      <c r="K293" s="6"/>
    </row>
    <row r="294" spans="1:11" x14ac:dyDescent="0.3">
      <c r="A294" s="6"/>
      <c r="B294" s="7"/>
      <c r="C294" s="6"/>
      <c r="D294" s="6"/>
      <c r="E294" s="6"/>
      <c r="F294" s="6"/>
      <c r="G294" s="12"/>
      <c r="H294" s="12"/>
      <c r="I294" s="9" t="str">
        <f t="shared" si="4"/>
        <v/>
      </c>
      <c r="J294" s="7"/>
      <c r="K294" s="6"/>
    </row>
    <row r="295" spans="1:11" x14ac:dyDescent="0.3">
      <c r="A295" s="6"/>
      <c r="B295" s="7"/>
      <c r="C295" s="6"/>
      <c r="D295" s="6"/>
      <c r="E295" s="6"/>
      <c r="F295" s="6"/>
      <c r="G295" s="12"/>
      <c r="H295" s="12"/>
      <c r="I295" s="9" t="str">
        <f t="shared" si="4"/>
        <v/>
      </c>
      <c r="J295" s="7"/>
      <c r="K295" s="6"/>
    </row>
    <row r="296" spans="1:11" x14ac:dyDescent="0.3">
      <c r="A296" s="6"/>
      <c r="B296" s="7"/>
      <c r="C296" s="6"/>
      <c r="D296" s="6"/>
      <c r="E296" s="6"/>
      <c r="F296" s="6"/>
      <c r="G296" s="12"/>
      <c r="H296" s="12"/>
      <c r="I296" s="9" t="str">
        <f t="shared" si="4"/>
        <v/>
      </c>
      <c r="J296" s="7"/>
      <c r="K296" s="6"/>
    </row>
    <row r="297" spans="1:11" x14ac:dyDescent="0.3">
      <c r="A297" s="6"/>
      <c r="B297" s="7"/>
      <c r="C297" s="6"/>
      <c r="D297" s="6"/>
      <c r="E297" s="6"/>
      <c r="F297" s="6"/>
      <c r="G297" s="12"/>
      <c r="H297" s="12"/>
      <c r="I297" s="9" t="str">
        <f t="shared" si="4"/>
        <v/>
      </c>
      <c r="J297" s="7"/>
      <c r="K297" s="6"/>
    </row>
    <row r="298" spans="1:11" x14ac:dyDescent="0.3">
      <c r="A298" s="6"/>
      <c r="B298" s="7"/>
      <c r="C298" s="6"/>
      <c r="D298" s="6"/>
      <c r="E298" s="6"/>
      <c r="F298" s="6"/>
      <c r="G298" s="12"/>
      <c r="H298" s="12"/>
      <c r="I298" s="9" t="str">
        <f t="shared" si="4"/>
        <v/>
      </c>
      <c r="J298" s="7"/>
      <c r="K298" s="6"/>
    </row>
    <row r="299" spans="1:11" x14ac:dyDescent="0.3">
      <c r="A299" s="6"/>
      <c r="B299" s="7"/>
      <c r="C299" s="6"/>
      <c r="D299" s="6"/>
      <c r="E299" s="6"/>
      <c r="F299" s="6"/>
      <c r="G299" s="12"/>
      <c r="H299" s="12"/>
      <c r="I299" s="9" t="str">
        <f t="shared" si="4"/>
        <v/>
      </c>
      <c r="J299" s="7"/>
      <c r="K299" s="6"/>
    </row>
    <row r="300" spans="1:11" x14ac:dyDescent="0.3">
      <c r="A300" s="6"/>
      <c r="B300" s="7"/>
      <c r="C300" s="6"/>
      <c r="D300" s="6"/>
      <c r="E300" s="6"/>
      <c r="F300" s="6"/>
      <c r="G300" s="12"/>
      <c r="H300" s="12"/>
      <c r="I300" s="9" t="str">
        <f t="shared" si="4"/>
        <v/>
      </c>
      <c r="J300" s="7"/>
      <c r="K300" s="6"/>
    </row>
    <row r="301" spans="1:11" x14ac:dyDescent="0.3">
      <c r="A301" s="6"/>
      <c r="B301" s="7"/>
      <c r="C301" s="6"/>
      <c r="D301" s="6"/>
      <c r="E301" s="6"/>
      <c r="F301" s="6"/>
      <c r="G301" s="12"/>
      <c r="H301" s="12"/>
      <c r="I301" s="9" t="str">
        <f t="shared" si="4"/>
        <v/>
      </c>
      <c r="J301" s="7"/>
      <c r="K301" s="6"/>
    </row>
    <row r="302" spans="1:11" x14ac:dyDescent="0.3">
      <c r="A302" s="6"/>
      <c r="B302" s="7"/>
      <c r="C302" s="6"/>
      <c r="D302" s="6"/>
      <c r="E302" s="6"/>
      <c r="F302" s="6"/>
      <c r="G302" s="12"/>
      <c r="H302" s="12"/>
      <c r="I302" s="9" t="str">
        <f t="shared" si="4"/>
        <v/>
      </c>
      <c r="J302" s="7"/>
      <c r="K302" s="6"/>
    </row>
    <row r="303" spans="1:11" x14ac:dyDescent="0.3">
      <c r="A303" s="6"/>
      <c r="B303" s="7"/>
      <c r="C303" s="6"/>
      <c r="D303" s="6"/>
      <c r="E303" s="6"/>
      <c r="F303" s="6"/>
      <c r="G303" s="12"/>
      <c r="H303" s="12"/>
      <c r="I303" s="9" t="str">
        <f t="shared" si="4"/>
        <v/>
      </c>
      <c r="J303" s="7"/>
      <c r="K303" s="6"/>
    </row>
    <row r="304" spans="1:11" x14ac:dyDescent="0.3">
      <c r="A304" s="6"/>
      <c r="B304" s="7"/>
      <c r="C304" s="6"/>
      <c r="D304" s="6"/>
      <c r="E304" s="6"/>
      <c r="F304" s="6"/>
      <c r="G304" s="12"/>
      <c r="H304" s="12"/>
      <c r="I304" s="9" t="str">
        <f t="shared" si="4"/>
        <v/>
      </c>
      <c r="J304" s="7"/>
      <c r="K304" s="6"/>
    </row>
    <row r="305" spans="1:11" x14ac:dyDescent="0.3">
      <c r="A305" s="6"/>
      <c r="B305" s="7"/>
      <c r="C305" s="6"/>
      <c r="D305" s="6"/>
      <c r="E305" s="6"/>
      <c r="F305" s="6"/>
      <c r="G305" s="12"/>
      <c r="H305" s="12"/>
      <c r="I305" s="9" t="str">
        <f t="shared" si="4"/>
        <v/>
      </c>
      <c r="J305" s="7"/>
      <c r="K305" s="6"/>
    </row>
    <row r="306" spans="1:11" x14ac:dyDescent="0.3">
      <c r="A306" s="6"/>
      <c r="B306" s="7"/>
      <c r="C306" s="6"/>
      <c r="D306" s="6"/>
      <c r="E306" s="6"/>
      <c r="F306" s="6"/>
      <c r="G306" s="12"/>
      <c r="H306" s="12"/>
      <c r="I306" s="9" t="str">
        <f t="shared" si="4"/>
        <v/>
      </c>
      <c r="J306" s="7"/>
      <c r="K306" s="6"/>
    </row>
    <row r="307" spans="1:11" x14ac:dyDescent="0.3">
      <c r="A307" s="6"/>
      <c r="B307" s="7"/>
      <c r="C307" s="6"/>
      <c r="D307" s="6"/>
      <c r="E307" s="6"/>
      <c r="F307" s="6"/>
      <c r="G307" s="12"/>
      <c r="H307" s="12"/>
      <c r="I307" s="9" t="str">
        <f t="shared" si="4"/>
        <v/>
      </c>
      <c r="J307" s="7"/>
      <c r="K307" s="6"/>
    </row>
    <row r="308" spans="1:11" x14ac:dyDescent="0.3">
      <c r="A308" s="6"/>
      <c r="B308" s="7"/>
      <c r="C308" s="6"/>
      <c r="D308" s="6"/>
      <c r="E308" s="6"/>
      <c r="F308" s="6"/>
      <c r="G308" s="12"/>
      <c r="H308" s="12"/>
      <c r="I308" s="9" t="str">
        <f t="shared" si="4"/>
        <v/>
      </c>
      <c r="J308" s="7"/>
      <c r="K308" s="6"/>
    </row>
    <row r="309" spans="1:11" x14ac:dyDescent="0.3">
      <c r="A309" s="6"/>
      <c r="B309" s="7"/>
      <c r="C309" s="6"/>
      <c r="D309" s="6"/>
      <c r="E309" s="6"/>
      <c r="F309" s="6"/>
      <c r="G309" s="12"/>
      <c r="H309" s="12"/>
      <c r="I309" s="9" t="str">
        <f t="shared" ref="I309:I372" si="5">IF(AND(G309&lt;&gt;"",H309&lt;&gt;""),MOD(H309-G309,1)*24,"")</f>
        <v/>
      </c>
      <c r="J309" s="7"/>
      <c r="K309" s="6"/>
    </row>
    <row r="310" spans="1:11" x14ac:dyDescent="0.3">
      <c r="A310" s="6"/>
      <c r="B310" s="7"/>
      <c r="C310" s="6"/>
      <c r="D310" s="6"/>
      <c r="E310" s="6"/>
      <c r="F310" s="6"/>
      <c r="G310" s="12"/>
      <c r="H310" s="12"/>
      <c r="I310" s="9" t="str">
        <f t="shared" si="5"/>
        <v/>
      </c>
      <c r="J310" s="7"/>
      <c r="K310" s="6"/>
    </row>
    <row r="311" spans="1:11" x14ac:dyDescent="0.3">
      <c r="A311" s="6"/>
      <c r="B311" s="7"/>
      <c r="C311" s="6"/>
      <c r="D311" s="6"/>
      <c r="E311" s="6"/>
      <c r="F311" s="6"/>
      <c r="G311" s="12"/>
      <c r="H311" s="12"/>
      <c r="I311" s="9" t="str">
        <f t="shared" si="5"/>
        <v/>
      </c>
      <c r="J311" s="7"/>
      <c r="K311" s="6"/>
    </row>
    <row r="312" spans="1:11" x14ac:dyDescent="0.3">
      <c r="A312" s="6"/>
      <c r="B312" s="7"/>
      <c r="C312" s="6"/>
      <c r="D312" s="6"/>
      <c r="E312" s="6"/>
      <c r="F312" s="6"/>
      <c r="G312" s="12"/>
      <c r="H312" s="12"/>
      <c r="I312" s="9" t="str">
        <f t="shared" si="5"/>
        <v/>
      </c>
      <c r="J312" s="7"/>
      <c r="K312" s="6"/>
    </row>
    <row r="313" spans="1:11" x14ac:dyDescent="0.3">
      <c r="A313" s="6"/>
      <c r="B313" s="7"/>
      <c r="C313" s="6"/>
      <c r="D313" s="6"/>
      <c r="E313" s="6"/>
      <c r="F313" s="6"/>
      <c r="G313" s="12"/>
      <c r="H313" s="12"/>
      <c r="I313" s="9" t="str">
        <f t="shared" si="5"/>
        <v/>
      </c>
      <c r="J313" s="7"/>
      <c r="K313" s="6"/>
    </row>
    <row r="314" spans="1:11" x14ac:dyDescent="0.3">
      <c r="A314" s="6"/>
      <c r="B314" s="7"/>
      <c r="C314" s="6"/>
      <c r="D314" s="6"/>
      <c r="E314" s="6"/>
      <c r="F314" s="6"/>
      <c r="G314" s="12"/>
      <c r="H314" s="12"/>
      <c r="I314" s="9" t="str">
        <f t="shared" si="5"/>
        <v/>
      </c>
      <c r="J314" s="7"/>
      <c r="K314" s="6"/>
    </row>
    <row r="315" spans="1:11" x14ac:dyDescent="0.3">
      <c r="A315" s="6"/>
      <c r="B315" s="7"/>
      <c r="C315" s="6"/>
      <c r="D315" s="6"/>
      <c r="E315" s="6"/>
      <c r="F315" s="6"/>
      <c r="G315" s="12"/>
      <c r="H315" s="12"/>
      <c r="I315" s="9" t="str">
        <f t="shared" si="5"/>
        <v/>
      </c>
      <c r="J315" s="7"/>
      <c r="K315" s="6"/>
    </row>
    <row r="316" spans="1:11" x14ac:dyDescent="0.3">
      <c r="A316" s="6"/>
      <c r="B316" s="7"/>
      <c r="C316" s="6"/>
      <c r="D316" s="6"/>
      <c r="E316" s="6"/>
      <c r="F316" s="6"/>
      <c r="G316" s="12"/>
      <c r="H316" s="12"/>
      <c r="I316" s="9" t="str">
        <f t="shared" si="5"/>
        <v/>
      </c>
      <c r="J316" s="7"/>
      <c r="K316" s="6"/>
    </row>
    <row r="317" spans="1:11" x14ac:dyDescent="0.3">
      <c r="A317" s="6"/>
      <c r="B317" s="7"/>
      <c r="C317" s="6"/>
      <c r="D317" s="6"/>
      <c r="E317" s="6"/>
      <c r="F317" s="6"/>
      <c r="G317" s="12"/>
      <c r="H317" s="12"/>
      <c r="I317" s="9" t="str">
        <f t="shared" si="5"/>
        <v/>
      </c>
      <c r="J317" s="7"/>
      <c r="K317" s="6"/>
    </row>
    <row r="318" spans="1:11" x14ac:dyDescent="0.3">
      <c r="A318" s="6"/>
      <c r="B318" s="7"/>
      <c r="C318" s="6"/>
      <c r="D318" s="6"/>
      <c r="E318" s="6"/>
      <c r="F318" s="6"/>
      <c r="G318" s="12"/>
      <c r="H318" s="12"/>
      <c r="I318" s="9" t="str">
        <f t="shared" si="5"/>
        <v/>
      </c>
      <c r="J318" s="7"/>
      <c r="K318" s="6"/>
    </row>
    <row r="319" spans="1:11" x14ac:dyDescent="0.3">
      <c r="A319" s="6"/>
      <c r="B319" s="7"/>
      <c r="C319" s="6"/>
      <c r="D319" s="6"/>
      <c r="E319" s="6"/>
      <c r="F319" s="6"/>
      <c r="G319" s="12"/>
      <c r="H319" s="12"/>
      <c r="I319" s="9" t="str">
        <f t="shared" si="5"/>
        <v/>
      </c>
      <c r="J319" s="7"/>
      <c r="K319" s="6"/>
    </row>
    <row r="320" spans="1:11" x14ac:dyDescent="0.3">
      <c r="A320" s="6"/>
      <c r="B320" s="7"/>
      <c r="C320" s="6"/>
      <c r="D320" s="6"/>
      <c r="E320" s="6"/>
      <c r="F320" s="6"/>
      <c r="G320" s="12"/>
      <c r="H320" s="12"/>
      <c r="I320" s="9" t="str">
        <f t="shared" si="5"/>
        <v/>
      </c>
      <c r="J320" s="7"/>
      <c r="K320" s="6"/>
    </row>
    <row r="321" spans="1:11" x14ac:dyDescent="0.3">
      <c r="A321" s="6"/>
      <c r="B321" s="7"/>
      <c r="C321" s="6"/>
      <c r="D321" s="6"/>
      <c r="E321" s="6"/>
      <c r="F321" s="6"/>
      <c r="G321" s="12"/>
      <c r="H321" s="12"/>
      <c r="I321" s="9" t="str">
        <f t="shared" si="5"/>
        <v/>
      </c>
      <c r="J321" s="7"/>
      <c r="K321" s="6"/>
    </row>
    <row r="322" spans="1:11" x14ac:dyDescent="0.3">
      <c r="A322" s="6"/>
      <c r="B322" s="7"/>
      <c r="C322" s="6"/>
      <c r="D322" s="6"/>
      <c r="E322" s="6"/>
      <c r="F322" s="6"/>
      <c r="G322" s="12"/>
      <c r="H322" s="12"/>
      <c r="I322" s="9" t="str">
        <f t="shared" si="5"/>
        <v/>
      </c>
      <c r="J322" s="7"/>
      <c r="K322" s="6"/>
    </row>
    <row r="323" spans="1:11" x14ac:dyDescent="0.3">
      <c r="A323" s="6"/>
      <c r="B323" s="7"/>
      <c r="C323" s="6"/>
      <c r="D323" s="6"/>
      <c r="E323" s="6"/>
      <c r="F323" s="6"/>
      <c r="G323" s="12"/>
      <c r="H323" s="12"/>
      <c r="I323" s="9" t="str">
        <f t="shared" si="5"/>
        <v/>
      </c>
      <c r="J323" s="7"/>
      <c r="K323" s="6"/>
    </row>
    <row r="324" spans="1:11" x14ac:dyDescent="0.3">
      <c r="A324" s="6"/>
      <c r="B324" s="7"/>
      <c r="C324" s="6"/>
      <c r="D324" s="6"/>
      <c r="E324" s="6"/>
      <c r="F324" s="6"/>
      <c r="G324" s="12"/>
      <c r="H324" s="12"/>
      <c r="I324" s="9" t="str">
        <f t="shared" si="5"/>
        <v/>
      </c>
      <c r="J324" s="7"/>
      <c r="K324" s="6"/>
    </row>
    <row r="325" spans="1:11" x14ac:dyDescent="0.3">
      <c r="A325" s="6"/>
      <c r="B325" s="7"/>
      <c r="C325" s="6"/>
      <c r="D325" s="6"/>
      <c r="E325" s="6"/>
      <c r="F325" s="6"/>
      <c r="G325" s="12"/>
      <c r="H325" s="12"/>
      <c r="I325" s="9" t="str">
        <f t="shared" si="5"/>
        <v/>
      </c>
      <c r="J325" s="7"/>
      <c r="K325" s="6"/>
    </row>
    <row r="326" spans="1:11" x14ac:dyDescent="0.3">
      <c r="A326" s="6"/>
      <c r="B326" s="7"/>
      <c r="C326" s="6"/>
      <c r="D326" s="6"/>
      <c r="E326" s="6"/>
      <c r="F326" s="6"/>
      <c r="G326" s="12"/>
      <c r="H326" s="12"/>
      <c r="I326" s="9" t="str">
        <f t="shared" si="5"/>
        <v/>
      </c>
      <c r="J326" s="7"/>
      <c r="K326" s="6"/>
    </row>
    <row r="327" spans="1:11" x14ac:dyDescent="0.3">
      <c r="A327" s="6"/>
      <c r="B327" s="7"/>
      <c r="C327" s="6"/>
      <c r="D327" s="6"/>
      <c r="E327" s="6"/>
      <c r="F327" s="6"/>
      <c r="G327" s="12"/>
      <c r="H327" s="12"/>
      <c r="I327" s="9" t="str">
        <f t="shared" si="5"/>
        <v/>
      </c>
      <c r="J327" s="7"/>
      <c r="K327" s="6"/>
    </row>
    <row r="328" spans="1:11" x14ac:dyDescent="0.3">
      <c r="A328" s="6"/>
      <c r="B328" s="7"/>
      <c r="C328" s="6"/>
      <c r="D328" s="6"/>
      <c r="E328" s="6"/>
      <c r="F328" s="6"/>
      <c r="G328" s="12"/>
      <c r="H328" s="12"/>
      <c r="I328" s="9" t="str">
        <f t="shared" si="5"/>
        <v/>
      </c>
      <c r="J328" s="7"/>
      <c r="K328" s="6"/>
    </row>
    <row r="329" spans="1:11" x14ac:dyDescent="0.3">
      <c r="A329" s="6"/>
      <c r="B329" s="7"/>
      <c r="C329" s="6"/>
      <c r="D329" s="6"/>
      <c r="E329" s="6"/>
      <c r="F329" s="6"/>
      <c r="G329" s="12"/>
      <c r="H329" s="12"/>
      <c r="I329" s="9" t="str">
        <f t="shared" si="5"/>
        <v/>
      </c>
      <c r="J329" s="7"/>
      <c r="K329" s="6"/>
    </row>
    <row r="330" spans="1:11" x14ac:dyDescent="0.3">
      <c r="A330" s="6"/>
      <c r="B330" s="7"/>
      <c r="C330" s="6"/>
      <c r="D330" s="6"/>
      <c r="E330" s="6"/>
      <c r="F330" s="6"/>
      <c r="G330" s="12"/>
      <c r="H330" s="12"/>
      <c r="I330" s="9" t="str">
        <f t="shared" si="5"/>
        <v/>
      </c>
      <c r="J330" s="7"/>
      <c r="K330" s="6"/>
    </row>
    <row r="331" spans="1:11" x14ac:dyDescent="0.3">
      <c r="A331" s="6"/>
      <c r="B331" s="7"/>
      <c r="C331" s="6"/>
      <c r="D331" s="6"/>
      <c r="E331" s="6"/>
      <c r="F331" s="6"/>
      <c r="G331" s="12"/>
      <c r="H331" s="12"/>
      <c r="I331" s="9" t="str">
        <f t="shared" si="5"/>
        <v/>
      </c>
      <c r="J331" s="7"/>
      <c r="K331" s="6"/>
    </row>
    <row r="332" spans="1:11" x14ac:dyDescent="0.3">
      <c r="A332" s="6"/>
      <c r="B332" s="7"/>
      <c r="C332" s="6"/>
      <c r="D332" s="6"/>
      <c r="E332" s="6"/>
      <c r="F332" s="6"/>
      <c r="G332" s="12"/>
      <c r="H332" s="12"/>
      <c r="I332" s="9" t="str">
        <f t="shared" si="5"/>
        <v/>
      </c>
      <c r="J332" s="7"/>
      <c r="K332" s="6"/>
    </row>
    <row r="333" spans="1:11" x14ac:dyDescent="0.3">
      <c r="A333" s="6"/>
      <c r="B333" s="7"/>
      <c r="C333" s="6"/>
      <c r="D333" s="6"/>
      <c r="E333" s="6"/>
      <c r="F333" s="6"/>
      <c r="G333" s="12"/>
      <c r="H333" s="12"/>
      <c r="I333" s="9" t="str">
        <f t="shared" si="5"/>
        <v/>
      </c>
      <c r="J333" s="7"/>
      <c r="K333" s="6"/>
    </row>
    <row r="334" spans="1:11" x14ac:dyDescent="0.3">
      <c r="A334" s="6"/>
      <c r="B334" s="7"/>
      <c r="C334" s="6"/>
      <c r="D334" s="6"/>
      <c r="E334" s="6"/>
      <c r="F334" s="6"/>
      <c r="G334" s="12"/>
      <c r="H334" s="12"/>
      <c r="I334" s="9" t="str">
        <f t="shared" si="5"/>
        <v/>
      </c>
      <c r="J334" s="7"/>
      <c r="K334" s="6"/>
    </row>
    <row r="335" spans="1:11" x14ac:dyDescent="0.3">
      <c r="A335" s="6"/>
      <c r="B335" s="7"/>
      <c r="C335" s="6"/>
      <c r="D335" s="6"/>
      <c r="E335" s="6"/>
      <c r="F335" s="6"/>
      <c r="G335" s="12"/>
      <c r="H335" s="12"/>
      <c r="I335" s="9" t="str">
        <f t="shared" si="5"/>
        <v/>
      </c>
      <c r="J335" s="7"/>
      <c r="K335" s="6"/>
    </row>
    <row r="336" spans="1:11" x14ac:dyDescent="0.3">
      <c r="A336" s="6"/>
      <c r="B336" s="7"/>
      <c r="C336" s="6"/>
      <c r="D336" s="6"/>
      <c r="E336" s="6"/>
      <c r="F336" s="6"/>
      <c r="G336" s="12"/>
      <c r="H336" s="12"/>
      <c r="I336" s="9" t="str">
        <f t="shared" si="5"/>
        <v/>
      </c>
      <c r="J336" s="7"/>
      <c r="K336" s="6"/>
    </row>
    <row r="337" spans="1:11" x14ac:dyDescent="0.3">
      <c r="A337" s="6"/>
      <c r="B337" s="7"/>
      <c r="C337" s="6"/>
      <c r="D337" s="6"/>
      <c r="E337" s="6"/>
      <c r="F337" s="6"/>
      <c r="G337" s="12"/>
      <c r="H337" s="12"/>
      <c r="I337" s="9" t="str">
        <f t="shared" si="5"/>
        <v/>
      </c>
      <c r="J337" s="7"/>
      <c r="K337" s="6"/>
    </row>
    <row r="338" spans="1:11" x14ac:dyDescent="0.3">
      <c r="A338" s="6"/>
      <c r="B338" s="7"/>
      <c r="C338" s="6"/>
      <c r="D338" s="6"/>
      <c r="E338" s="6"/>
      <c r="F338" s="6"/>
      <c r="G338" s="12"/>
      <c r="H338" s="12"/>
      <c r="I338" s="9" t="str">
        <f t="shared" si="5"/>
        <v/>
      </c>
      <c r="J338" s="7"/>
      <c r="K338" s="6"/>
    </row>
    <row r="339" spans="1:11" x14ac:dyDescent="0.3">
      <c r="A339" s="6"/>
      <c r="B339" s="7"/>
      <c r="C339" s="6"/>
      <c r="D339" s="6"/>
      <c r="E339" s="6"/>
      <c r="F339" s="6"/>
      <c r="G339" s="12"/>
      <c r="H339" s="12"/>
      <c r="I339" s="9" t="str">
        <f t="shared" si="5"/>
        <v/>
      </c>
      <c r="J339" s="7"/>
      <c r="K339" s="6"/>
    </row>
    <row r="340" spans="1:11" x14ac:dyDescent="0.3">
      <c r="A340" s="6"/>
      <c r="B340" s="7"/>
      <c r="C340" s="6"/>
      <c r="D340" s="6"/>
      <c r="E340" s="6"/>
      <c r="F340" s="6"/>
      <c r="G340" s="12"/>
      <c r="H340" s="12"/>
      <c r="I340" s="9" t="str">
        <f t="shared" si="5"/>
        <v/>
      </c>
      <c r="J340" s="7"/>
      <c r="K340" s="6"/>
    </row>
    <row r="341" spans="1:11" x14ac:dyDescent="0.3">
      <c r="A341" s="6"/>
      <c r="B341" s="7"/>
      <c r="C341" s="6"/>
      <c r="D341" s="6"/>
      <c r="E341" s="6"/>
      <c r="F341" s="6"/>
      <c r="G341" s="12"/>
      <c r="H341" s="12"/>
      <c r="I341" s="9" t="str">
        <f t="shared" si="5"/>
        <v/>
      </c>
      <c r="J341" s="7"/>
      <c r="K341" s="6"/>
    </row>
    <row r="342" spans="1:11" x14ac:dyDescent="0.3">
      <c r="A342" s="6"/>
      <c r="B342" s="7"/>
      <c r="C342" s="6"/>
      <c r="D342" s="6"/>
      <c r="E342" s="6"/>
      <c r="F342" s="6"/>
      <c r="G342" s="12"/>
      <c r="H342" s="12"/>
      <c r="I342" s="9" t="str">
        <f t="shared" si="5"/>
        <v/>
      </c>
      <c r="J342" s="7"/>
      <c r="K342" s="6"/>
    </row>
    <row r="343" spans="1:11" x14ac:dyDescent="0.3">
      <c r="A343" s="6"/>
      <c r="B343" s="7"/>
      <c r="C343" s="6"/>
      <c r="D343" s="6"/>
      <c r="E343" s="6"/>
      <c r="F343" s="6"/>
      <c r="G343" s="12"/>
      <c r="H343" s="12"/>
      <c r="I343" s="9" t="str">
        <f t="shared" si="5"/>
        <v/>
      </c>
      <c r="J343" s="7"/>
      <c r="K343" s="6"/>
    </row>
    <row r="344" spans="1:11" x14ac:dyDescent="0.3">
      <c r="A344" s="6"/>
      <c r="B344" s="7"/>
      <c r="C344" s="6"/>
      <c r="D344" s="6"/>
      <c r="E344" s="6"/>
      <c r="F344" s="6"/>
      <c r="G344" s="12"/>
      <c r="H344" s="12"/>
      <c r="I344" s="9" t="str">
        <f t="shared" si="5"/>
        <v/>
      </c>
      <c r="J344" s="7"/>
      <c r="K344" s="6"/>
    </row>
    <row r="345" spans="1:11" x14ac:dyDescent="0.3">
      <c r="A345" s="6"/>
      <c r="B345" s="7"/>
      <c r="C345" s="6"/>
      <c r="D345" s="6"/>
      <c r="E345" s="6"/>
      <c r="F345" s="6"/>
      <c r="G345" s="12"/>
      <c r="H345" s="12"/>
      <c r="I345" s="9" t="str">
        <f t="shared" si="5"/>
        <v/>
      </c>
      <c r="J345" s="7"/>
      <c r="K345" s="6"/>
    </row>
    <row r="346" spans="1:11" x14ac:dyDescent="0.3">
      <c r="A346" s="6"/>
      <c r="B346" s="7"/>
      <c r="C346" s="6"/>
      <c r="D346" s="6"/>
      <c r="E346" s="6"/>
      <c r="F346" s="6"/>
      <c r="G346" s="12"/>
      <c r="H346" s="12"/>
      <c r="I346" s="9" t="str">
        <f t="shared" si="5"/>
        <v/>
      </c>
      <c r="J346" s="7"/>
      <c r="K346" s="6"/>
    </row>
    <row r="347" spans="1:11" x14ac:dyDescent="0.3">
      <c r="A347" s="6"/>
      <c r="B347" s="7"/>
      <c r="C347" s="6"/>
      <c r="D347" s="6"/>
      <c r="E347" s="6"/>
      <c r="F347" s="6"/>
      <c r="G347" s="12"/>
      <c r="H347" s="12"/>
      <c r="I347" s="9" t="str">
        <f t="shared" si="5"/>
        <v/>
      </c>
      <c r="J347" s="7"/>
      <c r="K347" s="6"/>
    </row>
    <row r="348" spans="1:11" x14ac:dyDescent="0.3">
      <c r="A348" s="6"/>
      <c r="B348" s="7"/>
      <c r="C348" s="6"/>
      <c r="D348" s="6"/>
      <c r="E348" s="6"/>
      <c r="F348" s="6"/>
      <c r="G348" s="12"/>
      <c r="H348" s="12"/>
      <c r="I348" s="9" t="str">
        <f t="shared" si="5"/>
        <v/>
      </c>
      <c r="J348" s="7"/>
      <c r="K348" s="6"/>
    </row>
    <row r="349" spans="1:11" x14ac:dyDescent="0.3">
      <c r="A349" s="6"/>
      <c r="B349" s="7"/>
      <c r="C349" s="6"/>
      <c r="D349" s="6"/>
      <c r="E349" s="6"/>
      <c r="F349" s="6"/>
      <c r="G349" s="12"/>
      <c r="H349" s="12"/>
      <c r="I349" s="9" t="str">
        <f t="shared" si="5"/>
        <v/>
      </c>
      <c r="J349" s="7"/>
      <c r="K349" s="6"/>
    </row>
    <row r="350" spans="1:11" x14ac:dyDescent="0.3">
      <c r="A350" s="6"/>
      <c r="B350" s="7"/>
      <c r="C350" s="6"/>
      <c r="D350" s="6"/>
      <c r="E350" s="6"/>
      <c r="F350" s="6"/>
      <c r="G350" s="12"/>
      <c r="H350" s="12"/>
      <c r="I350" s="9" t="str">
        <f t="shared" si="5"/>
        <v/>
      </c>
      <c r="J350" s="7"/>
      <c r="K350" s="6"/>
    </row>
    <row r="351" spans="1:11" x14ac:dyDescent="0.3">
      <c r="A351" s="6"/>
      <c r="B351" s="7"/>
      <c r="C351" s="6"/>
      <c r="D351" s="6"/>
      <c r="E351" s="6"/>
      <c r="F351" s="6"/>
      <c r="G351" s="12"/>
      <c r="H351" s="12"/>
      <c r="I351" s="9" t="str">
        <f t="shared" si="5"/>
        <v/>
      </c>
      <c r="J351" s="7"/>
      <c r="K351" s="6"/>
    </row>
    <row r="352" spans="1:11" x14ac:dyDescent="0.3">
      <c r="A352" s="6"/>
      <c r="B352" s="7"/>
      <c r="C352" s="6"/>
      <c r="D352" s="6"/>
      <c r="E352" s="6"/>
      <c r="F352" s="6"/>
      <c r="G352" s="12"/>
      <c r="H352" s="12"/>
      <c r="I352" s="9" t="str">
        <f t="shared" si="5"/>
        <v/>
      </c>
      <c r="J352" s="7"/>
      <c r="K352" s="6"/>
    </row>
    <row r="353" spans="1:11" x14ac:dyDescent="0.3">
      <c r="A353" s="6"/>
      <c r="B353" s="7"/>
      <c r="C353" s="6"/>
      <c r="D353" s="6"/>
      <c r="E353" s="6"/>
      <c r="F353" s="6"/>
      <c r="G353" s="12"/>
      <c r="H353" s="12"/>
      <c r="I353" s="9" t="str">
        <f t="shared" si="5"/>
        <v/>
      </c>
      <c r="J353" s="7"/>
      <c r="K353" s="6"/>
    </row>
    <row r="354" spans="1:11" x14ac:dyDescent="0.3">
      <c r="A354" s="6"/>
      <c r="B354" s="7"/>
      <c r="C354" s="6"/>
      <c r="D354" s="6"/>
      <c r="E354" s="6"/>
      <c r="F354" s="6"/>
      <c r="G354" s="12"/>
      <c r="H354" s="12"/>
      <c r="I354" s="9" t="str">
        <f t="shared" si="5"/>
        <v/>
      </c>
      <c r="J354" s="7"/>
      <c r="K354" s="6"/>
    </row>
    <row r="355" spans="1:11" x14ac:dyDescent="0.3">
      <c r="A355" s="6"/>
      <c r="B355" s="7"/>
      <c r="C355" s="6"/>
      <c r="D355" s="6"/>
      <c r="E355" s="6"/>
      <c r="F355" s="6"/>
      <c r="G355" s="12"/>
      <c r="H355" s="12"/>
      <c r="I355" s="9" t="str">
        <f t="shared" si="5"/>
        <v/>
      </c>
      <c r="J355" s="7"/>
      <c r="K355" s="6"/>
    </row>
    <row r="356" spans="1:11" x14ac:dyDescent="0.3">
      <c r="A356" s="6"/>
      <c r="B356" s="7"/>
      <c r="C356" s="6"/>
      <c r="D356" s="6"/>
      <c r="E356" s="6"/>
      <c r="F356" s="6"/>
      <c r="G356" s="12"/>
      <c r="H356" s="12"/>
      <c r="I356" s="9" t="str">
        <f t="shared" si="5"/>
        <v/>
      </c>
      <c r="J356" s="7"/>
      <c r="K356" s="6"/>
    </row>
    <row r="357" spans="1:11" x14ac:dyDescent="0.3">
      <c r="A357" s="6"/>
      <c r="B357" s="7"/>
      <c r="C357" s="6"/>
      <c r="D357" s="6"/>
      <c r="E357" s="6"/>
      <c r="F357" s="6"/>
      <c r="G357" s="12"/>
      <c r="H357" s="12"/>
      <c r="I357" s="9" t="str">
        <f t="shared" si="5"/>
        <v/>
      </c>
      <c r="J357" s="7"/>
      <c r="K357" s="6"/>
    </row>
    <row r="358" spans="1:11" x14ac:dyDescent="0.3">
      <c r="A358" s="6"/>
      <c r="B358" s="7"/>
      <c r="C358" s="6"/>
      <c r="D358" s="6"/>
      <c r="E358" s="6"/>
      <c r="F358" s="6"/>
      <c r="G358" s="12"/>
      <c r="H358" s="12"/>
      <c r="I358" s="9" t="str">
        <f t="shared" si="5"/>
        <v/>
      </c>
      <c r="J358" s="7"/>
      <c r="K358" s="6"/>
    </row>
    <row r="359" spans="1:11" x14ac:dyDescent="0.3">
      <c r="A359" s="6"/>
      <c r="B359" s="7"/>
      <c r="C359" s="6"/>
      <c r="D359" s="6"/>
      <c r="E359" s="6"/>
      <c r="F359" s="6"/>
      <c r="G359" s="12"/>
      <c r="H359" s="12"/>
      <c r="I359" s="9" t="str">
        <f t="shared" si="5"/>
        <v/>
      </c>
      <c r="J359" s="7"/>
      <c r="K359" s="6"/>
    </row>
    <row r="360" spans="1:11" x14ac:dyDescent="0.3">
      <c r="A360" s="6"/>
      <c r="B360" s="7"/>
      <c r="C360" s="6"/>
      <c r="D360" s="6"/>
      <c r="E360" s="6"/>
      <c r="F360" s="6"/>
      <c r="G360" s="12"/>
      <c r="H360" s="12"/>
      <c r="I360" s="9" t="str">
        <f t="shared" si="5"/>
        <v/>
      </c>
      <c r="J360" s="7"/>
      <c r="K360" s="6"/>
    </row>
    <row r="361" spans="1:11" x14ac:dyDescent="0.3">
      <c r="A361" s="6"/>
      <c r="B361" s="7"/>
      <c r="C361" s="6"/>
      <c r="D361" s="6"/>
      <c r="E361" s="6"/>
      <c r="F361" s="6"/>
      <c r="G361" s="12"/>
      <c r="H361" s="12"/>
      <c r="I361" s="9" t="str">
        <f t="shared" si="5"/>
        <v/>
      </c>
      <c r="J361" s="7"/>
      <c r="K361" s="6"/>
    </row>
    <row r="362" spans="1:11" x14ac:dyDescent="0.3">
      <c r="A362" s="6"/>
      <c r="B362" s="7"/>
      <c r="C362" s="6"/>
      <c r="D362" s="6"/>
      <c r="E362" s="6"/>
      <c r="F362" s="6"/>
      <c r="G362" s="12"/>
      <c r="H362" s="12"/>
      <c r="I362" s="9" t="str">
        <f t="shared" si="5"/>
        <v/>
      </c>
      <c r="J362" s="7"/>
      <c r="K362" s="6"/>
    </row>
    <row r="363" spans="1:11" x14ac:dyDescent="0.3">
      <c r="A363" s="6"/>
      <c r="B363" s="7"/>
      <c r="C363" s="6"/>
      <c r="D363" s="6"/>
      <c r="E363" s="6"/>
      <c r="F363" s="6"/>
      <c r="G363" s="12"/>
      <c r="H363" s="12"/>
      <c r="I363" s="9" t="str">
        <f t="shared" si="5"/>
        <v/>
      </c>
      <c r="J363" s="7"/>
      <c r="K363" s="6"/>
    </row>
    <row r="364" spans="1:11" x14ac:dyDescent="0.3">
      <c r="A364" s="6"/>
      <c r="B364" s="7"/>
      <c r="C364" s="6"/>
      <c r="D364" s="6"/>
      <c r="E364" s="6"/>
      <c r="F364" s="6"/>
      <c r="G364" s="12"/>
      <c r="H364" s="12"/>
      <c r="I364" s="9" t="str">
        <f t="shared" si="5"/>
        <v/>
      </c>
      <c r="J364" s="7"/>
      <c r="K364" s="6"/>
    </row>
    <row r="365" spans="1:11" x14ac:dyDescent="0.3">
      <c r="A365" s="6"/>
      <c r="B365" s="7"/>
      <c r="C365" s="6"/>
      <c r="D365" s="6"/>
      <c r="E365" s="6"/>
      <c r="F365" s="6"/>
      <c r="G365" s="12"/>
      <c r="H365" s="12"/>
      <c r="I365" s="9" t="str">
        <f t="shared" si="5"/>
        <v/>
      </c>
      <c r="J365" s="7"/>
      <c r="K365" s="6"/>
    </row>
    <row r="366" spans="1:11" x14ac:dyDescent="0.3">
      <c r="A366" s="6"/>
      <c r="B366" s="7"/>
      <c r="C366" s="6"/>
      <c r="D366" s="6"/>
      <c r="E366" s="6"/>
      <c r="F366" s="6"/>
      <c r="G366" s="12"/>
      <c r="H366" s="12"/>
      <c r="I366" s="9" t="str">
        <f t="shared" si="5"/>
        <v/>
      </c>
      <c r="J366" s="7"/>
      <c r="K366" s="6"/>
    </row>
    <row r="367" spans="1:11" x14ac:dyDescent="0.3">
      <c r="A367" s="6"/>
      <c r="B367" s="7"/>
      <c r="C367" s="6"/>
      <c r="D367" s="6"/>
      <c r="E367" s="6"/>
      <c r="F367" s="6"/>
      <c r="G367" s="12"/>
      <c r="H367" s="12"/>
      <c r="I367" s="9" t="str">
        <f t="shared" si="5"/>
        <v/>
      </c>
      <c r="J367" s="7"/>
      <c r="K367" s="6"/>
    </row>
    <row r="368" spans="1:11" x14ac:dyDescent="0.3">
      <c r="A368" s="6"/>
      <c r="B368" s="7"/>
      <c r="C368" s="6"/>
      <c r="D368" s="6"/>
      <c r="E368" s="6"/>
      <c r="F368" s="6"/>
      <c r="G368" s="12"/>
      <c r="H368" s="12"/>
      <c r="I368" s="9" t="str">
        <f t="shared" si="5"/>
        <v/>
      </c>
      <c r="J368" s="7"/>
      <c r="K368" s="6"/>
    </row>
    <row r="369" spans="1:11" x14ac:dyDescent="0.3">
      <c r="A369" s="6"/>
      <c r="B369" s="7"/>
      <c r="C369" s="6"/>
      <c r="D369" s="6"/>
      <c r="E369" s="6"/>
      <c r="F369" s="6"/>
      <c r="G369" s="12"/>
      <c r="H369" s="12"/>
      <c r="I369" s="9" t="str">
        <f t="shared" si="5"/>
        <v/>
      </c>
      <c r="J369" s="7"/>
      <c r="K369" s="6"/>
    </row>
    <row r="370" spans="1:11" x14ac:dyDescent="0.3">
      <c r="A370" s="6"/>
      <c r="B370" s="7"/>
      <c r="C370" s="6"/>
      <c r="D370" s="6"/>
      <c r="E370" s="6"/>
      <c r="F370" s="6"/>
      <c r="G370" s="12"/>
      <c r="H370" s="12"/>
      <c r="I370" s="9" t="str">
        <f t="shared" si="5"/>
        <v/>
      </c>
      <c r="J370" s="7"/>
      <c r="K370" s="6"/>
    </row>
    <row r="371" spans="1:11" x14ac:dyDescent="0.3">
      <c r="A371" s="6"/>
      <c r="B371" s="7"/>
      <c r="C371" s="6"/>
      <c r="D371" s="6"/>
      <c r="E371" s="6"/>
      <c r="F371" s="6"/>
      <c r="G371" s="12"/>
      <c r="H371" s="12"/>
      <c r="I371" s="9" t="str">
        <f t="shared" si="5"/>
        <v/>
      </c>
      <c r="J371" s="7"/>
      <c r="K371" s="6"/>
    </row>
    <row r="372" spans="1:11" x14ac:dyDescent="0.3">
      <c r="A372" s="6"/>
      <c r="B372" s="7"/>
      <c r="C372" s="6"/>
      <c r="D372" s="6"/>
      <c r="E372" s="6"/>
      <c r="F372" s="6"/>
      <c r="G372" s="12"/>
      <c r="H372" s="12"/>
      <c r="I372" s="9" t="str">
        <f t="shared" si="5"/>
        <v/>
      </c>
      <c r="J372" s="7"/>
      <c r="K372" s="6"/>
    </row>
    <row r="373" spans="1:11" x14ac:dyDescent="0.3">
      <c r="A373" s="6"/>
      <c r="B373" s="7"/>
      <c r="C373" s="6"/>
      <c r="D373" s="6"/>
      <c r="E373" s="6"/>
      <c r="F373" s="6"/>
      <c r="G373" s="12"/>
      <c r="H373" s="12"/>
      <c r="I373" s="9" t="str">
        <f t="shared" ref="I373:I436" si="6">IF(AND(G373&lt;&gt;"",H373&lt;&gt;""),MOD(H373-G373,1)*24,"")</f>
        <v/>
      </c>
      <c r="J373" s="7"/>
      <c r="K373" s="6"/>
    </row>
    <row r="374" spans="1:11" x14ac:dyDescent="0.3">
      <c r="A374" s="6"/>
      <c r="B374" s="7"/>
      <c r="C374" s="6"/>
      <c r="D374" s="6"/>
      <c r="E374" s="6"/>
      <c r="F374" s="6"/>
      <c r="G374" s="12"/>
      <c r="H374" s="12"/>
      <c r="I374" s="9" t="str">
        <f t="shared" si="6"/>
        <v/>
      </c>
      <c r="J374" s="7"/>
      <c r="K374" s="6"/>
    </row>
    <row r="375" spans="1:11" x14ac:dyDescent="0.3">
      <c r="A375" s="6"/>
      <c r="B375" s="7"/>
      <c r="C375" s="6"/>
      <c r="D375" s="6"/>
      <c r="E375" s="6"/>
      <c r="F375" s="6"/>
      <c r="G375" s="12"/>
      <c r="H375" s="12"/>
      <c r="I375" s="9" t="str">
        <f t="shared" si="6"/>
        <v/>
      </c>
      <c r="J375" s="7"/>
      <c r="K375" s="6"/>
    </row>
    <row r="376" spans="1:11" x14ac:dyDescent="0.3">
      <c r="A376" s="6"/>
      <c r="B376" s="7"/>
      <c r="C376" s="6"/>
      <c r="D376" s="6"/>
      <c r="E376" s="6"/>
      <c r="F376" s="6"/>
      <c r="G376" s="12"/>
      <c r="H376" s="12"/>
      <c r="I376" s="9" t="str">
        <f t="shared" si="6"/>
        <v/>
      </c>
      <c r="J376" s="7"/>
      <c r="K376" s="6"/>
    </row>
    <row r="377" spans="1:11" x14ac:dyDescent="0.3">
      <c r="A377" s="6"/>
      <c r="B377" s="7"/>
      <c r="C377" s="6"/>
      <c r="D377" s="6"/>
      <c r="E377" s="6"/>
      <c r="F377" s="6"/>
      <c r="G377" s="12"/>
      <c r="H377" s="12"/>
      <c r="I377" s="9" t="str">
        <f t="shared" si="6"/>
        <v/>
      </c>
      <c r="J377" s="7"/>
      <c r="K377" s="6"/>
    </row>
    <row r="378" spans="1:11" x14ac:dyDescent="0.3">
      <c r="A378" s="6"/>
      <c r="B378" s="7"/>
      <c r="C378" s="6"/>
      <c r="D378" s="6"/>
      <c r="E378" s="6"/>
      <c r="F378" s="6"/>
      <c r="G378" s="12"/>
      <c r="H378" s="12"/>
      <c r="I378" s="9" t="str">
        <f t="shared" si="6"/>
        <v/>
      </c>
      <c r="J378" s="7"/>
      <c r="K378" s="6"/>
    </row>
    <row r="379" spans="1:11" x14ac:dyDescent="0.3">
      <c r="A379" s="6"/>
      <c r="B379" s="7"/>
      <c r="C379" s="6"/>
      <c r="D379" s="6"/>
      <c r="E379" s="6"/>
      <c r="F379" s="6"/>
      <c r="G379" s="12"/>
      <c r="H379" s="12"/>
      <c r="I379" s="9" t="str">
        <f t="shared" si="6"/>
        <v/>
      </c>
      <c r="J379" s="7"/>
      <c r="K379" s="6"/>
    </row>
    <row r="380" spans="1:11" x14ac:dyDescent="0.3">
      <c r="A380" s="6"/>
      <c r="B380" s="7"/>
      <c r="C380" s="6"/>
      <c r="D380" s="6"/>
      <c r="E380" s="6"/>
      <c r="F380" s="6"/>
      <c r="G380" s="12"/>
      <c r="H380" s="12"/>
      <c r="I380" s="9" t="str">
        <f t="shared" si="6"/>
        <v/>
      </c>
      <c r="J380" s="7"/>
      <c r="K380" s="6"/>
    </row>
    <row r="381" spans="1:11" x14ac:dyDescent="0.3">
      <c r="A381" s="6"/>
      <c r="B381" s="7"/>
      <c r="C381" s="6"/>
      <c r="D381" s="6"/>
      <c r="E381" s="6"/>
      <c r="F381" s="6"/>
      <c r="G381" s="12"/>
      <c r="H381" s="12"/>
      <c r="I381" s="9" t="str">
        <f t="shared" si="6"/>
        <v/>
      </c>
      <c r="J381" s="7"/>
      <c r="K381" s="6"/>
    </row>
    <row r="382" spans="1:11" x14ac:dyDescent="0.3">
      <c r="A382" s="6"/>
      <c r="B382" s="7"/>
      <c r="C382" s="6"/>
      <c r="D382" s="6"/>
      <c r="E382" s="6"/>
      <c r="F382" s="6"/>
      <c r="G382" s="12"/>
      <c r="H382" s="12"/>
      <c r="I382" s="9" t="str">
        <f t="shared" si="6"/>
        <v/>
      </c>
      <c r="J382" s="7"/>
      <c r="K382" s="6"/>
    </row>
    <row r="383" spans="1:11" x14ac:dyDescent="0.3">
      <c r="A383" s="6"/>
      <c r="B383" s="7"/>
      <c r="C383" s="6"/>
      <c r="D383" s="6"/>
      <c r="E383" s="6"/>
      <c r="F383" s="6"/>
      <c r="G383" s="12"/>
      <c r="H383" s="12"/>
      <c r="I383" s="9" t="str">
        <f t="shared" si="6"/>
        <v/>
      </c>
      <c r="J383" s="7"/>
      <c r="K383" s="6"/>
    </row>
    <row r="384" spans="1:11" x14ac:dyDescent="0.3">
      <c r="A384" s="6"/>
      <c r="B384" s="7"/>
      <c r="C384" s="6"/>
      <c r="D384" s="6"/>
      <c r="E384" s="6"/>
      <c r="F384" s="6"/>
      <c r="G384" s="12"/>
      <c r="H384" s="12"/>
      <c r="I384" s="9" t="str">
        <f t="shared" si="6"/>
        <v/>
      </c>
      <c r="J384" s="7"/>
      <c r="K384" s="6"/>
    </row>
    <row r="385" spans="1:11" x14ac:dyDescent="0.3">
      <c r="A385" s="6"/>
      <c r="B385" s="7"/>
      <c r="C385" s="6"/>
      <c r="D385" s="6"/>
      <c r="E385" s="6"/>
      <c r="F385" s="6"/>
      <c r="G385" s="12"/>
      <c r="H385" s="12"/>
      <c r="I385" s="9" t="str">
        <f t="shared" si="6"/>
        <v/>
      </c>
      <c r="J385" s="7"/>
      <c r="K385" s="6"/>
    </row>
    <row r="386" spans="1:11" x14ac:dyDescent="0.3">
      <c r="A386" s="6"/>
      <c r="B386" s="7"/>
      <c r="C386" s="6"/>
      <c r="D386" s="6"/>
      <c r="E386" s="6"/>
      <c r="F386" s="6"/>
      <c r="G386" s="12"/>
      <c r="H386" s="12"/>
      <c r="I386" s="9" t="str">
        <f t="shared" si="6"/>
        <v/>
      </c>
      <c r="J386" s="7"/>
      <c r="K386" s="6"/>
    </row>
    <row r="387" spans="1:11" x14ac:dyDescent="0.3">
      <c r="A387" s="6"/>
      <c r="B387" s="7"/>
      <c r="C387" s="6"/>
      <c r="D387" s="6"/>
      <c r="E387" s="6"/>
      <c r="F387" s="6"/>
      <c r="G387" s="12"/>
      <c r="H387" s="12"/>
      <c r="I387" s="9" t="str">
        <f t="shared" si="6"/>
        <v/>
      </c>
      <c r="J387" s="7"/>
      <c r="K387" s="6"/>
    </row>
    <row r="388" spans="1:11" x14ac:dyDescent="0.3">
      <c r="A388" s="6"/>
      <c r="B388" s="7"/>
      <c r="C388" s="6"/>
      <c r="D388" s="6"/>
      <c r="E388" s="6"/>
      <c r="F388" s="6"/>
      <c r="G388" s="12"/>
      <c r="H388" s="12"/>
      <c r="I388" s="9" t="str">
        <f t="shared" si="6"/>
        <v/>
      </c>
      <c r="J388" s="7"/>
      <c r="K388" s="6"/>
    </row>
    <row r="389" spans="1:11" x14ac:dyDescent="0.3">
      <c r="A389" s="6"/>
      <c r="B389" s="7"/>
      <c r="C389" s="6"/>
      <c r="D389" s="6"/>
      <c r="E389" s="6"/>
      <c r="F389" s="6"/>
      <c r="G389" s="12"/>
      <c r="H389" s="12"/>
      <c r="I389" s="9" t="str">
        <f t="shared" si="6"/>
        <v/>
      </c>
      <c r="J389" s="7"/>
      <c r="K389" s="6"/>
    </row>
    <row r="390" spans="1:11" x14ac:dyDescent="0.3">
      <c r="A390" s="6"/>
      <c r="B390" s="7"/>
      <c r="C390" s="6"/>
      <c r="D390" s="6"/>
      <c r="E390" s="6"/>
      <c r="F390" s="6"/>
      <c r="G390" s="12"/>
      <c r="H390" s="12"/>
      <c r="I390" s="9" t="str">
        <f t="shared" si="6"/>
        <v/>
      </c>
      <c r="J390" s="7"/>
      <c r="K390" s="6"/>
    </row>
    <row r="391" spans="1:11" x14ac:dyDescent="0.3">
      <c r="A391" s="6"/>
      <c r="B391" s="7"/>
      <c r="C391" s="6"/>
      <c r="D391" s="6"/>
      <c r="E391" s="6"/>
      <c r="F391" s="6"/>
      <c r="G391" s="12"/>
      <c r="H391" s="12"/>
      <c r="I391" s="9" t="str">
        <f t="shared" si="6"/>
        <v/>
      </c>
      <c r="J391" s="7"/>
      <c r="K391" s="6"/>
    </row>
    <row r="392" spans="1:11" x14ac:dyDescent="0.3">
      <c r="A392" s="6"/>
      <c r="B392" s="7"/>
      <c r="C392" s="6"/>
      <c r="D392" s="6"/>
      <c r="E392" s="6"/>
      <c r="F392" s="6"/>
      <c r="G392" s="12"/>
      <c r="H392" s="12"/>
      <c r="I392" s="9" t="str">
        <f t="shared" si="6"/>
        <v/>
      </c>
      <c r="J392" s="7"/>
      <c r="K392" s="6"/>
    </row>
    <row r="393" spans="1:11" x14ac:dyDescent="0.3">
      <c r="A393" s="6"/>
      <c r="B393" s="7"/>
      <c r="C393" s="6"/>
      <c r="D393" s="6"/>
      <c r="E393" s="6"/>
      <c r="F393" s="6"/>
      <c r="G393" s="12"/>
      <c r="H393" s="12"/>
      <c r="I393" s="9" t="str">
        <f t="shared" si="6"/>
        <v/>
      </c>
      <c r="J393" s="7"/>
      <c r="K393" s="6"/>
    </row>
    <row r="394" spans="1:11" x14ac:dyDescent="0.3">
      <c r="A394" s="6"/>
      <c r="B394" s="7"/>
      <c r="C394" s="6"/>
      <c r="D394" s="6"/>
      <c r="E394" s="6"/>
      <c r="F394" s="6"/>
      <c r="G394" s="12"/>
      <c r="H394" s="12"/>
      <c r="I394" s="9" t="str">
        <f t="shared" si="6"/>
        <v/>
      </c>
      <c r="J394" s="7"/>
      <c r="K394" s="6"/>
    </row>
    <row r="395" spans="1:11" x14ac:dyDescent="0.3">
      <c r="A395" s="6"/>
      <c r="B395" s="7"/>
      <c r="C395" s="6"/>
      <c r="D395" s="6"/>
      <c r="E395" s="6"/>
      <c r="F395" s="6"/>
      <c r="G395" s="12"/>
      <c r="H395" s="12"/>
      <c r="I395" s="9" t="str">
        <f t="shared" si="6"/>
        <v/>
      </c>
      <c r="J395" s="7"/>
      <c r="K395" s="6"/>
    </row>
    <row r="396" spans="1:11" x14ac:dyDescent="0.3">
      <c r="A396" s="6"/>
      <c r="B396" s="7"/>
      <c r="C396" s="6"/>
      <c r="D396" s="6"/>
      <c r="E396" s="6"/>
      <c r="F396" s="6"/>
      <c r="G396" s="12"/>
      <c r="H396" s="12"/>
      <c r="I396" s="9" t="str">
        <f t="shared" si="6"/>
        <v/>
      </c>
      <c r="J396" s="7"/>
      <c r="K396" s="6"/>
    </row>
    <row r="397" spans="1:11" x14ac:dyDescent="0.3">
      <c r="A397" s="6"/>
      <c r="B397" s="7"/>
      <c r="C397" s="6"/>
      <c r="D397" s="6"/>
      <c r="E397" s="6"/>
      <c r="F397" s="6"/>
      <c r="G397" s="12"/>
      <c r="H397" s="12"/>
      <c r="I397" s="9" t="str">
        <f t="shared" si="6"/>
        <v/>
      </c>
      <c r="J397" s="7"/>
      <c r="K397" s="6"/>
    </row>
    <row r="398" spans="1:11" x14ac:dyDescent="0.3">
      <c r="A398" s="6"/>
      <c r="B398" s="7"/>
      <c r="C398" s="6"/>
      <c r="D398" s="6"/>
      <c r="E398" s="6"/>
      <c r="F398" s="6"/>
      <c r="G398" s="12"/>
      <c r="H398" s="12"/>
      <c r="I398" s="9" t="str">
        <f t="shared" si="6"/>
        <v/>
      </c>
      <c r="J398" s="7"/>
      <c r="K398" s="6"/>
    </row>
    <row r="399" spans="1:11" x14ac:dyDescent="0.3">
      <c r="A399" s="6"/>
      <c r="B399" s="7"/>
      <c r="C399" s="6"/>
      <c r="D399" s="6"/>
      <c r="E399" s="6"/>
      <c r="F399" s="6"/>
      <c r="G399" s="12"/>
      <c r="H399" s="12"/>
      <c r="I399" s="9" t="str">
        <f t="shared" si="6"/>
        <v/>
      </c>
      <c r="J399" s="7"/>
      <c r="K399" s="6"/>
    </row>
    <row r="400" spans="1:11" x14ac:dyDescent="0.3">
      <c r="A400" s="6"/>
      <c r="B400" s="7"/>
      <c r="C400" s="6"/>
      <c r="D400" s="6"/>
      <c r="E400" s="6"/>
      <c r="F400" s="6"/>
      <c r="G400" s="12"/>
      <c r="H400" s="12"/>
      <c r="I400" s="9" t="str">
        <f t="shared" si="6"/>
        <v/>
      </c>
      <c r="J400" s="7"/>
      <c r="K400" s="6"/>
    </row>
    <row r="401" spans="1:11" x14ac:dyDescent="0.3">
      <c r="A401" s="6"/>
      <c r="B401" s="7"/>
      <c r="C401" s="6"/>
      <c r="D401" s="6"/>
      <c r="E401" s="6"/>
      <c r="F401" s="6"/>
      <c r="G401" s="12"/>
      <c r="H401" s="12"/>
      <c r="I401" s="9" t="str">
        <f t="shared" si="6"/>
        <v/>
      </c>
      <c r="J401" s="7"/>
      <c r="K401" s="6"/>
    </row>
    <row r="402" spans="1:11" x14ac:dyDescent="0.3">
      <c r="A402" s="6"/>
      <c r="B402" s="7"/>
      <c r="C402" s="6"/>
      <c r="D402" s="6"/>
      <c r="E402" s="6"/>
      <c r="F402" s="6"/>
      <c r="G402" s="12"/>
      <c r="H402" s="12"/>
      <c r="I402" s="9" t="str">
        <f t="shared" si="6"/>
        <v/>
      </c>
      <c r="J402" s="7"/>
      <c r="K402" s="6"/>
    </row>
    <row r="403" spans="1:11" x14ac:dyDescent="0.3">
      <c r="A403" s="6"/>
      <c r="B403" s="7"/>
      <c r="C403" s="6"/>
      <c r="D403" s="6"/>
      <c r="E403" s="6"/>
      <c r="F403" s="6"/>
      <c r="G403" s="12"/>
      <c r="H403" s="12"/>
      <c r="I403" s="9" t="str">
        <f t="shared" si="6"/>
        <v/>
      </c>
      <c r="J403" s="7"/>
      <c r="K403" s="6"/>
    </row>
    <row r="404" spans="1:11" x14ac:dyDescent="0.3">
      <c r="A404" s="6"/>
      <c r="B404" s="7"/>
      <c r="C404" s="6"/>
      <c r="D404" s="6"/>
      <c r="E404" s="6"/>
      <c r="F404" s="6"/>
      <c r="G404" s="12"/>
      <c r="H404" s="12"/>
      <c r="I404" s="9" t="str">
        <f t="shared" si="6"/>
        <v/>
      </c>
      <c r="J404" s="7"/>
      <c r="K404" s="6"/>
    </row>
    <row r="405" spans="1:11" x14ac:dyDescent="0.3">
      <c r="A405" s="6"/>
      <c r="B405" s="7"/>
      <c r="C405" s="6"/>
      <c r="D405" s="6"/>
      <c r="E405" s="6"/>
      <c r="F405" s="6"/>
      <c r="G405" s="12"/>
      <c r="H405" s="12"/>
      <c r="I405" s="9" t="str">
        <f t="shared" si="6"/>
        <v/>
      </c>
      <c r="J405" s="7"/>
      <c r="K405" s="6"/>
    </row>
    <row r="406" spans="1:11" x14ac:dyDescent="0.3">
      <c r="A406" s="6"/>
      <c r="B406" s="7"/>
      <c r="C406" s="6"/>
      <c r="D406" s="6"/>
      <c r="E406" s="6"/>
      <c r="F406" s="6"/>
      <c r="G406" s="12"/>
      <c r="H406" s="12"/>
      <c r="I406" s="9" t="str">
        <f t="shared" si="6"/>
        <v/>
      </c>
      <c r="J406" s="7"/>
      <c r="K406" s="6"/>
    </row>
    <row r="407" spans="1:11" x14ac:dyDescent="0.3">
      <c r="A407" s="6"/>
      <c r="B407" s="7"/>
      <c r="C407" s="6"/>
      <c r="D407" s="6"/>
      <c r="E407" s="6"/>
      <c r="F407" s="6"/>
      <c r="G407" s="12"/>
      <c r="H407" s="12"/>
      <c r="I407" s="9" t="str">
        <f t="shared" si="6"/>
        <v/>
      </c>
      <c r="J407" s="7"/>
      <c r="K407" s="6"/>
    </row>
    <row r="408" spans="1:11" x14ac:dyDescent="0.3">
      <c r="A408" s="6"/>
      <c r="B408" s="7"/>
      <c r="C408" s="6"/>
      <c r="D408" s="6"/>
      <c r="E408" s="6"/>
      <c r="F408" s="6"/>
      <c r="G408" s="12"/>
      <c r="H408" s="12"/>
      <c r="I408" s="9" t="str">
        <f t="shared" si="6"/>
        <v/>
      </c>
      <c r="J408" s="7"/>
      <c r="K408" s="6"/>
    </row>
    <row r="409" spans="1:11" x14ac:dyDescent="0.3">
      <c r="A409" s="6"/>
      <c r="B409" s="7"/>
      <c r="C409" s="6"/>
      <c r="D409" s="6"/>
      <c r="E409" s="6"/>
      <c r="F409" s="6"/>
      <c r="G409" s="12"/>
      <c r="H409" s="12"/>
      <c r="I409" s="9" t="str">
        <f t="shared" si="6"/>
        <v/>
      </c>
      <c r="J409" s="7"/>
      <c r="K409" s="6"/>
    </row>
    <row r="410" spans="1:11" x14ac:dyDescent="0.3">
      <c r="A410" s="6"/>
      <c r="B410" s="7"/>
      <c r="C410" s="6"/>
      <c r="D410" s="6"/>
      <c r="E410" s="6"/>
      <c r="F410" s="6"/>
      <c r="G410" s="12"/>
      <c r="H410" s="12"/>
      <c r="I410" s="9" t="str">
        <f t="shared" si="6"/>
        <v/>
      </c>
      <c r="J410" s="7"/>
      <c r="K410" s="6"/>
    </row>
    <row r="411" spans="1:11" x14ac:dyDescent="0.3">
      <c r="A411" s="6"/>
      <c r="B411" s="7"/>
      <c r="C411" s="6"/>
      <c r="D411" s="6"/>
      <c r="E411" s="6"/>
      <c r="F411" s="6"/>
      <c r="G411" s="12"/>
      <c r="H411" s="12"/>
      <c r="I411" s="9" t="str">
        <f t="shared" si="6"/>
        <v/>
      </c>
      <c r="J411" s="7"/>
      <c r="K411" s="6"/>
    </row>
    <row r="412" spans="1:11" x14ac:dyDescent="0.3">
      <c r="A412" s="6"/>
      <c r="B412" s="7"/>
      <c r="C412" s="6"/>
      <c r="D412" s="6"/>
      <c r="E412" s="6"/>
      <c r="F412" s="6"/>
      <c r="G412" s="12"/>
      <c r="H412" s="12"/>
      <c r="I412" s="9" t="str">
        <f t="shared" si="6"/>
        <v/>
      </c>
      <c r="J412" s="7"/>
      <c r="K412" s="6"/>
    </row>
    <row r="413" spans="1:11" x14ac:dyDescent="0.3">
      <c r="A413" s="6"/>
      <c r="B413" s="7"/>
      <c r="C413" s="6"/>
      <c r="D413" s="6"/>
      <c r="E413" s="6"/>
      <c r="F413" s="6"/>
      <c r="G413" s="12"/>
      <c r="H413" s="12"/>
      <c r="I413" s="9" t="str">
        <f t="shared" si="6"/>
        <v/>
      </c>
      <c r="J413" s="7"/>
      <c r="K413" s="6"/>
    </row>
    <row r="414" spans="1:11" x14ac:dyDescent="0.3">
      <c r="A414" s="6"/>
      <c r="B414" s="7"/>
      <c r="C414" s="6"/>
      <c r="D414" s="6"/>
      <c r="E414" s="6"/>
      <c r="F414" s="6"/>
      <c r="G414" s="12"/>
      <c r="H414" s="12"/>
      <c r="I414" s="9" t="str">
        <f t="shared" si="6"/>
        <v/>
      </c>
      <c r="J414" s="7"/>
      <c r="K414" s="6"/>
    </row>
    <row r="415" spans="1:11" x14ac:dyDescent="0.3">
      <c r="A415" s="6"/>
      <c r="B415" s="7"/>
      <c r="C415" s="6"/>
      <c r="D415" s="6"/>
      <c r="E415" s="6"/>
      <c r="F415" s="6"/>
      <c r="G415" s="12"/>
      <c r="H415" s="12"/>
      <c r="I415" s="9" t="str">
        <f t="shared" si="6"/>
        <v/>
      </c>
      <c r="J415" s="7"/>
      <c r="K415" s="6"/>
    </row>
    <row r="416" spans="1:11" x14ac:dyDescent="0.3">
      <c r="A416" s="6"/>
      <c r="B416" s="7"/>
      <c r="C416" s="6"/>
      <c r="D416" s="6"/>
      <c r="E416" s="6"/>
      <c r="F416" s="6"/>
      <c r="G416" s="12"/>
      <c r="H416" s="12"/>
      <c r="I416" s="9" t="str">
        <f t="shared" si="6"/>
        <v/>
      </c>
      <c r="J416" s="7"/>
      <c r="K416" s="6"/>
    </row>
    <row r="417" spans="1:11" x14ac:dyDescent="0.3">
      <c r="A417" s="6"/>
      <c r="B417" s="7"/>
      <c r="C417" s="6"/>
      <c r="D417" s="6"/>
      <c r="E417" s="6"/>
      <c r="F417" s="6"/>
      <c r="G417" s="12"/>
      <c r="H417" s="12"/>
      <c r="I417" s="9" t="str">
        <f t="shared" si="6"/>
        <v/>
      </c>
      <c r="J417" s="7"/>
      <c r="K417" s="6"/>
    </row>
    <row r="418" spans="1:11" x14ac:dyDescent="0.3">
      <c r="A418" s="6"/>
      <c r="B418" s="7"/>
      <c r="C418" s="6"/>
      <c r="D418" s="6"/>
      <c r="E418" s="6"/>
      <c r="F418" s="6"/>
      <c r="G418" s="12"/>
      <c r="H418" s="12"/>
      <c r="I418" s="9" t="str">
        <f t="shared" si="6"/>
        <v/>
      </c>
      <c r="J418" s="7"/>
      <c r="K418" s="6"/>
    </row>
    <row r="419" spans="1:11" x14ac:dyDescent="0.3">
      <c r="A419" s="6"/>
      <c r="B419" s="7"/>
      <c r="C419" s="6"/>
      <c r="D419" s="6"/>
      <c r="E419" s="6"/>
      <c r="F419" s="6"/>
      <c r="G419" s="12"/>
      <c r="H419" s="12"/>
      <c r="I419" s="9" t="str">
        <f t="shared" si="6"/>
        <v/>
      </c>
      <c r="J419" s="7"/>
      <c r="K419" s="6"/>
    </row>
    <row r="420" spans="1:11" x14ac:dyDescent="0.3">
      <c r="A420" s="6"/>
      <c r="B420" s="7"/>
      <c r="C420" s="6"/>
      <c r="D420" s="6"/>
      <c r="E420" s="6"/>
      <c r="F420" s="6"/>
      <c r="G420" s="12"/>
      <c r="H420" s="12"/>
      <c r="I420" s="9" t="str">
        <f t="shared" si="6"/>
        <v/>
      </c>
      <c r="J420" s="7"/>
      <c r="K420" s="6"/>
    </row>
    <row r="421" spans="1:11" x14ac:dyDescent="0.3">
      <c r="A421" s="6"/>
      <c r="B421" s="7"/>
      <c r="C421" s="6"/>
      <c r="D421" s="6"/>
      <c r="E421" s="6"/>
      <c r="F421" s="6"/>
      <c r="G421" s="12"/>
      <c r="H421" s="12"/>
      <c r="I421" s="9" t="str">
        <f t="shared" si="6"/>
        <v/>
      </c>
      <c r="J421" s="7"/>
      <c r="K421" s="6"/>
    </row>
    <row r="422" spans="1:11" x14ac:dyDescent="0.3">
      <c r="A422" s="6"/>
      <c r="B422" s="7"/>
      <c r="C422" s="6"/>
      <c r="D422" s="6"/>
      <c r="E422" s="6"/>
      <c r="F422" s="6"/>
      <c r="G422" s="12"/>
      <c r="H422" s="12"/>
      <c r="I422" s="9" t="str">
        <f t="shared" si="6"/>
        <v/>
      </c>
      <c r="J422" s="7"/>
      <c r="K422" s="6"/>
    </row>
    <row r="423" spans="1:11" x14ac:dyDescent="0.3">
      <c r="A423" s="6"/>
      <c r="B423" s="7"/>
      <c r="C423" s="6"/>
      <c r="D423" s="6"/>
      <c r="E423" s="6"/>
      <c r="F423" s="6"/>
      <c r="G423" s="12"/>
      <c r="H423" s="12"/>
      <c r="I423" s="9" t="str">
        <f t="shared" si="6"/>
        <v/>
      </c>
      <c r="J423" s="7"/>
      <c r="K423" s="6"/>
    </row>
    <row r="424" spans="1:11" x14ac:dyDescent="0.3">
      <c r="A424" s="6"/>
      <c r="B424" s="7"/>
      <c r="C424" s="6"/>
      <c r="D424" s="6"/>
      <c r="E424" s="6"/>
      <c r="F424" s="6"/>
      <c r="G424" s="12"/>
      <c r="H424" s="12"/>
      <c r="I424" s="9" t="str">
        <f t="shared" si="6"/>
        <v/>
      </c>
      <c r="J424" s="7"/>
      <c r="K424" s="6"/>
    </row>
    <row r="425" spans="1:11" x14ac:dyDescent="0.3">
      <c r="A425" s="6"/>
      <c r="B425" s="7"/>
      <c r="C425" s="6"/>
      <c r="D425" s="6"/>
      <c r="E425" s="6"/>
      <c r="F425" s="6"/>
      <c r="G425" s="12"/>
      <c r="H425" s="12"/>
      <c r="I425" s="9" t="str">
        <f t="shared" si="6"/>
        <v/>
      </c>
      <c r="J425" s="7"/>
      <c r="K425" s="6"/>
    </row>
    <row r="426" spans="1:11" x14ac:dyDescent="0.3">
      <c r="A426" s="6"/>
      <c r="B426" s="7"/>
      <c r="C426" s="6"/>
      <c r="D426" s="6"/>
      <c r="E426" s="6"/>
      <c r="F426" s="6"/>
      <c r="G426" s="12"/>
      <c r="H426" s="12"/>
      <c r="I426" s="9" t="str">
        <f t="shared" si="6"/>
        <v/>
      </c>
      <c r="J426" s="7"/>
      <c r="K426" s="6"/>
    </row>
    <row r="427" spans="1:11" x14ac:dyDescent="0.3">
      <c r="A427" s="6"/>
      <c r="B427" s="7"/>
      <c r="C427" s="6"/>
      <c r="D427" s="6"/>
      <c r="E427" s="6"/>
      <c r="F427" s="6"/>
      <c r="G427" s="12"/>
      <c r="H427" s="12"/>
      <c r="I427" s="9" t="str">
        <f t="shared" si="6"/>
        <v/>
      </c>
      <c r="J427" s="7"/>
      <c r="K427" s="6"/>
    </row>
    <row r="428" spans="1:11" x14ac:dyDescent="0.3">
      <c r="A428" s="6"/>
      <c r="B428" s="7"/>
      <c r="C428" s="6"/>
      <c r="D428" s="6"/>
      <c r="E428" s="6"/>
      <c r="F428" s="6"/>
      <c r="G428" s="12"/>
      <c r="H428" s="12"/>
      <c r="I428" s="9" t="str">
        <f t="shared" si="6"/>
        <v/>
      </c>
      <c r="J428" s="7"/>
      <c r="K428" s="6"/>
    </row>
    <row r="429" spans="1:11" x14ac:dyDescent="0.3">
      <c r="A429" s="6"/>
      <c r="B429" s="7"/>
      <c r="C429" s="6"/>
      <c r="D429" s="6"/>
      <c r="E429" s="6"/>
      <c r="F429" s="6"/>
      <c r="G429" s="12"/>
      <c r="H429" s="12"/>
      <c r="I429" s="9" t="str">
        <f t="shared" si="6"/>
        <v/>
      </c>
      <c r="J429" s="7"/>
      <c r="K429" s="6"/>
    </row>
    <row r="430" spans="1:11" x14ac:dyDescent="0.3">
      <c r="A430" s="6"/>
      <c r="B430" s="7"/>
      <c r="C430" s="6"/>
      <c r="D430" s="6"/>
      <c r="E430" s="6"/>
      <c r="F430" s="6"/>
      <c r="G430" s="12"/>
      <c r="H430" s="12"/>
      <c r="I430" s="9" t="str">
        <f t="shared" si="6"/>
        <v/>
      </c>
      <c r="J430" s="7"/>
      <c r="K430" s="6"/>
    </row>
    <row r="431" spans="1:11" x14ac:dyDescent="0.3">
      <c r="A431" s="6"/>
      <c r="B431" s="7"/>
      <c r="C431" s="6"/>
      <c r="D431" s="6"/>
      <c r="E431" s="6"/>
      <c r="F431" s="6"/>
      <c r="G431" s="12"/>
      <c r="H431" s="12"/>
      <c r="I431" s="9" t="str">
        <f t="shared" si="6"/>
        <v/>
      </c>
      <c r="J431" s="7"/>
      <c r="K431" s="6"/>
    </row>
    <row r="432" spans="1:11" x14ac:dyDescent="0.3">
      <c r="A432" s="6"/>
      <c r="B432" s="7"/>
      <c r="C432" s="6"/>
      <c r="D432" s="6"/>
      <c r="E432" s="6"/>
      <c r="F432" s="6"/>
      <c r="G432" s="12"/>
      <c r="H432" s="12"/>
      <c r="I432" s="9" t="str">
        <f t="shared" si="6"/>
        <v/>
      </c>
      <c r="J432" s="7"/>
      <c r="K432" s="6"/>
    </row>
    <row r="433" spans="1:11" x14ac:dyDescent="0.3">
      <c r="A433" s="6"/>
      <c r="B433" s="7"/>
      <c r="C433" s="6"/>
      <c r="D433" s="6"/>
      <c r="E433" s="6"/>
      <c r="F433" s="6"/>
      <c r="G433" s="12"/>
      <c r="H433" s="12"/>
      <c r="I433" s="9" t="str">
        <f t="shared" si="6"/>
        <v/>
      </c>
      <c r="J433" s="7"/>
      <c r="K433" s="6"/>
    </row>
    <row r="434" spans="1:11" x14ac:dyDescent="0.3">
      <c r="A434" s="6"/>
      <c r="B434" s="7"/>
      <c r="C434" s="6"/>
      <c r="D434" s="6"/>
      <c r="E434" s="6"/>
      <c r="F434" s="6"/>
      <c r="G434" s="12"/>
      <c r="H434" s="12"/>
      <c r="I434" s="9" t="str">
        <f t="shared" si="6"/>
        <v/>
      </c>
      <c r="J434" s="7"/>
      <c r="K434" s="6"/>
    </row>
    <row r="435" spans="1:11" x14ac:dyDescent="0.3">
      <c r="A435" s="6"/>
      <c r="B435" s="7"/>
      <c r="C435" s="6"/>
      <c r="D435" s="6"/>
      <c r="E435" s="6"/>
      <c r="F435" s="6"/>
      <c r="G435" s="12"/>
      <c r="H435" s="12"/>
      <c r="I435" s="9" t="str">
        <f t="shared" si="6"/>
        <v/>
      </c>
      <c r="J435" s="7"/>
      <c r="K435" s="6"/>
    </row>
    <row r="436" spans="1:11" x14ac:dyDescent="0.3">
      <c r="A436" s="6"/>
      <c r="B436" s="7"/>
      <c r="C436" s="6"/>
      <c r="D436" s="6"/>
      <c r="E436" s="6"/>
      <c r="F436" s="6"/>
      <c r="G436" s="12"/>
      <c r="H436" s="12"/>
      <c r="I436" s="9" t="str">
        <f t="shared" si="6"/>
        <v/>
      </c>
      <c r="J436" s="7"/>
      <c r="K436" s="6"/>
    </row>
    <row r="437" spans="1:11" x14ac:dyDescent="0.3">
      <c r="A437" s="6"/>
      <c r="B437" s="7"/>
      <c r="C437" s="6"/>
      <c r="D437" s="6"/>
      <c r="E437" s="6"/>
      <c r="F437" s="6"/>
      <c r="G437" s="12"/>
      <c r="H437" s="12"/>
      <c r="I437" s="9" t="str">
        <f t="shared" ref="I437:I500" si="7">IF(AND(G437&lt;&gt;"",H437&lt;&gt;""),MOD(H437-G437,1)*24,"")</f>
        <v/>
      </c>
      <c r="J437" s="7"/>
      <c r="K437" s="6"/>
    </row>
    <row r="438" spans="1:11" x14ac:dyDescent="0.3">
      <c r="A438" s="6"/>
      <c r="B438" s="7"/>
      <c r="C438" s="6"/>
      <c r="D438" s="6"/>
      <c r="E438" s="6"/>
      <c r="F438" s="6"/>
      <c r="G438" s="12"/>
      <c r="H438" s="12"/>
      <c r="I438" s="9" t="str">
        <f t="shared" si="7"/>
        <v/>
      </c>
      <c r="J438" s="7"/>
      <c r="K438" s="6"/>
    </row>
    <row r="439" spans="1:11" x14ac:dyDescent="0.3">
      <c r="A439" s="6"/>
      <c r="B439" s="7"/>
      <c r="C439" s="6"/>
      <c r="D439" s="6"/>
      <c r="E439" s="6"/>
      <c r="F439" s="6"/>
      <c r="G439" s="12"/>
      <c r="H439" s="12"/>
      <c r="I439" s="9" t="str">
        <f t="shared" si="7"/>
        <v/>
      </c>
      <c r="J439" s="7"/>
      <c r="K439" s="6"/>
    </row>
    <row r="440" spans="1:11" x14ac:dyDescent="0.3">
      <c r="A440" s="6"/>
      <c r="B440" s="7"/>
      <c r="C440" s="6"/>
      <c r="D440" s="6"/>
      <c r="E440" s="6"/>
      <c r="F440" s="6"/>
      <c r="G440" s="12"/>
      <c r="H440" s="12"/>
      <c r="I440" s="9" t="str">
        <f t="shared" si="7"/>
        <v/>
      </c>
      <c r="J440" s="7"/>
      <c r="K440" s="6"/>
    </row>
    <row r="441" spans="1:11" x14ac:dyDescent="0.3">
      <c r="A441" s="6"/>
      <c r="B441" s="7"/>
      <c r="C441" s="6"/>
      <c r="D441" s="6"/>
      <c r="E441" s="6"/>
      <c r="F441" s="6"/>
      <c r="G441" s="12"/>
      <c r="H441" s="12"/>
      <c r="I441" s="9" t="str">
        <f t="shared" si="7"/>
        <v/>
      </c>
      <c r="J441" s="7"/>
      <c r="K441" s="6"/>
    </row>
    <row r="442" spans="1:11" x14ac:dyDescent="0.3">
      <c r="A442" s="6"/>
      <c r="B442" s="7"/>
      <c r="C442" s="6"/>
      <c r="D442" s="6"/>
      <c r="E442" s="6"/>
      <c r="F442" s="6"/>
      <c r="G442" s="12"/>
      <c r="H442" s="12"/>
      <c r="I442" s="9" t="str">
        <f t="shared" si="7"/>
        <v/>
      </c>
      <c r="J442" s="7"/>
      <c r="K442" s="6"/>
    </row>
    <row r="443" spans="1:11" x14ac:dyDescent="0.3">
      <c r="A443" s="6"/>
      <c r="B443" s="7"/>
      <c r="C443" s="6"/>
      <c r="D443" s="6"/>
      <c r="E443" s="6"/>
      <c r="F443" s="6"/>
      <c r="G443" s="12"/>
      <c r="H443" s="12"/>
      <c r="I443" s="9" t="str">
        <f t="shared" si="7"/>
        <v/>
      </c>
      <c r="J443" s="7"/>
      <c r="K443" s="6"/>
    </row>
    <row r="444" spans="1:11" x14ac:dyDescent="0.3">
      <c r="A444" s="6"/>
      <c r="B444" s="7"/>
      <c r="C444" s="6"/>
      <c r="D444" s="6"/>
      <c r="E444" s="6"/>
      <c r="F444" s="6"/>
      <c r="G444" s="12"/>
      <c r="H444" s="12"/>
      <c r="I444" s="9" t="str">
        <f t="shared" si="7"/>
        <v/>
      </c>
      <c r="J444" s="7"/>
      <c r="K444" s="6"/>
    </row>
    <row r="445" spans="1:11" x14ac:dyDescent="0.3">
      <c r="A445" s="6"/>
      <c r="B445" s="7"/>
      <c r="C445" s="6"/>
      <c r="D445" s="6"/>
      <c r="E445" s="6"/>
      <c r="F445" s="6"/>
      <c r="G445" s="12"/>
      <c r="H445" s="12"/>
      <c r="I445" s="9" t="str">
        <f t="shared" si="7"/>
        <v/>
      </c>
      <c r="J445" s="7"/>
      <c r="K445" s="6"/>
    </row>
    <row r="446" spans="1:11" x14ac:dyDescent="0.3">
      <c r="A446" s="6"/>
      <c r="B446" s="7"/>
      <c r="C446" s="6"/>
      <c r="D446" s="6"/>
      <c r="E446" s="6"/>
      <c r="F446" s="6"/>
      <c r="G446" s="12"/>
      <c r="H446" s="12"/>
      <c r="I446" s="9" t="str">
        <f t="shared" si="7"/>
        <v/>
      </c>
      <c r="J446" s="7"/>
      <c r="K446" s="6"/>
    </row>
    <row r="447" spans="1:11" x14ac:dyDescent="0.3">
      <c r="A447" s="6"/>
      <c r="B447" s="7"/>
      <c r="C447" s="6"/>
      <c r="D447" s="6"/>
      <c r="E447" s="6"/>
      <c r="F447" s="6"/>
      <c r="G447" s="12"/>
      <c r="H447" s="12"/>
      <c r="I447" s="9" t="str">
        <f t="shared" si="7"/>
        <v/>
      </c>
      <c r="J447" s="7"/>
      <c r="K447" s="6"/>
    </row>
    <row r="448" spans="1:11" x14ac:dyDescent="0.3">
      <c r="A448" s="6"/>
      <c r="B448" s="7"/>
      <c r="C448" s="6"/>
      <c r="D448" s="6"/>
      <c r="E448" s="6"/>
      <c r="F448" s="6"/>
      <c r="G448" s="12"/>
      <c r="H448" s="12"/>
      <c r="I448" s="9" t="str">
        <f t="shared" si="7"/>
        <v/>
      </c>
      <c r="J448" s="7"/>
      <c r="K448" s="6"/>
    </row>
    <row r="449" spans="1:11" x14ac:dyDescent="0.3">
      <c r="A449" s="6"/>
      <c r="B449" s="7"/>
      <c r="C449" s="6"/>
      <c r="D449" s="6"/>
      <c r="E449" s="6"/>
      <c r="F449" s="6"/>
      <c r="G449" s="12"/>
      <c r="H449" s="12"/>
      <c r="I449" s="9" t="str">
        <f t="shared" si="7"/>
        <v/>
      </c>
      <c r="J449" s="7"/>
      <c r="K449" s="6"/>
    </row>
    <row r="450" spans="1:11" x14ac:dyDescent="0.3">
      <c r="A450" s="6"/>
      <c r="B450" s="7"/>
      <c r="C450" s="6"/>
      <c r="D450" s="6"/>
      <c r="E450" s="6"/>
      <c r="F450" s="6"/>
      <c r="G450" s="12"/>
      <c r="H450" s="12"/>
      <c r="I450" s="9" t="str">
        <f t="shared" si="7"/>
        <v/>
      </c>
      <c r="J450" s="7"/>
      <c r="K450" s="6"/>
    </row>
    <row r="451" spans="1:11" x14ac:dyDescent="0.3">
      <c r="A451" s="6"/>
      <c r="B451" s="7"/>
      <c r="C451" s="6"/>
      <c r="D451" s="6"/>
      <c r="E451" s="6"/>
      <c r="F451" s="6"/>
      <c r="G451" s="12"/>
      <c r="H451" s="12"/>
      <c r="I451" s="9" t="str">
        <f t="shared" si="7"/>
        <v/>
      </c>
      <c r="J451" s="7"/>
      <c r="K451" s="6"/>
    </row>
    <row r="452" spans="1:11" x14ac:dyDescent="0.3">
      <c r="A452" s="6"/>
      <c r="B452" s="7"/>
      <c r="C452" s="6"/>
      <c r="D452" s="6"/>
      <c r="E452" s="6"/>
      <c r="F452" s="6"/>
      <c r="G452" s="12"/>
      <c r="H452" s="12"/>
      <c r="I452" s="9" t="str">
        <f t="shared" si="7"/>
        <v/>
      </c>
      <c r="J452" s="7"/>
      <c r="K452" s="6"/>
    </row>
    <row r="453" spans="1:11" x14ac:dyDescent="0.3">
      <c r="A453" s="6"/>
      <c r="B453" s="7"/>
      <c r="C453" s="6"/>
      <c r="D453" s="6"/>
      <c r="E453" s="6"/>
      <c r="F453" s="6"/>
      <c r="G453" s="12"/>
      <c r="H453" s="12"/>
      <c r="I453" s="9" t="str">
        <f t="shared" si="7"/>
        <v/>
      </c>
      <c r="J453" s="7"/>
      <c r="K453" s="6"/>
    </row>
    <row r="454" spans="1:11" x14ac:dyDescent="0.3">
      <c r="A454" s="6"/>
      <c r="B454" s="7"/>
      <c r="C454" s="6"/>
      <c r="D454" s="6"/>
      <c r="E454" s="6"/>
      <c r="F454" s="6"/>
      <c r="G454" s="12"/>
      <c r="H454" s="12"/>
      <c r="I454" s="9" t="str">
        <f t="shared" si="7"/>
        <v/>
      </c>
      <c r="J454" s="7"/>
      <c r="K454" s="6"/>
    </row>
    <row r="455" spans="1:11" x14ac:dyDescent="0.3">
      <c r="A455" s="6"/>
      <c r="B455" s="7"/>
      <c r="C455" s="6"/>
      <c r="D455" s="6"/>
      <c r="E455" s="6"/>
      <c r="F455" s="6"/>
      <c r="G455" s="12"/>
      <c r="H455" s="12"/>
      <c r="I455" s="9" t="str">
        <f t="shared" si="7"/>
        <v/>
      </c>
      <c r="J455" s="7"/>
      <c r="K455" s="6"/>
    </row>
    <row r="456" spans="1:11" x14ac:dyDescent="0.3">
      <c r="A456" s="6"/>
      <c r="B456" s="7"/>
      <c r="C456" s="6"/>
      <c r="D456" s="6"/>
      <c r="E456" s="6"/>
      <c r="F456" s="6"/>
      <c r="G456" s="12"/>
      <c r="H456" s="12"/>
      <c r="I456" s="9" t="str">
        <f t="shared" si="7"/>
        <v/>
      </c>
      <c r="J456" s="7"/>
      <c r="K456" s="6"/>
    </row>
    <row r="457" spans="1:11" x14ac:dyDescent="0.3">
      <c r="A457" s="6"/>
      <c r="B457" s="7"/>
      <c r="C457" s="6"/>
      <c r="D457" s="6"/>
      <c r="E457" s="6"/>
      <c r="F457" s="6"/>
      <c r="G457" s="12"/>
      <c r="H457" s="12"/>
      <c r="I457" s="9" t="str">
        <f t="shared" si="7"/>
        <v/>
      </c>
      <c r="J457" s="7"/>
      <c r="K457" s="6"/>
    </row>
    <row r="458" spans="1:11" x14ac:dyDescent="0.3">
      <c r="A458" s="6"/>
      <c r="B458" s="7"/>
      <c r="C458" s="6"/>
      <c r="D458" s="6"/>
      <c r="E458" s="6"/>
      <c r="F458" s="6"/>
      <c r="G458" s="12"/>
      <c r="H458" s="12"/>
      <c r="I458" s="9" t="str">
        <f t="shared" si="7"/>
        <v/>
      </c>
      <c r="J458" s="7"/>
      <c r="K458" s="6"/>
    </row>
    <row r="459" spans="1:11" x14ac:dyDescent="0.3">
      <c r="A459" s="6"/>
      <c r="B459" s="7"/>
      <c r="C459" s="6"/>
      <c r="D459" s="6"/>
      <c r="E459" s="6"/>
      <c r="F459" s="6"/>
      <c r="G459" s="12"/>
      <c r="H459" s="12"/>
      <c r="I459" s="9" t="str">
        <f t="shared" si="7"/>
        <v/>
      </c>
      <c r="J459" s="7"/>
      <c r="K459" s="6"/>
    </row>
    <row r="460" spans="1:11" x14ac:dyDescent="0.3">
      <c r="A460" s="6"/>
      <c r="B460" s="7"/>
      <c r="C460" s="6"/>
      <c r="D460" s="6"/>
      <c r="E460" s="6"/>
      <c r="F460" s="6"/>
      <c r="G460" s="12"/>
      <c r="H460" s="12"/>
      <c r="I460" s="9" t="str">
        <f t="shared" si="7"/>
        <v/>
      </c>
      <c r="J460" s="7"/>
      <c r="K460" s="6"/>
    </row>
    <row r="461" spans="1:11" x14ac:dyDescent="0.3">
      <c r="A461" s="6"/>
      <c r="B461" s="7"/>
      <c r="C461" s="6"/>
      <c r="D461" s="6"/>
      <c r="E461" s="6"/>
      <c r="F461" s="6"/>
      <c r="G461" s="12"/>
      <c r="H461" s="12"/>
      <c r="I461" s="9" t="str">
        <f t="shared" si="7"/>
        <v/>
      </c>
      <c r="J461" s="7"/>
      <c r="K461" s="6"/>
    </row>
    <row r="462" spans="1:11" x14ac:dyDescent="0.3">
      <c r="A462" s="6"/>
      <c r="B462" s="7"/>
      <c r="C462" s="6"/>
      <c r="D462" s="6"/>
      <c r="E462" s="6"/>
      <c r="F462" s="6"/>
      <c r="G462" s="12"/>
      <c r="H462" s="12"/>
      <c r="I462" s="9" t="str">
        <f t="shared" si="7"/>
        <v/>
      </c>
      <c r="J462" s="7"/>
      <c r="K462" s="6"/>
    </row>
    <row r="463" spans="1:11" x14ac:dyDescent="0.3">
      <c r="A463" s="6"/>
      <c r="B463" s="7"/>
      <c r="C463" s="6"/>
      <c r="D463" s="6"/>
      <c r="E463" s="6"/>
      <c r="F463" s="6"/>
      <c r="G463" s="12"/>
      <c r="H463" s="12"/>
      <c r="I463" s="9" t="str">
        <f t="shared" si="7"/>
        <v/>
      </c>
      <c r="J463" s="7"/>
      <c r="K463" s="6"/>
    </row>
    <row r="464" spans="1:11" x14ac:dyDescent="0.3">
      <c r="A464" s="6"/>
      <c r="B464" s="7"/>
      <c r="C464" s="6"/>
      <c r="D464" s="6"/>
      <c r="E464" s="6"/>
      <c r="F464" s="6"/>
      <c r="G464" s="12"/>
      <c r="H464" s="12"/>
      <c r="I464" s="9" t="str">
        <f t="shared" si="7"/>
        <v/>
      </c>
      <c r="J464" s="7"/>
      <c r="K464" s="6"/>
    </row>
    <row r="465" spans="1:11" x14ac:dyDescent="0.3">
      <c r="A465" s="6"/>
      <c r="B465" s="7"/>
      <c r="C465" s="6"/>
      <c r="D465" s="6"/>
      <c r="E465" s="6"/>
      <c r="F465" s="6"/>
      <c r="G465" s="12"/>
      <c r="H465" s="12"/>
      <c r="I465" s="9" t="str">
        <f t="shared" si="7"/>
        <v/>
      </c>
      <c r="J465" s="7"/>
      <c r="K465" s="6"/>
    </row>
    <row r="466" spans="1:11" x14ac:dyDescent="0.3">
      <c r="A466" s="6"/>
      <c r="B466" s="7"/>
      <c r="C466" s="6"/>
      <c r="D466" s="6"/>
      <c r="E466" s="6"/>
      <c r="F466" s="6"/>
      <c r="G466" s="12"/>
      <c r="H466" s="12"/>
      <c r="I466" s="9" t="str">
        <f t="shared" si="7"/>
        <v/>
      </c>
      <c r="J466" s="7"/>
      <c r="K466" s="6"/>
    </row>
    <row r="467" spans="1:11" x14ac:dyDescent="0.3">
      <c r="A467" s="6"/>
      <c r="B467" s="7"/>
      <c r="C467" s="6"/>
      <c r="D467" s="6"/>
      <c r="E467" s="6"/>
      <c r="F467" s="6"/>
      <c r="G467" s="12"/>
      <c r="H467" s="12"/>
      <c r="I467" s="9" t="str">
        <f t="shared" si="7"/>
        <v/>
      </c>
      <c r="J467" s="7"/>
      <c r="K467" s="6"/>
    </row>
    <row r="468" spans="1:11" x14ac:dyDescent="0.3">
      <c r="A468" s="6"/>
      <c r="B468" s="7"/>
      <c r="C468" s="6"/>
      <c r="D468" s="6"/>
      <c r="E468" s="6"/>
      <c r="F468" s="6"/>
      <c r="G468" s="12"/>
      <c r="H468" s="12"/>
      <c r="I468" s="9" t="str">
        <f t="shared" si="7"/>
        <v/>
      </c>
      <c r="J468" s="7"/>
      <c r="K468" s="6"/>
    </row>
    <row r="469" spans="1:11" x14ac:dyDescent="0.3">
      <c r="A469" s="6"/>
      <c r="B469" s="7"/>
      <c r="C469" s="6"/>
      <c r="D469" s="6"/>
      <c r="E469" s="6"/>
      <c r="F469" s="6"/>
      <c r="G469" s="12"/>
      <c r="H469" s="12"/>
      <c r="I469" s="9" t="str">
        <f t="shared" si="7"/>
        <v/>
      </c>
      <c r="J469" s="7"/>
      <c r="K469" s="6"/>
    </row>
    <row r="470" spans="1:11" x14ac:dyDescent="0.3">
      <c r="A470" s="6"/>
      <c r="B470" s="7"/>
      <c r="C470" s="6"/>
      <c r="D470" s="6"/>
      <c r="E470" s="6"/>
      <c r="F470" s="6"/>
      <c r="G470" s="12"/>
      <c r="H470" s="12"/>
      <c r="I470" s="9" t="str">
        <f t="shared" si="7"/>
        <v/>
      </c>
      <c r="J470" s="7"/>
      <c r="K470" s="6"/>
    </row>
    <row r="471" spans="1:11" x14ac:dyDescent="0.3">
      <c r="A471" s="6"/>
      <c r="B471" s="7"/>
      <c r="C471" s="6"/>
      <c r="D471" s="6"/>
      <c r="E471" s="6"/>
      <c r="F471" s="6"/>
      <c r="G471" s="12"/>
      <c r="H471" s="12"/>
      <c r="I471" s="9" t="str">
        <f t="shared" si="7"/>
        <v/>
      </c>
      <c r="J471" s="7"/>
      <c r="K471" s="6"/>
    </row>
    <row r="472" spans="1:11" x14ac:dyDescent="0.3">
      <c r="A472" s="6"/>
      <c r="B472" s="7"/>
      <c r="C472" s="6"/>
      <c r="D472" s="6"/>
      <c r="E472" s="6"/>
      <c r="F472" s="6"/>
      <c r="G472" s="12"/>
      <c r="H472" s="12"/>
      <c r="I472" s="9" t="str">
        <f t="shared" si="7"/>
        <v/>
      </c>
      <c r="J472" s="7"/>
      <c r="K472" s="6"/>
    </row>
    <row r="473" spans="1:11" x14ac:dyDescent="0.3">
      <c r="A473" s="6"/>
      <c r="B473" s="7"/>
      <c r="C473" s="6"/>
      <c r="D473" s="6"/>
      <c r="E473" s="6"/>
      <c r="F473" s="6"/>
      <c r="G473" s="12"/>
      <c r="H473" s="12"/>
      <c r="I473" s="9" t="str">
        <f t="shared" si="7"/>
        <v/>
      </c>
      <c r="J473" s="7"/>
      <c r="K473" s="6"/>
    </row>
    <row r="474" spans="1:11" x14ac:dyDescent="0.3">
      <c r="A474" s="6"/>
      <c r="B474" s="7"/>
      <c r="C474" s="6"/>
      <c r="D474" s="6"/>
      <c r="E474" s="6"/>
      <c r="F474" s="6"/>
      <c r="G474" s="12"/>
      <c r="H474" s="12"/>
      <c r="I474" s="9" t="str">
        <f t="shared" si="7"/>
        <v/>
      </c>
      <c r="J474" s="7"/>
      <c r="K474" s="6"/>
    </row>
    <row r="475" spans="1:11" x14ac:dyDescent="0.3">
      <c r="A475" s="6"/>
      <c r="B475" s="7"/>
      <c r="C475" s="6"/>
      <c r="D475" s="6"/>
      <c r="E475" s="6"/>
      <c r="F475" s="6"/>
      <c r="G475" s="12"/>
      <c r="H475" s="12"/>
      <c r="I475" s="9" t="str">
        <f t="shared" si="7"/>
        <v/>
      </c>
      <c r="J475" s="7"/>
      <c r="K475" s="6"/>
    </row>
    <row r="476" spans="1:11" x14ac:dyDescent="0.3">
      <c r="A476" s="6"/>
      <c r="B476" s="7"/>
      <c r="C476" s="6"/>
      <c r="D476" s="6"/>
      <c r="E476" s="6"/>
      <c r="F476" s="6"/>
      <c r="G476" s="12"/>
      <c r="H476" s="12"/>
      <c r="I476" s="9" t="str">
        <f t="shared" si="7"/>
        <v/>
      </c>
      <c r="J476" s="7"/>
      <c r="K476" s="6"/>
    </row>
    <row r="477" spans="1:11" x14ac:dyDescent="0.3">
      <c r="A477" s="6"/>
      <c r="B477" s="7"/>
      <c r="C477" s="6"/>
      <c r="D477" s="6"/>
      <c r="E477" s="6"/>
      <c r="F477" s="6"/>
      <c r="G477" s="12"/>
      <c r="H477" s="12"/>
      <c r="I477" s="9" t="str">
        <f t="shared" si="7"/>
        <v/>
      </c>
      <c r="J477" s="7"/>
      <c r="K477" s="6"/>
    </row>
    <row r="478" spans="1:11" x14ac:dyDescent="0.3">
      <c r="A478" s="6"/>
      <c r="B478" s="7"/>
      <c r="C478" s="6"/>
      <c r="D478" s="6"/>
      <c r="E478" s="6"/>
      <c r="F478" s="6"/>
      <c r="G478" s="12"/>
      <c r="H478" s="12"/>
      <c r="I478" s="9" t="str">
        <f t="shared" si="7"/>
        <v/>
      </c>
      <c r="J478" s="7"/>
      <c r="K478" s="6"/>
    </row>
    <row r="479" spans="1:11" x14ac:dyDescent="0.3">
      <c r="A479" s="6"/>
      <c r="B479" s="7"/>
      <c r="C479" s="6"/>
      <c r="D479" s="6"/>
      <c r="E479" s="6"/>
      <c r="F479" s="6"/>
      <c r="G479" s="12"/>
      <c r="H479" s="12"/>
      <c r="I479" s="9" t="str">
        <f t="shared" si="7"/>
        <v/>
      </c>
      <c r="J479" s="7"/>
      <c r="K479" s="6"/>
    </row>
    <row r="480" spans="1:11" x14ac:dyDescent="0.3">
      <c r="A480" s="6"/>
      <c r="B480" s="7"/>
      <c r="C480" s="6"/>
      <c r="D480" s="6"/>
      <c r="E480" s="6"/>
      <c r="F480" s="6"/>
      <c r="G480" s="12"/>
      <c r="H480" s="12"/>
      <c r="I480" s="9" t="str">
        <f t="shared" si="7"/>
        <v/>
      </c>
      <c r="J480" s="7"/>
      <c r="K480" s="6"/>
    </row>
    <row r="481" spans="1:11" x14ac:dyDescent="0.3">
      <c r="A481" s="6"/>
      <c r="B481" s="7"/>
      <c r="C481" s="6"/>
      <c r="D481" s="6"/>
      <c r="E481" s="6"/>
      <c r="F481" s="6"/>
      <c r="G481" s="12"/>
      <c r="H481" s="12"/>
      <c r="I481" s="9" t="str">
        <f t="shared" si="7"/>
        <v/>
      </c>
      <c r="J481" s="7"/>
      <c r="K481" s="6"/>
    </row>
    <row r="482" spans="1:11" x14ac:dyDescent="0.3">
      <c r="A482" s="6"/>
      <c r="B482" s="7"/>
      <c r="C482" s="6"/>
      <c r="D482" s="6"/>
      <c r="E482" s="6"/>
      <c r="F482" s="6"/>
      <c r="G482" s="12"/>
      <c r="H482" s="12"/>
      <c r="I482" s="9" t="str">
        <f t="shared" si="7"/>
        <v/>
      </c>
      <c r="J482" s="7"/>
      <c r="K482" s="6"/>
    </row>
    <row r="483" spans="1:11" x14ac:dyDescent="0.3">
      <c r="A483" s="6"/>
      <c r="B483" s="7"/>
      <c r="C483" s="6"/>
      <c r="D483" s="6"/>
      <c r="E483" s="6"/>
      <c r="F483" s="6"/>
      <c r="G483" s="12"/>
      <c r="H483" s="12"/>
      <c r="I483" s="9" t="str">
        <f t="shared" si="7"/>
        <v/>
      </c>
      <c r="J483" s="7"/>
      <c r="K483" s="6"/>
    </row>
    <row r="484" spans="1:11" x14ac:dyDescent="0.3">
      <c r="A484" s="6"/>
      <c r="B484" s="7"/>
      <c r="C484" s="6"/>
      <c r="D484" s="6"/>
      <c r="E484" s="6"/>
      <c r="F484" s="6"/>
      <c r="G484" s="12"/>
      <c r="H484" s="12"/>
      <c r="I484" s="9" t="str">
        <f t="shared" si="7"/>
        <v/>
      </c>
      <c r="J484" s="7"/>
      <c r="K484" s="6"/>
    </row>
    <row r="485" spans="1:11" x14ac:dyDescent="0.3">
      <c r="A485" s="6"/>
      <c r="B485" s="7"/>
      <c r="C485" s="6"/>
      <c r="D485" s="6"/>
      <c r="E485" s="6"/>
      <c r="F485" s="6"/>
      <c r="G485" s="12"/>
      <c r="H485" s="12"/>
      <c r="I485" s="9" t="str">
        <f t="shared" si="7"/>
        <v/>
      </c>
      <c r="J485" s="7"/>
      <c r="K485" s="6"/>
    </row>
    <row r="486" spans="1:11" x14ac:dyDescent="0.3">
      <c r="A486" s="6"/>
      <c r="B486" s="7"/>
      <c r="C486" s="6"/>
      <c r="D486" s="6"/>
      <c r="E486" s="6"/>
      <c r="F486" s="6"/>
      <c r="G486" s="12"/>
      <c r="H486" s="12"/>
      <c r="I486" s="9" t="str">
        <f t="shared" si="7"/>
        <v/>
      </c>
      <c r="J486" s="7"/>
      <c r="K486" s="6"/>
    </row>
    <row r="487" spans="1:11" x14ac:dyDescent="0.3">
      <c r="A487" s="6"/>
      <c r="B487" s="7"/>
      <c r="C487" s="6"/>
      <c r="D487" s="6"/>
      <c r="E487" s="6"/>
      <c r="F487" s="6"/>
      <c r="G487" s="12"/>
      <c r="H487" s="12"/>
      <c r="I487" s="9" t="str">
        <f t="shared" si="7"/>
        <v/>
      </c>
      <c r="J487" s="7"/>
      <c r="K487" s="6"/>
    </row>
    <row r="488" spans="1:11" x14ac:dyDescent="0.3">
      <c r="A488" s="6"/>
      <c r="B488" s="7"/>
      <c r="C488" s="6"/>
      <c r="D488" s="6"/>
      <c r="E488" s="6"/>
      <c r="F488" s="6"/>
      <c r="G488" s="12"/>
      <c r="H488" s="12"/>
      <c r="I488" s="9" t="str">
        <f t="shared" si="7"/>
        <v/>
      </c>
      <c r="J488" s="7"/>
      <c r="K488" s="6"/>
    </row>
    <row r="489" spans="1:11" x14ac:dyDescent="0.3">
      <c r="A489" s="6"/>
      <c r="B489" s="7"/>
      <c r="C489" s="6"/>
      <c r="D489" s="6"/>
      <c r="E489" s="6"/>
      <c r="F489" s="6"/>
      <c r="G489" s="12"/>
      <c r="H489" s="12"/>
      <c r="I489" s="9" t="str">
        <f t="shared" si="7"/>
        <v/>
      </c>
      <c r="J489" s="7"/>
      <c r="K489" s="6"/>
    </row>
    <row r="490" spans="1:11" x14ac:dyDescent="0.3">
      <c r="A490" s="6"/>
      <c r="B490" s="7"/>
      <c r="C490" s="6"/>
      <c r="D490" s="6"/>
      <c r="E490" s="6"/>
      <c r="F490" s="6"/>
      <c r="G490" s="12"/>
      <c r="H490" s="12"/>
      <c r="I490" s="9" t="str">
        <f t="shared" si="7"/>
        <v/>
      </c>
      <c r="J490" s="7"/>
      <c r="K490" s="6"/>
    </row>
    <row r="491" spans="1:11" x14ac:dyDescent="0.3">
      <c r="A491" s="6"/>
      <c r="B491" s="7"/>
      <c r="C491" s="6"/>
      <c r="D491" s="6"/>
      <c r="E491" s="6"/>
      <c r="F491" s="6"/>
      <c r="G491" s="12"/>
      <c r="H491" s="12"/>
      <c r="I491" s="9" t="str">
        <f t="shared" si="7"/>
        <v/>
      </c>
      <c r="J491" s="7"/>
      <c r="K491" s="6"/>
    </row>
    <row r="492" spans="1:11" x14ac:dyDescent="0.3">
      <c r="A492" s="6"/>
      <c r="B492" s="7"/>
      <c r="C492" s="6"/>
      <c r="D492" s="6"/>
      <c r="E492" s="6"/>
      <c r="F492" s="6"/>
      <c r="G492" s="12"/>
      <c r="H492" s="12"/>
      <c r="I492" s="9" t="str">
        <f t="shared" si="7"/>
        <v/>
      </c>
      <c r="J492" s="7"/>
      <c r="K492" s="6"/>
    </row>
    <row r="493" spans="1:11" x14ac:dyDescent="0.3">
      <c r="A493" s="6"/>
      <c r="B493" s="7"/>
      <c r="C493" s="6"/>
      <c r="D493" s="6"/>
      <c r="E493" s="6"/>
      <c r="F493" s="6"/>
      <c r="G493" s="12"/>
      <c r="H493" s="12"/>
      <c r="I493" s="9" t="str">
        <f t="shared" si="7"/>
        <v/>
      </c>
      <c r="J493" s="7"/>
      <c r="K493" s="6"/>
    </row>
    <row r="494" spans="1:11" x14ac:dyDescent="0.3">
      <c r="A494" s="6"/>
      <c r="B494" s="7"/>
      <c r="C494" s="6"/>
      <c r="D494" s="6"/>
      <c r="E494" s="6"/>
      <c r="F494" s="6"/>
      <c r="G494" s="12"/>
      <c r="H494" s="12"/>
      <c r="I494" s="9" t="str">
        <f t="shared" si="7"/>
        <v/>
      </c>
      <c r="J494" s="7"/>
      <c r="K494" s="6"/>
    </row>
    <row r="495" spans="1:11" x14ac:dyDescent="0.3">
      <c r="A495" s="6"/>
      <c r="B495" s="7"/>
      <c r="C495" s="6"/>
      <c r="D495" s="6"/>
      <c r="E495" s="6"/>
      <c r="F495" s="6"/>
      <c r="G495" s="12"/>
      <c r="H495" s="12"/>
      <c r="I495" s="9" t="str">
        <f t="shared" si="7"/>
        <v/>
      </c>
      <c r="J495" s="7"/>
      <c r="K495" s="6"/>
    </row>
    <row r="496" spans="1:11" x14ac:dyDescent="0.3">
      <c r="A496" s="6"/>
      <c r="B496" s="7"/>
      <c r="C496" s="6"/>
      <c r="D496" s="6"/>
      <c r="E496" s="6"/>
      <c r="F496" s="6"/>
      <c r="G496" s="12"/>
      <c r="H496" s="12"/>
      <c r="I496" s="9" t="str">
        <f t="shared" si="7"/>
        <v/>
      </c>
      <c r="J496" s="7"/>
      <c r="K496" s="6"/>
    </row>
    <row r="497" spans="1:11" x14ac:dyDescent="0.3">
      <c r="A497" s="6"/>
      <c r="B497" s="7"/>
      <c r="C497" s="6"/>
      <c r="D497" s="6"/>
      <c r="E497" s="6"/>
      <c r="F497" s="6"/>
      <c r="G497" s="12"/>
      <c r="H497" s="12"/>
      <c r="I497" s="9" t="str">
        <f t="shared" si="7"/>
        <v/>
      </c>
      <c r="J497" s="7"/>
      <c r="K497" s="6"/>
    </row>
    <row r="498" spans="1:11" x14ac:dyDescent="0.3">
      <c r="A498" s="6"/>
      <c r="B498" s="7"/>
      <c r="C498" s="6"/>
      <c r="D498" s="6"/>
      <c r="E498" s="6"/>
      <c r="F498" s="6"/>
      <c r="G498" s="12"/>
      <c r="H498" s="12"/>
      <c r="I498" s="9" t="str">
        <f t="shared" si="7"/>
        <v/>
      </c>
      <c r="J498" s="7"/>
      <c r="K498" s="6"/>
    </row>
    <row r="499" spans="1:11" x14ac:dyDescent="0.3">
      <c r="A499" s="6"/>
      <c r="B499" s="7"/>
      <c r="C499" s="6"/>
      <c r="D499" s="6"/>
      <c r="E499" s="6"/>
      <c r="F499" s="6"/>
      <c r="G499" s="12"/>
      <c r="H499" s="12"/>
      <c r="I499" s="9" t="str">
        <f t="shared" si="7"/>
        <v/>
      </c>
      <c r="J499" s="7"/>
      <c r="K499" s="6"/>
    </row>
    <row r="500" spans="1:11" x14ac:dyDescent="0.3">
      <c r="A500" s="6"/>
      <c r="B500" s="7"/>
      <c r="C500" s="6"/>
      <c r="D500" s="6"/>
      <c r="E500" s="6"/>
      <c r="F500" s="6"/>
      <c r="G500" s="12"/>
      <c r="H500" s="12"/>
      <c r="I500" s="9" t="str">
        <f t="shared" si="7"/>
        <v/>
      </c>
      <c r="J500" s="7"/>
      <c r="K500" s="6"/>
    </row>
    <row r="501" spans="1:11" x14ac:dyDescent="0.3">
      <c r="A501" s="6"/>
      <c r="B501" s="7"/>
      <c r="C501" s="6"/>
      <c r="D501" s="6"/>
      <c r="E501" s="6"/>
      <c r="F501" s="6"/>
      <c r="G501" s="12"/>
      <c r="H501" s="12"/>
      <c r="I501" s="9" t="str">
        <f t="shared" ref="I501:I564" si="8">IF(AND(G501&lt;&gt;"",H501&lt;&gt;""),MOD(H501-G501,1)*24,"")</f>
        <v/>
      </c>
      <c r="J501" s="7"/>
      <c r="K501" s="6"/>
    </row>
    <row r="502" spans="1:11" x14ac:dyDescent="0.3">
      <c r="A502" s="6"/>
      <c r="B502" s="7"/>
      <c r="C502" s="6"/>
      <c r="D502" s="6"/>
      <c r="E502" s="6"/>
      <c r="F502" s="6"/>
      <c r="G502" s="12"/>
      <c r="H502" s="12"/>
      <c r="I502" s="9" t="str">
        <f t="shared" si="8"/>
        <v/>
      </c>
      <c r="J502" s="7"/>
      <c r="K502" s="6"/>
    </row>
    <row r="503" spans="1:11" x14ac:dyDescent="0.3">
      <c r="A503" s="6"/>
      <c r="B503" s="7"/>
      <c r="C503" s="6"/>
      <c r="D503" s="6"/>
      <c r="E503" s="6"/>
      <c r="F503" s="6"/>
      <c r="G503" s="12"/>
      <c r="H503" s="12"/>
      <c r="I503" s="9" t="str">
        <f t="shared" si="8"/>
        <v/>
      </c>
      <c r="J503" s="7"/>
      <c r="K503" s="6"/>
    </row>
    <row r="504" spans="1:11" x14ac:dyDescent="0.3">
      <c r="A504" s="6"/>
      <c r="B504" s="7"/>
      <c r="C504" s="6"/>
      <c r="D504" s="6"/>
      <c r="E504" s="6"/>
      <c r="F504" s="6"/>
      <c r="G504" s="12"/>
      <c r="H504" s="12"/>
      <c r="I504" s="9" t="str">
        <f t="shared" si="8"/>
        <v/>
      </c>
      <c r="J504" s="7"/>
      <c r="K504" s="6"/>
    </row>
    <row r="505" spans="1:11" x14ac:dyDescent="0.3">
      <c r="A505" s="6"/>
      <c r="B505" s="7"/>
      <c r="C505" s="6"/>
      <c r="D505" s="6"/>
      <c r="E505" s="6"/>
      <c r="F505" s="6"/>
      <c r="G505" s="12"/>
      <c r="H505" s="12"/>
      <c r="I505" s="9" t="str">
        <f t="shared" si="8"/>
        <v/>
      </c>
      <c r="J505" s="7"/>
      <c r="K505" s="6"/>
    </row>
    <row r="506" spans="1:11" x14ac:dyDescent="0.3">
      <c r="A506" s="6"/>
      <c r="B506" s="7"/>
      <c r="C506" s="6"/>
      <c r="D506" s="6"/>
      <c r="E506" s="6"/>
      <c r="F506" s="6"/>
      <c r="G506" s="12"/>
      <c r="H506" s="12"/>
      <c r="I506" s="9" t="str">
        <f t="shared" si="8"/>
        <v/>
      </c>
      <c r="J506" s="7"/>
      <c r="K506" s="6"/>
    </row>
    <row r="507" spans="1:11" x14ac:dyDescent="0.3">
      <c r="A507" s="6"/>
      <c r="B507" s="7"/>
      <c r="C507" s="6"/>
      <c r="D507" s="6"/>
      <c r="E507" s="6"/>
      <c r="F507" s="6"/>
      <c r="G507" s="12"/>
      <c r="H507" s="12"/>
      <c r="I507" s="9" t="str">
        <f t="shared" si="8"/>
        <v/>
      </c>
      <c r="J507" s="7"/>
      <c r="K507" s="6"/>
    </row>
    <row r="508" spans="1:11" x14ac:dyDescent="0.3">
      <c r="A508" s="6"/>
      <c r="B508" s="7"/>
      <c r="C508" s="6"/>
      <c r="D508" s="6"/>
      <c r="E508" s="6"/>
      <c r="F508" s="6"/>
      <c r="G508" s="12"/>
      <c r="H508" s="12"/>
      <c r="I508" s="9" t="str">
        <f t="shared" si="8"/>
        <v/>
      </c>
      <c r="J508" s="7"/>
      <c r="K508" s="6"/>
    </row>
    <row r="509" spans="1:11" x14ac:dyDescent="0.3">
      <c r="A509" s="6"/>
      <c r="B509" s="7"/>
      <c r="C509" s="6"/>
      <c r="D509" s="6"/>
      <c r="E509" s="6"/>
      <c r="F509" s="6"/>
      <c r="G509" s="12"/>
      <c r="H509" s="12"/>
      <c r="I509" s="9" t="str">
        <f t="shared" si="8"/>
        <v/>
      </c>
      <c r="J509" s="7"/>
      <c r="K509" s="6"/>
    </row>
    <row r="510" spans="1:11" x14ac:dyDescent="0.3">
      <c r="A510" s="6"/>
      <c r="B510" s="7"/>
      <c r="C510" s="6"/>
      <c r="D510" s="6"/>
      <c r="E510" s="6"/>
      <c r="F510" s="6"/>
      <c r="G510" s="12"/>
      <c r="H510" s="12"/>
      <c r="I510" s="9" t="str">
        <f t="shared" si="8"/>
        <v/>
      </c>
      <c r="J510" s="7"/>
      <c r="K510" s="6"/>
    </row>
    <row r="511" spans="1:11" x14ac:dyDescent="0.3">
      <c r="A511" s="6"/>
      <c r="B511" s="7"/>
      <c r="C511" s="6"/>
      <c r="D511" s="6"/>
      <c r="E511" s="6"/>
      <c r="F511" s="6"/>
      <c r="G511" s="12"/>
      <c r="H511" s="12"/>
      <c r="I511" s="9" t="str">
        <f t="shared" si="8"/>
        <v/>
      </c>
      <c r="J511" s="7"/>
      <c r="K511" s="6"/>
    </row>
    <row r="512" spans="1:11" x14ac:dyDescent="0.3">
      <c r="A512" s="6"/>
      <c r="B512" s="7"/>
      <c r="C512" s="6"/>
      <c r="D512" s="6"/>
      <c r="E512" s="6"/>
      <c r="F512" s="6"/>
      <c r="G512" s="12"/>
      <c r="H512" s="12"/>
      <c r="I512" s="9" t="str">
        <f t="shared" si="8"/>
        <v/>
      </c>
      <c r="J512" s="7"/>
      <c r="K512" s="6"/>
    </row>
    <row r="513" spans="1:11" x14ac:dyDescent="0.3">
      <c r="A513" s="6"/>
      <c r="B513" s="7"/>
      <c r="C513" s="6"/>
      <c r="D513" s="6"/>
      <c r="E513" s="6"/>
      <c r="F513" s="6"/>
      <c r="G513" s="12"/>
      <c r="H513" s="12"/>
      <c r="I513" s="9" t="str">
        <f t="shared" si="8"/>
        <v/>
      </c>
      <c r="J513" s="7"/>
      <c r="K513" s="6"/>
    </row>
    <row r="514" spans="1:11" x14ac:dyDescent="0.3">
      <c r="A514" s="6"/>
      <c r="B514" s="7"/>
      <c r="C514" s="6"/>
      <c r="D514" s="6"/>
      <c r="E514" s="6"/>
      <c r="F514" s="6"/>
      <c r="G514" s="12"/>
      <c r="H514" s="12"/>
      <c r="I514" s="9" t="str">
        <f t="shared" si="8"/>
        <v/>
      </c>
      <c r="J514" s="7"/>
      <c r="K514" s="6"/>
    </row>
    <row r="515" spans="1:11" x14ac:dyDescent="0.3">
      <c r="A515" s="6"/>
      <c r="B515" s="7"/>
      <c r="C515" s="6"/>
      <c r="D515" s="6"/>
      <c r="E515" s="6"/>
      <c r="F515" s="6"/>
      <c r="G515" s="12"/>
      <c r="H515" s="12"/>
      <c r="I515" s="9" t="str">
        <f t="shared" si="8"/>
        <v/>
      </c>
      <c r="J515" s="7"/>
      <c r="K515" s="6"/>
    </row>
    <row r="516" spans="1:11" x14ac:dyDescent="0.3">
      <c r="A516" s="6"/>
      <c r="B516" s="7"/>
      <c r="C516" s="6"/>
      <c r="D516" s="6"/>
      <c r="E516" s="6"/>
      <c r="F516" s="6"/>
      <c r="G516" s="12"/>
      <c r="H516" s="12"/>
      <c r="I516" s="9" t="str">
        <f t="shared" si="8"/>
        <v/>
      </c>
      <c r="J516" s="7"/>
      <c r="K516" s="6"/>
    </row>
    <row r="517" spans="1:11" x14ac:dyDescent="0.3">
      <c r="A517" s="6"/>
      <c r="B517" s="7"/>
      <c r="C517" s="6"/>
      <c r="D517" s="6"/>
      <c r="E517" s="6"/>
      <c r="F517" s="6"/>
      <c r="G517" s="12"/>
      <c r="H517" s="12"/>
      <c r="I517" s="9" t="str">
        <f t="shared" si="8"/>
        <v/>
      </c>
      <c r="J517" s="7"/>
      <c r="K517" s="6"/>
    </row>
    <row r="518" spans="1:11" x14ac:dyDescent="0.3">
      <c r="A518" s="6"/>
      <c r="B518" s="7"/>
      <c r="C518" s="6"/>
      <c r="D518" s="6"/>
      <c r="E518" s="6"/>
      <c r="F518" s="6"/>
      <c r="G518" s="12"/>
      <c r="H518" s="12"/>
      <c r="I518" s="9" t="str">
        <f t="shared" si="8"/>
        <v/>
      </c>
      <c r="J518" s="7"/>
      <c r="K518" s="6"/>
    </row>
    <row r="519" spans="1:11" x14ac:dyDescent="0.3">
      <c r="A519" s="6"/>
      <c r="B519" s="7"/>
      <c r="C519" s="6"/>
      <c r="D519" s="6"/>
      <c r="E519" s="6"/>
      <c r="F519" s="6"/>
      <c r="G519" s="12"/>
      <c r="H519" s="12"/>
      <c r="I519" s="9" t="str">
        <f t="shared" si="8"/>
        <v/>
      </c>
      <c r="J519" s="7"/>
      <c r="K519" s="6"/>
    </row>
    <row r="520" spans="1:11" x14ac:dyDescent="0.3">
      <c r="A520" s="6"/>
      <c r="B520" s="7"/>
      <c r="C520" s="6"/>
      <c r="D520" s="6"/>
      <c r="E520" s="6"/>
      <c r="F520" s="6"/>
      <c r="G520" s="12"/>
      <c r="H520" s="12"/>
      <c r="I520" s="9" t="str">
        <f t="shared" si="8"/>
        <v/>
      </c>
      <c r="J520" s="7"/>
      <c r="K520" s="6"/>
    </row>
    <row r="521" spans="1:11" x14ac:dyDescent="0.3">
      <c r="A521" s="6"/>
      <c r="B521" s="7"/>
      <c r="C521" s="6"/>
      <c r="D521" s="6"/>
      <c r="E521" s="6"/>
      <c r="F521" s="6"/>
      <c r="G521" s="12"/>
      <c r="H521" s="12"/>
      <c r="I521" s="9" t="str">
        <f t="shared" si="8"/>
        <v/>
      </c>
      <c r="J521" s="7"/>
      <c r="K521" s="6"/>
    </row>
    <row r="522" spans="1:11" x14ac:dyDescent="0.3">
      <c r="A522" s="6"/>
      <c r="B522" s="7"/>
      <c r="C522" s="6"/>
      <c r="D522" s="6"/>
      <c r="E522" s="6"/>
      <c r="F522" s="6"/>
      <c r="G522" s="12"/>
      <c r="H522" s="12"/>
      <c r="I522" s="9" t="str">
        <f t="shared" si="8"/>
        <v/>
      </c>
      <c r="J522" s="7"/>
      <c r="K522" s="6"/>
    </row>
    <row r="523" spans="1:11" x14ac:dyDescent="0.3">
      <c r="A523" s="6"/>
      <c r="B523" s="7"/>
      <c r="C523" s="6"/>
      <c r="D523" s="6"/>
      <c r="E523" s="6"/>
      <c r="F523" s="6"/>
      <c r="G523" s="12"/>
      <c r="H523" s="12"/>
      <c r="I523" s="9" t="str">
        <f t="shared" si="8"/>
        <v/>
      </c>
      <c r="J523" s="7"/>
      <c r="K523" s="6"/>
    </row>
    <row r="524" spans="1:11" x14ac:dyDescent="0.3">
      <c r="A524" s="6"/>
      <c r="B524" s="7"/>
      <c r="C524" s="6"/>
      <c r="D524" s="6"/>
      <c r="E524" s="6"/>
      <c r="F524" s="6"/>
      <c r="G524" s="12"/>
      <c r="H524" s="12"/>
      <c r="I524" s="9" t="str">
        <f t="shared" si="8"/>
        <v/>
      </c>
      <c r="J524" s="7"/>
      <c r="K524" s="6"/>
    </row>
    <row r="525" spans="1:11" x14ac:dyDescent="0.3">
      <c r="A525" s="6"/>
      <c r="B525" s="7"/>
      <c r="C525" s="6"/>
      <c r="D525" s="6"/>
      <c r="E525" s="6"/>
      <c r="F525" s="6"/>
      <c r="G525" s="12"/>
      <c r="H525" s="12"/>
      <c r="I525" s="9" t="str">
        <f t="shared" si="8"/>
        <v/>
      </c>
      <c r="J525" s="7"/>
      <c r="K525" s="6"/>
    </row>
    <row r="526" spans="1:11" x14ac:dyDescent="0.3">
      <c r="A526" s="6"/>
      <c r="B526" s="7"/>
      <c r="C526" s="6"/>
      <c r="D526" s="6"/>
      <c r="E526" s="6"/>
      <c r="F526" s="6"/>
      <c r="G526" s="12"/>
      <c r="H526" s="12"/>
      <c r="I526" s="9" t="str">
        <f t="shared" si="8"/>
        <v/>
      </c>
      <c r="J526" s="7"/>
      <c r="K526" s="6"/>
    </row>
    <row r="527" spans="1:11" x14ac:dyDescent="0.3">
      <c r="A527" s="6"/>
      <c r="B527" s="7"/>
      <c r="C527" s="6"/>
      <c r="D527" s="6"/>
      <c r="E527" s="6"/>
      <c r="F527" s="6"/>
      <c r="G527" s="12"/>
      <c r="H527" s="12"/>
      <c r="I527" s="9" t="str">
        <f t="shared" si="8"/>
        <v/>
      </c>
      <c r="J527" s="7"/>
      <c r="K527" s="6"/>
    </row>
    <row r="528" spans="1:11" x14ac:dyDescent="0.3">
      <c r="A528" s="6"/>
      <c r="B528" s="7"/>
      <c r="C528" s="6"/>
      <c r="D528" s="6"/>
      <c r="E528" s="6"/>
      <c r="F528" s="6"/>
      <c r="G528" s="12"/>
      <c r="H528" s="12"/>
      <c r="I528" s="9" t="str">
        <f t="shared" si="8"/>
        <v/>
      </c>
      <c r="J528" s="7"/>
      <c r="K528" s="6"/>
    </row>
    <row r="529" spans="1:11" x14ac:dyDescent="0.3">
      <c r="A529" s="6"/>
      <c r="B529" s="7"/>
      <c r="C529" s="6"/>
      <c r="D529" s="6"/>
      <c r="E529" s="6"/>
      <c r="F529" s="6"/>
      <c r="G529" s="12"/>
      <c r="H529" s="12"/>
      <c r="I529" s="9" t="str">
        <f t="shared" si="8"/>
        <v/>
      </c>
      <c r="J529" s="7"/>
      <c r="K529" s="6"/>
    </row>
    <row r="530" spans="1:11" x14ac:dyDescent="0.3">
      <c r="A530" s="6"/>
      <c r="B530" s="7"/>
      <c r="C530" s="6"/>
      <c r="D530" s="6"/>
      <c r="E530" s="6"/>
      <c r="F530" s="6"/>
      <c r="G530" s="12"/>
      <c r="H530" s="12"/>
      <c r="I530" s="9" t="str">
        <f t="shared" si="8"/>
        <v/>
      </c>
      <c r="J530" s="7"/>
      <c r="K530" s="6"/>
    </row>
    <row r="531" spans="1:11" x14ac:dyDescent="0.3">
      <c r="A531" s="6"/>
      <c r="B531" s="7"/>
      <c r="C531" s="6"/>
      <c r="D531" s="6"/>
      <c r="E531" s="6"/>
      <c r="F531" s="6"/>
      <c r="G531" s="12"/>
      <c r="H531" s="12"/>
      <c r="I531" s="9" t="str">
        <f t="shared" si="8"/>
        <v/>
      </c>
      <c r="J531" s="7"/>
      <c r="K531" s="6"/>
    </row>
    <row r="532" spans="1:11" x14ac:dyDescent="0.3">
      <c r="A532" s="6"/>
      <c r="B532" s="7"/>
      <c r="C532" s="6"/>
      <c r="D532" s="6"/>
      <c r="E532" s="6"/>
      <c r="F532" s="6"/>
      <c r="G532" s="12"/>
      <c r="H532" s="12"/>
      <c r="I532" s="9" t="str">
        <f t="shared" si="8"/>
        <v/>
      </c>
      <c r="J532" s="7"/>
      <c r="K532" s="6"/>
    </row>
    <row r="533" spans="1:11" x14ac:dyDescent="0.3">
      <c r="A533" s="6"/>
      <c r="B533" s="7"/>
      <c r="C533" s="6"/>
      <c r="D533" s="6"/>
      <c r="E533" s="6"/>
      <c r="F533" s="6"/>
      <c r="G533" s="12"/>
      <c r="H533" s="12"/>
      <c r="I533" s="9" t="str">
        <f t="shared" si="8"/>
        <v/>
      </c>
      <c r="J533" s="7"/>
      <c r="K533" s="6"/>
    </row>
    <row r="534" spans="1:11" x14ac:dyDescent="0.3">
      <c r="A534" s="6"/>
      <c r="B534" s="7"/>
      <c r="C534" s="6"/>
      <c r="D534" s="6"/>
      <c r="E534" s="6"/>
      <c r="F534" s="6"/>
      <c r="G534" s="12"/>
      <c r="H534" s="12"/>
      <c r="I534" s="9" t="str">
        <f t="shared" si="8"/>
        <v/>
      </c>
      <c r="J534" s="7"/>
      <c r="K534" s="6"/>
    </row>
    <row r="535" spans="1:11" x14ac:dyDescent="0.3">
      <c r="A535" s="6"/>
      <c r="B535" s="7"/>
      <c r="C535" s="6"/>
      <c r="D535" s="6"/>
      <c r="E535" s="6"/>
      <c r="F535" s="6"/>
      <c r="G535" s="12"/>
      <c r="H535" s="12"/>
      <c r="I535" s="9" t="str">
        <f t="shared" si="8"/>
        <v/>
      </c>
      <c r="J535" s="7"/>
      <c r="K535" s="6"/>
    </row>
    <row r="536" spans="1:11" x14ac:dyDescent="0.3">
      <c r="A536" s="6"/>
      <c r="B536" s="7"/>
      <c r="C536" s="6"/>
      <c r="D536" s="6"/>
      <c r="E536" s="6"/>
      <c r="F536" s="6"/>
      <c r="G536" s="12"/>
      <c r="H536" s="12"/>
      <c r="I536" s="9" t="str">
        <f t="shared" si="8"/>
        <v/>
      </c>
      <c r="J536" s="7"/>
      <c r="K536" s="6"/>
    </row>
    <row r="537" spans="1:11" x14ac:dyDescent="0.3">
      <c r="A537" s="6"/>
      <c r="B537" s="7"/>
      <c r="C537" s="6"/>
      <c r="D537" s="6"/>
      <c r="E537" s="6"/>
      <c r="F537" s="6"/>
      <c r="G537" s="12"/>
      <c r="H537" s="12"/>
      <c r="I537" s="9" t="str">
        <f t="shared" si="8"/>
        <v/>
      </c>
      <c r="J537" s="7"/>
      <c r="K537" s="6"/>
    </row>
    <row r="538" spans="1:11" x14ac:dyDescent="0.3">
      <c r="A538" s="6"/>
      <c r="B538" s="7"/>
      <c r="C538" s="6"/>
      <c r="D538" s="6"/>
      <c r="E538" s="6"/>
      <c r="F538" s="6"/>
      <c r="G538" s="12"/>
      <c r="H538" s="12"/>
      <c r="I538" s="9" t="str">
        <f t="shared" si="8"/>
        <v/>
      </c>
      <c r="J538" s="7"/>
      <c r="K538" s="6"/>
    </row>
    <row r="539" spans="1:11" x14ac:dyDescent="0.3">
      <c r="A539" s="6"/>
      <c r="B539" s="7"/>
      <c r="C539" s="6"/>
      <c r="D539" s="6"/>
      <c r="E539" s="6"/>
      <c r="F539" s="6"/>
      <c r="G539" s="12"/>
      <c r="H539" s="12"/>
      <c r="I539" s="9" t="str">
        <f t="shared" si="8"/>
        <v/>
      </c>
      <c r="J539" s="7"/>
      <c r="K539" s="6"/>
    </row>
    <row r="540" spans="1:11" x14ac:dyDescent="0.3">
      <c r="A540" s="6"/>
      <c r="B540" s="7"/>
      <c r="C540" s="6"/>
      <c r="D540" s="6"/>
      <c r="E540" s="6"/>
      <c r="F540" s="6"/>
      <c r="G540" s="12"/>
      <c r="H540" s="12"/>
      <c r="I540" s="9" t="str">
        <f t="shared" si="8"/>
        <v/>
      </c>
      <c r="J540" s="7"/>
      <c r="K540" s="6"/>
    </row>
    <row r="541" spans="1:11" x14ac:dyDescent="0.3">
      <c r="A541" s="6"/>
      <c r="B541" s="7"/>
      <c r="C541" s="6"/>
      <c r="D541" s="6"/>
      <c r="E541" s="6"/>
      <c r="F541" s="6"/>
      <c r="G541" s="12"/>
      <c r="H541" s="12"/>
      <c r="I541" s="9" t="str">
        <f t="shared" si="8"/>
        <v/>
      </c>
      <c r="J541" s="7"/>
      <c r="K541" s="6"/>
    </row>
    <row r="542" spans="1:11" x14ac:dyDescent="0.3">
      <c r="A542" s="6"/>
      <c r="B542" s="7"/>
      <c r="C542" s="6"/>
      <c r="D542" s="6"/>
      <c r="E542" s="6"/>
      <c r="F542" s="6"/>
      <c r="G542" s="12"/>
      <c r="H542" s="12"/>
      <c r="I542" s="9" t="str">
        <f t="shared" si="8"/>
        <v/>
      </c>
      <c r="J542" s="7"/>
      <c r="K542" s="6"/>
    </row>
    <row r="543" spans="1:11" x14ac:dyDescent="0.3">
      <c r="A543" s="6"/>
      <c r="B543" s="7"/>
      <c r="C543" s="6"/>
      <c r="D543" s="6"/>
      <c r="E543" s="6"/>
      <c r="F543" s="6"/>
      <c r="G543" s="12"/>
      <c r="H543" s="12"/>
      <c r="I543" s="9" t="str">
        <f t="shared" si="8"/>
        <v/>
      </c>
      <c r="J543" s="7"/>
      <c r="K543" s="6"/>
    </row>
    <row r="544" spans="1:11" x14ac:dyDescent="0.3">
      <c r="A544" s="6"/>
      <c r="B544" s="7"/>
      <c r="C544" s="6"/>
      <c r="D544" s="6"/>
      <c r="E544" s="6"/>
      <c r="F544" s="6"/>
      <c r="G544" s="12"/>
      <c r="H544" s="12"/>
      <c r="I544" s="9" t="str">
        <f t="shared" si="8"/>
        <v/>
      </c>
      <c r="J544" s="7"/>
      <c r="K544" s="6"/>
    </row>
    <row r="545" spans="1:11" x14ac:dyDescent="0.3">
      <c r="A545" s="6"/>
      <c r="B545" s="7"/>
      <c r="C545" s="6"/>
      <c r="D545" s="6"/>
      <c r="E545" s="6"/>
      <c r="F545" s="6"/>
      <c r="G545" s="12"/>
      <c r="H545" s="12"/>
      <c r="I545" s="9" t="str">
        <f t="shared" si="8"/>
        <v/>
      </c>
      <c r="J545" s="7"/>
      <c r="K545" s="6"/>
    </row>
    <row r="546" spans="1:11" x14ac:dyDescent="0.3">
      <c r="A546" s="6"/>
      <c r="B546" s="7"/>
      <c r="C546" s="6"/>
      <c r="D546" s="6"/>
      <c r="E546" s="6"/>
      <c r="F546" s="6"/>
      <c r="G546" s="12"/>
      <c r="H546" s="12"/>
      <c r="I546" s="9" t="str">
        <f t="shared" si="8"/>
        <v/>
      </c>
      <c r="J546" s="7"/>
      <c r="K546" s="6"/>
    </row>
    <row r="547" spans="1:11" x14ac:dyDescent="0.3">
      <c r="A547" s="6"/>
      <c r="B547" s="7"/>
      <c r="C547" s="6"/>
      <c r="D547" s="6"/>
      <c r="E547" s="6"/>
      <c r="F547" s="6"/>
      <c r="G547" s="12"/>
      <c r="H547" s="12"/>
      <c r="I547" s="9" t="str">
        <f t="shared" si="8"/>
        <v/>
      </c>
      <c r="J547" s="7"/>
      <c r="K547" s="6"/>
    </row>
    <row r="548" spans="1:11" x14ac:dyDescent="0.3">
      <c r="A548" s="6"/>
      <c r="B548" s="7"/>
      <c r="C548" s="6"/>
      <c r="D548" s="6"/>
      <c r="E548" s="6"/>
      <c r="F548" s="6"/>
      <c r="G548" s="12"/>
      <c r="H548" s="12"/>
      <c r="I548" s="9" t="str">
        <f t="shared" si="8"/>
        <v/>
      </c>
      <c r="J548" s="7"/>
      <c r="K548" s="6"/>
    </row>
    <row r="549" spans="1:11" x14ac:dyDescent="0.3">
      <c r="A549" s="6"/>
      <c r="B549" s="7"/>
      <c r="C549" s="6"/>
      <c r="D549" s="6"/>
      <c r="E549" s="6"/>
      <c r="F549" s="6"/>
      <c r="G549" s="12"/>
      <c r="H549" s="12"/>
      <c r="I549" s="9" t="str">
        <f t="shared" si="8"/>
        <v/>
      </c>
      <c r="J549" s="7"/>
      <c r="K549" s="6"/>
    </row>
    <row r="550" spans="1:11" x14ac:dyDescent="0.3">
      <c r="A550" s="6"/>
      <c r="B550" s="7"/>
      <c r="C550" s="6"/>
      <c r="D550" s="6"/>
      <c r="E550" s="6"/>
      <c r="F550" s="6"/>
      <c r="G550" s="12"/>
      <c r="H550" s="12"/>
      <c r="I550" s="9" t="str">
        <f t="shared" si="8"/>
        <v/>
      </c>
      <c r="J550" s="7"/>
      <c r="K550" s="6"/>
    </row>
    <row r="551" spans="1:11" x14ac:dyDescent="0.3">
      <c r="A551" s="6"/>
      <c r="B551" s="7"/>
      <c r="C551" s="6"/>
      <c r="D551" s="6"/>
      <c r="E551" s="6"/>
      <c r="F551" s="6"/>
      <c r="G551" s="12"/>
      <c r="H551" s="12"/>
      <c r="I551" s="9" t="str">
        <f t="shared" si="8"/>
        <v/>
      </c>
      <c r="J551" s="7"/>
      <c r="K551" s="6"/>
    </row>
    <row r="552" spans="1:11" x14ac:dyDescent="0.3">
      <c r="A552" s="6"/>
      <c r="B552" s="7"/>
      <c r="C552" s="6"/>
      <c r="D552" s="6"/>
      <c r="E552" s="6"/>
      <c r="F552" s="6"/>
      <c r="G552" s="12"/>
      <c r="H552" s="12"/>
      <c r="I552" s="9" t="str">
        <f t="shared" si="8"/>
        <v/>
      </c>
      <c r="J552" s="7"/>
      <c r="K552" s="6"/>
    </row>
    <row r="553" spans="1:11" x14ac:dyDescent="0.3">
      <c r="A553" s="6"/>
      <c r="B553" s="7"/>
      <c r="C553" s="6"/>
      <c r="D553" s="6"/>
      <c r="E553" s="6"/>
      <c r="F553" s="6"/>
      <c r="G553" s="12"/>
      <c r="H553" s="12"/>
      <c r="I553" s="9" t="str">
        <f t="shared" si="8"/>
        <v/>
      </c>
      <c r="J553" s="7"/>
      <c r="K553" s="6"/>
    </row>
    <row r="554" spans="1:11" x14ac:dyDescent="0.3">
      <c r="A554" s="6"/>
      <c r="B554" s="7"/>
      <c r="C554" s="6"/>
      <c r="D554" s="6"/>
      <c r="E554" s="6"/>
      <c r="F554" s="6"/>
      <c r="G554" s="12"/>
      <c r="H554" s="12"/>
      <c r="I554" s="9" t="str">
        <f t="shared" si="8"/>
        <v/>
      </c>
      <c r="J554" s="7"/>
      <c r="K554" s="6"/>
    </row>
    <row r="555" spans="1:11" x14ac:dyDescent="0.3">
      <c r="A555" s="6"/>
      <c r="B555" s="7"/>
      <c r="C555" s="6"/>
      <c r="D555" s="6"/>
      <c r="E555" s="6"/>
      <c r="F555" s="6"/>
      <c r="G555" s="12"/>
      <c r="H555" s="12"/>
      <c r="I555" s="9" t="str">
        <f t="shared" si="8"/>
        <v/>
      </c>
      <c r="J555" s="7"/>
      <c r="K555" s="6"/>
    </row>
    <row r="556" spans="1:11" x14ac:dyDescent="0.3">
      <c r="A556" s="6"/>
      <c r="B556" s="7"/>
      <c r="C556" s="6"/>
      <c r="D556" s="6"/>
      <c r="E556" s="6"/>
      <c r="F556" s="6"/>
      <c r="G556" s="12"/>
      <c r="H556" s="12"/>
      <c r="I556" s="9" t="str">
        <f t="shared" si="8"/>
        <v/>
      </c>
      <c r="J556" s="7"/>
      <c r="K556" s="6"/>
    </row>
    <row r="557" spans="1:11" x14ac:dyDescent="0.3">
      <c r="A557" s="6"/>
      <c r="B557" s="7"/>
      <c r="C557" s="6"/>
      <c r="D557" s="6"/>
      <c r="E557" s="6"/>
      <c r="F557" s="6"/>
      <c r="G557" s="12"/>
      <c r="H557" s="12"/>
      <c r="I557" s="9" t="str">
        <f t="shared" si="8"/>
        <v/>
      </c>
      <c r="J557" s="7"/>
      <c r="K557" s="6"/>
    </row>
    <row r="558" spans="1:11" x14ac:dyDescent="0.3">
      <c r="A558" s="6"/>
      <c r="B558" s="7"/>
      <c r="C558" s="6"/>
      <c r="D558" s="6"/>
      <c r="E558" s="6"/>
      <c r="F558" s="6"/>
      <c r="G558" s="12"/>
      <c r="H558" s="12"/>
      <c r="I558" s="9" t="str">
        <f t="shared" si="8"/>
        <v/>
      </c>
      <c r="J558" s="7"/>
      <c r="K558" s="6"/>
    </row>
    <row r="559" spans="1:11" x14ac:dyDescent="0.3">
      <c r="A559" s="6"/>
      <c r="B559" s="7"/>
      <c r="C559" s="6"/>
      <c r="D559" s="6"/>
      <c r="E559" s="6"/>
      <c r="F559" s="6"/>
      <c r="G559" s="12"/>
      <c r="H559" s="12"/>
      <c r="I559" s="9" t="str">
        <f t="shared" si="8"/>
        <v/>
      </c>
      <c r="J559" s="7"/>
      <c r="K559" s="6"/>
    </row>
    <row r="560" spans="1:11" x14ac:dyDescent="0.3">
      <c r="A560" s="6"/>
      <c r="B560" s="7"/>
      <c r="C560" s="6"/>
      <c r="D560" s="6"/>
      <c r="E560" s="6"/>
      <c r="F560" s="6"/>
      <c r="G560" s="12"/>
      <c r="H560" s="12"/>
      <c r="I560" s="9" t="str">
        <f t="shared" si="8"/>
        <v/>
      </c>
      <c r="J560" s="7"/>
      <c r="K560" s="6"/>
    </row>
    <row r="561" spans="1:11" x14ac:dyDescent="0.3">
      <c r="A561" s="6"/>
      <c r="B561" s="7"/>
      <c r="C561" s="6"/>
      <c r="D561" s="6"/>
      <c r="E561" s="6"/>
      <c r="F561" s="6"/>
      <c r="G561" s="12"/>
      <c r="H561" s="12"/>
      <c r="I561" s="9" t="str">
        <f t="shared" si="8"/>
        <v/>
      </c>
      <c r="J561" s="7"/>
      <c r="K561" s="6"/>
    </row>
    <row r="562" spans="1:11" x14ac:dyDescent="0.3">
      <c r="A562" s="6"/>
      <c r="B562" s="7"/>
      <c r="C562" s="6"/>
      <c r="D562" s="6"/>
      <c r="E562" s="6"/>
      <c r="F562" s="6"/>
      <c r="G562" s="12"/>
      <c r="H562" s="12"/>
      <c r="I562" s="9" t="str">
        <f t="shared" si="8"/>
        <v/>
      </c>
      <c r="J562" s="7"/>
      <c r="K562" s="6"/>
    </row>
    <row r="563" spans="1:11" x14ac:dyDescent="0.3">
      <c r="A563" s="6"/>
      <c r="B563" s="7"/>
      <c r="C563" s="6"/>
      <c r="D563" s="6"/>
      <c r="E563" s="6"/>
      <c r="F563" s="6"/>
      <c r="G563" s="12"/>
      <c r="H563" s="12"/>
      <c r="I563" s="9" t="str">
        <f t="shared" si="8"/>
        <v/>
      </c>
      <c r="J563" s="7"/>
      <c r="K563" s="6"/>
    </row>
    <row r="564" spans="1:11" x14ac:dyDescent="0.3">
      <c r="A564" s="6"/>
      <c r="B564" s="7"/>
      <c r="C564" s="6"/>
      <c r="D564" s="6"/>
      <c r="E564" s="6"/>
      <c r="F564" s="6"/>
      <c r="G564" s="12"/>
      <c r="H564" s="12"/>
      <c r="I564" s="9" t="str">
        <f t="shared" si="8"/>
        <v/>
      </c>
      <c r="J564" s="7"/>
      <c r="K564" s="6"/>
    </row>
    <row r="565" spans="1:11" x14ac:dyDescent="0.3">
      <c r="A565" s="6"/>
      <c r="B565" s="7"/>
      <c r="C565" s="6"/>
      <c r="D565" s="6"/>
      <c r="E565" s="6"/>
      <c r="F565" s="6"/>
      <c r="G565" s="12"/>
      <c r="H565" s="12"/>
      <c r="I565" s="9" t="str">
        <f t="shared" ref="I565:I628" si="9">IF(AND(G565&lt;&gt;"",H565&lt;&gt;""),MOD(H565-G565,1)*24,"")</f>
        <v/>
      </c>
      <c r="J565" s="7"/>
      <c r="K565" s="6"/>
    </row>
    <row r="566" spans="1:11" x14ac:dyDescent="0.3">
      <c r="A566" s="6"/>
      <c r="B566" s="7"/>
      <c r="C566" s="6"/>
      <c r="D566" s="6"/>
      <c r="E566" s="6"/>
      <c r="F566" s="6"/>
      <c r="G566" s="12"/>
      <c r="H566" s="12"/>
      <c r="I566" s="9" t="str">
        <f t="shared" si="9"/>
        <v/>
      </c>
      <c r="J566" s="7"/>
      <c r="K566" s="6"/>
    </row>
    <row r="567" spans="1:11" x14ac:dyDescent="0.3">
      <c r="A567" s="6"/>
      <c r="B567" s="7"/>
      <c r="C567" s="6"/>
      <c r="D567" s="6"/>
      <c r="E567" s="6"/>
      <c r="F567" s="6"/>
      <c r="G567" s="12"/>
      <c r="H567" s="12"/>
      <c r="I567" s="9" t="str">
        <f t="shared" si="9"/>
        <v/>
      </c>
      <c r="J567" s="7"/>
      <c r="K567" s="6"/>
    </row>
    <row r="568" spans="1:11" x14ac:dyDescent="0.3">
      <c r="A568" s="6"/>
      <c r="B568" s="7"/>
      <c r="C568" s="6"/>
      <c r="D568" s="6"/>
      <c r="E568" s="6"/>
      <c r="F568" s="6"/>
      <c r="G568" s="12"/>
      <c r="H568" s="12"/>
      <c r="I568" s="9" t="str">
        <f t="shared" si="9"/>
        <v/>
      </c>
      <c r="J568" s="7"/>
      <c r="K568" s="6"/>
    </row>
    <row r="569" spans="1:11" x14ac:dyDescent="0.3">
      <c r="A569" s="6"/>
      <c r="B569" s="7"/>
      <c r="C569" s="6"/>
      <c r="D569" s="6"/>
      <c r="E569" s="6"/>
      <c r="F569" s="6"/>
      <c r="G569" s="12"/>
      <c r="H569" s="12"/>
      <c r="I569" s="9" t="str">
        <f t="shared" si="9"/>
        <v/>
      </c>
      <c r="J569" s="7"/>
      <c r="K569" s="6"/>
    </row>
    <row r="570" spans="1:11" x14ac:dyDescent="0.3">
      <c r="A570" s="6"/>
      <c r="B570" s="7"/>
      <c r="C570" s="6"/>
      <c r="D570" s="6"/>
      <c r="E570" s="6"/>
      <c r="F570" s="6"/>
      <c r="G570" s="12"/>
      <c r="H570" s="12"/>
      <c r="I570" s="9" t="str">
        <f t="shared" si="9"/>
        <v/>
      </c>
      <c r="J570" s="7"/>
      <c r="K570" s="6"/>
    </row>
    <row r="571" spans="1:11" x14ac:dyDescent="0.3">
      <c r="A571" s="6"/>
      <c r="B571" s="7"/>
      <c r="C571" s="6"/>
      <c r="D571" s="6"/>
      <c r="E571" s="6"/>
      <c r="F571" s="6"/>
      <c r="G571" s="12"/>
      <c r="H571" s="12"/>
      <c r="I571" s="9" t="str">
        <f t="shared" si="9"/>
        <v/>
      </c>
      <c r="J571" s="7"/>
      <c r="K571" s="6"/>
    </row>
    <row r="572" spans="1:11" x14ac:dyDescent="0.3">
      <c r="A572" s="6"/>
      <c r="B572" s="7"/>
      <c r="C572" s="6"/>
      <c r="D572" s="6"/>
      <c r="E572" s="6"/>
      <c r="F572" s="6"/>
      <c r="G572" s="12"/>
      <c r="H572" s="12"/>
      <c r="I572" s="9" t="str">
        <f t="shared" si="9"/>
        <v/>
      </c>
      <c r="J572" s="7"/>
      <c r="K572" s="6"/>
    </row>
    <row r="573" spans="1:11" x14ac:dyDescent="0.3">
      <c r="A573" s="6"/>
      <c r="B573" s="7"/>
      <c r="C573" s="6"/>
      <c r="D573" s="6"/>
      <c r="E573" s="6"/>
      <c r="F573" s="6"/>
      <c r="G573" s="12"/>
      <c r="H573" s="12"/>
      <c r="I573" s="9" t="str">
        <f t="shared" si="9"/>
        <v/>
      </c>
      <c r="J573" s="7"/>
      <c r="K573" s="6"/>
    </row>
    <row r="574" spans="1:11" x14ac:dyDescent="0.3">
      <c r="A574" s="6"/>
      <c r="B574" s="7"/>
      <c r="C574" s="6"/>
      <c r="D574" s="6"/>
      <c r="E574" s="6"/>
      <c r="F574" s="6"/>
      <c r="G574" s="12"/>
      <c r="H574" s="12"/>
      <c r="I574" s="9" t="str">
        <f t="shared" si="9"/>
        <v/>
      </c>
      <c r="J574" s="7"/>
      <c r="K574" s="6"/>
    </row>
    <row r="575" spans="1:11" x14ac:dyDescent="0.3">
      <c r="A575" s="6"/>
      <c r="B575" s="7"/>
      <c r="C575" s="6"/>
      <c r="D575" s="6"/>
      <c r="E575" s="6"/>
      <c r="F575" s="6"/>
      <c r="G575" s="12"/>
      <c r="H575" s="12"/>
      <c r="I575" s="9" t="str">
        <f t="shared" si="9"/>
        <v/>
      </c>
      <c r="J575" s="7"/>
      <c r="K575" s="6"/>
    </row>
    <row r="576" spans="1:11" x14ac:dyDescent="0.3">
      <c r="A576" s="6"/>
      <c r="B576" s="7"/>
      <c r="C576" s="6"/>
      <c r="D576" s="6"/>
      <c r="E576" s="6"/>
      <c r="F576" s="6"/>
      <c r="G576" s="12"/>
      <c r="H576" s="12"/>
      <c r="I576" s="9" t="str">
        <f t="shared" si="9"/>
        <v/>
      </c>
      <c r="J576" s="7"/>
      <c r="K576" s="6"/>
    </row>
    <row r="577" spans="1:11" x14ac:dyDescent="0.3">
      <c r="A577" s="6"/>
      <c r="B577" s="7"/>
      <c r="C577" s="6"/>
      <c r="D577" s="6"/>
      <c r="E577" s="6"/>
      <c r="F577" s="6"/>
      <c r="G577" s="12"/>
      <c r="H577" s="12"/>
      <c r="I577" s="9" t="str">
        <f t="shared" si="9"/>
        <v/>
      </c>
      <c r="J577" s="7"/>
      <c r="K577" s="6"/>
    </row>
    <row r="578" spans="1:11" x14ac:dyDescent="0.3">
      <c r="A578" s="6"/>
      <c r="B578" s="7"/>
      <c r="C578" s="6"/>
      <c r="D578" s="6"/>
      <c r="E578" s="6"/>
      <c r="F578" s="6"/>
      <c r="G578" s="12"/>
      <c r="H578" s="12"/>
      <c r="I578" s="9" t="str">
        <f t="shared" si="9"/>
        <v/>
      </c>
      <c r="J578" s="7"/>
      <c r="K578" s="6"/>
    </row>
    <row r="579" spans="1:11" x14ac:dyDescent="0.3">
      <c r="A579" s="6"/>
      <c r="B579" s="7"/>
      <c r="C579" s="6"/>
      <c r="D579" s="6"/>
      <c r="E579" s="6"/>
      <c r="F579" s="6"/>
      <c r="G579" s="12"/>
      <c r="H579" s="12"/>
      <c r="I579" s="9" t="str">
        <f t="shared" si="9"/>
        <v/>
      </c>
      <c r="J579" s="7"/>
      <c r="K579" s="6"/>
    </row>
    <row r="580" spans="1:11" x14ac:dyDescent="0.3">
      <c r="A580" s="6"/>
      <c r="B580" s="7"/>
      <c r="C580" s="6"/>
      <c r="D580" s="6"/>
      <c r="E580" s="6"/>
      <c r="F580" s="6"/>
      <c r="G580" s="12"/>
      <c r="H580" s="12"/>
      <c r="I580" s="9" t="str">
        <f t="shared" si="9"/>
        <v/>
      </c>
      <c r="J580" s="7"/>
      <c r="K580" s="6"/>
    </row>
    <row r="581" spans="1:11" x14ac:dyDescent="0.3">
      <c r="A581" s="6"/>
      <c r="B581" s="7"/>
      <c r="C581" s="6"/>
      <c r="D581" s="6"/>
      <c r="E581" s="6"/>
      <c r="F581" s="6"/>
      <c r="G581" s="12"/>
      <c r="H581" s="12"/>
      <c r="I581" s="9" t="str">
        <f t="shared" si="9"/>
        <v/>
      </c>
      <c r="J581" s="7"/>
      <c r="K581" s="6"/>
    </row>
    <row r="582" spans="1:11" x14ac:dyDescent="0.3">
      <c r="A582" s="6"/>
      <c r="B582" s="7"/>
      <c r="C582" s="6"/>
      <c r="D582" s="6"/>
      <c r="E582" s="6"/>
      <c r="F582" s="6"/>
      <c r="G582" s="12"/>
      <c r="H582" s="12"/>
      <c r="I582" s="9" t="str">
        <f t="shared" si="9"/>
        <v/>
      </c>
      <c r="J582" s="7"/>
      <c r="K582" s="6"/>
    </row>
    <row r="583" spans="1:11" x14ac:dyDescent="0.3">
      <c r="A583" s="6"/>
      <c r="B583" s="7"/>
      <c r="C583" s="6"/>
      <c r="D583" s="6"/>
      <c r="E583" s="6"/>
      <c r="F583" s="6"/>
      <c r="G583" s="12"/>
      <c r="H583" s="12"/>
      <c r="I583" s="9" t="str">
        <f t="shared" si="9"/>
        <v/>
      </c>
      <c r="J583" s="7"/>
      <c r="K583" s="6"/>
    </row>
    <row r="584" spans="1:11" x14ac:dyDescent="0.3">
      <c r="A584" s="6"/>
      <c r="B584" s="7"/>
      <c r="C584" s="6"/>
      <c r="D584" s="6"/>
      <c r="E584" s="6"/>
      <c r="F584" s="6"/>
      <c r="G584" s="12"/>
      <c r="H584" s="12"/>
      <c r="I584" s="9" t="str">
        <f t="shared" si="9"/>
        <v/>
      </c>
      <c r="J584" s="7"/>
      <c r="K584" s="6"/>
    </row>
    <row r="585" spans="1:11" x14ac:dyDescent="0.3">
      <c r="A585" s="6"/>
      <c r="B585" s="7"/>
      <c r="C585" s="6"/>
      <c r="D585" s="6"/>
      <c r="E585" s="6"/>
      <c r="F585" s="6"/>
      <c r="G585" s="12"/>
      <c r="H585" s="12"/>
      <c r="I585" s="9" t="str">
        <f t="shared" si="9"/>
        <v/>
      </c>
      <c r="J585" s="7"/>
      <c r="K585" s="6"/>
    </row>
    <row r="586" spans="1:11" x14ac:dyDescent="0.3">
      <c r="A586" s="6"/>
      <c r="B586" s="7"/>
      <c r="C586" s="6"/>
      <c r="D586" s="6"/>
      <c r="E586" s="6"/>
      <c r="F586" s="6"/>
      <c r="G586" s="12"/>
      <c r="H586" s="12"/>
      <c r="I586" s="9" t="str">
        <f t="shared" si="9"/>
        <v/>
      </c>
      <c r="J586" s="7"/>
      <c r="K586" s="6"/>
    </row>
    <row r="587" spans="1:11" x14ac:dyDescent="0.3">
      <c r="A587" s="6"/>
      <c r="B587" s="7"/>
      <c r="C587" s="6"/>
      <c r="D587" s="6"/>
      <c r="E587" s="6"/>
      <c r="F587" s="6"/>
      <c r="G587" s="12"/>
      <c r="H587" s="12"/>
      <c r="I587" s="9" t="str">
        <f t="shared" si="9"/>
        <v/>
      </c>
      <c r="J587" s="7"/>
      <c r="K587" s="6"/>
    </row>
    <row r="588" spans="1:11" x14ac:dyDescent="0.3">
      <c r="A588" s="6"/>
      <c r="B588" s="7"/>
      <c r="C588" s="6"/>
      <c r="D588" s="6"/>
      <c r="E588" s="6"/>
      <c r="F588" s="6"/>
      <c r="G588" s="12"/>
      <c r="H588" s="12"/>
      <c r="I588" s="9" t="str">
        <f t="shared" si="9"/>
        <v/>
      </c>
      <c r="J588" s="7"/>
      <c r="K588" s="6"/>
    </row>
    <row r="589" spans="1:11" x14ac:dyDescent="0.3">
      <c r="A589" s="6"/>
      <c r="B589" s="7"/>
      <c r="C589" s="6"/>
      <c r="D589" s="6"/>
      <c r="E589" s="6"/>
      <c r="F589" s="6"/>
      <c r="G589" s="12"/>
      <c r="H589" s="12"/>
      <c r="I589" s="9" t="str">
        <f t="shared" si="9"/>
        <v/>
      </c>
      <c r="J589" s="7"/>
      <c r="K589" s="6"/>
    </row>
    <row r="590" spans="1:11" x14ac:dyDescent="0.3">
      <c r="A590" s="6"/>
      <c r="B590" s="7"/>
      <c r="C590" s="6"/>
      <c r="D590" s="6"/>
      <c r="E590" s="6"/>
      <c r="F590" s="6"/>
      <c r="G590" s="12"/>
      <c r="H590" s="12"/>
      <c r="I590" s="9" t="str">
        <f t="shared" si="9"/>
        <v/>
      </c>
      <c r="J590" s="7"/>
      <c r="K590" s="6"/>
    </row>
    <row r="591" spans="1:11" x14ac:dyDescent="0.3">
      <c r="A591" s="6"/>
      <c r="B591" s="7"/>
      <c r="C591" s="6"/>
      <c r="D591" s="6"/>
      <c r="E591" s="6"/>
      <c r="F591" s="6"/>
      <c r="G591" s="12"/>
      <c r="H591" s="12"/>
      <c r="I591" s="9" t="str">
        <f t="shared" si="9"/>
        <v/>
      </c>
      <c r="J591" s="7"/>
      <c r="K591" s="6"/>
    </row>
    <row r="592" spans="1:11" x14ac:dyDescent="0.3">
      <c r="A592" s="6"/>
      <c r="B592" s="7"/>
      <c r="C592" s="6"/>
      <c r="D592" s="6"/>
      <c r="E592" s="6"/>
      <c r="F592" s="6"/>
      <c r="G592" s="12"/>
      <c r="H592" s="12"/>
      <c r="I592" s="9" t="str">
        <f t="shared" si="9"/>
        <v/>
      </c>
      <c r="J592" s="7"/>
      <c r="K592" s="6"/>
    </row>
    <row r="593" spans="1:11" x14ac:dyDescent="0.3">
      <c r="A593" s="6"/>
      <c r="B593" s="7"/>
      <c r="C593" s="6"/>
      <c r="D593" s="6"/>
      <c r="E593" s="6"/>
      <c r="F593" s="6"/>
      <c r="G593" s="12"/>
      <c r="H593" s="12"/>
      <c r="I593" s="9" t="str">
        <f t="shared" si="9"/>
        <v/>
      </c>
      <c r="J593" s="7"/>
      <c r="K593" s="6"/>
    </row>
    <row r="594" spans="1:11" x14ac:dyDescent="0.3">
      <c r="A594" s="6"/>
      <c r="B594" s="7"/>
      <c r="C594" s="6"/>
      <c r="D594" s="6"/>
      <c r="E594" s="6"/>
      <c r="F594" s="6"/>
      <c r="G594" s="12"/>
      <c r="H594" s="12"/>
      <c r="I594" s="9" t="str">
        <f t="shared" si="9"/>
        <v/>
      </c>
      <c r="J594" s="7"/>
      <c r="K594" s="6"/>
    </row>
    <row r="595" spans="1:11" x14ac:dyDescent="0.3">
      <c r="A595" s="6"/>
      <c r="B595" s="7"/>
      <c r="C595" s="6"/>
      <c r="D595" s="6"/>
      <c r="E595" s="6"/>
      <c r="F595" s="6"/>
      <c r="G595" s="12"/>
      <c r="H595" s="12"/>
      <c r="I595" s="9" t="str">
        <f t="shared" si="9"/>
        <v/>
      </c>
      <c r="J595" s="7"/>
      <c r="K595" s="6"/>
    </row>
    <row r="596" spans="1:11" x14ac:dyDescent="0.3">
      <c r="A596" s="6"/>
      <c r="B596" s="7"/>
      <c r="C596" s="6"/>
      <c r="D596" s="6"/>
      <c r="E596" s="6"/>
      <c r="F596" s="6"/>
      <c r="G596" s="12"/>
      <c r="H596" s="12"/>
      <c r="I596" s="9" t="str">
        <f t="shared" si="9"/>
        <v/>
      </c>
      <c r="J596" s="7"/>
      <c r="K596" s="6"/>
    </row>
    <row r="597" spans="1:11" x14ac:dyDescent="0.3">
      <c r="A597" s="6"/>
      <c r="B597" s="7"/>
      <c r="C597" s="6"/>
      <c r="D597" s="6"/>
      <c r="E597" s="6"/>
      <c r="F597" s="6"/>
      <c r="G597" s="12"/>
      <c r="H597" s="12"/>
      <c r="I597" s="9" t="str">
        <f t="shared" si="9"/>
        <v/>
      </c>
      <c r="J597" s="7"/>
      <c r="K597" s="6"/>
    </row>
    <row r="598" spans="1:11" x14ac:dyDescent="0.3">
      <c r="A598" s="6"/>
      <c r="B598" s="7"/>
      <c r="C598" s="6"/>
      <c r="D598" s="6"/>
      <c r="E598" s="6"/>
      <c r="F598" s="6"/>
      <c r="G598" s="12"/>
      <c r="H598" s="12"/>
      <c r="I598" s="9" t="str">
        <f t="shared" si="9"/>
        <v/>
      </c>
      <c r="J598" s="7"/>
      <c r="K598" s="6"/>
    </row>
    <row r="599" spans="1:11" x14ac:dyDescent="0.3">
      <c r="A599" s="6"/>
      <c r="B599" s="7"/>
      <c r="C599" s="6"/>
      <c r="D599" s="6"/>
      <c r="E599" s="6"/>
      <c r="F599" s="6"/>
      <c r="G599" s="12"/>
      <c r="H599" s="12"/>
      <c r="I599" s="9" t="str">
        <f t="shared" si="9"/>
        <v/>
      </c>
      <c r="J599" s="7"/>
      <c r="K599" s="6"/>
    </row>
    <row r="600" spans="1:11" x14ac:dyDescent="0.3">
      <c r="A600" s="6"/>
      <c r="B600" s="7"/>
      <c r="C600" s="6"/>
      <c r="D600" s="6"/>
      <c r="E600" s="6"/>
      <c r="F600" s="6"/>
      <c r="G600" s="12"/>
      <c r="H600" s="12"/>
      <c r="I600" s="9" t="str">
        <f t="shared" si="9"/>
        <v/>
      </c>
      <c r="J600" s="7"/>
      <c r="K600" s="6"/>
    </row>
    <row r="601" spans="1:11" x14ac:dyDescent="0.3">
      <c r="A601" s="6"/>
      <c r="B601" s="7"/>
      <c r="C601" s="6"/>
      <c r="D601" s="6"/>
      <c r="E601" s="6"/>
      <c r="F601" s="6"/>
      <c r="G601" s="12"/>
      <c r="H601" s="12"/>
      <c r="I601" s="9" t="str">
        <f t="shared" si="9"/>
        <v/>
      </c>
      <c r="J601" s="7"/>
      <c r="K601" s="6"/>
    </row>
    <row r="602" spans="1:11" x14ac:dyDescent="0.3">
      <c r="A602" s="6"/>
      <c r="B602" s="7"/>
      <c r="C602" s="6"/>
      <c r="D602" s="6"/>
      <c r="E602" s="6"/>
      <c r="F602" s="6"/>
      <c r="G602" s="12"/>
      <c r="H602" s="12"/>
      <c r="I602" s="9" t="str">
        <f t="shared" si="9"/>
        <v/>
      </c>
      <c r="J602" s="7"/>
      <c r="K602" s="6"/>
    </row>
    <row r="603" spans="1:11" x14ac:dyDescent="0.3">
      <c r="A603" s="6"/>
      <c r="B603" s="7"/>
      <c r="C603" s="6"/>
      <c r="D603" s="6"/>
      <c r="E603" s="6"/>
      <c r="F603" s="6"/>
      <c r="G603" s="12"/>
      <c r="H603" s="12"/>
      <c r="I603" s="9" t="str">
        <f t="shared" si="9"/>
        <v/>
      </c>
      <c r="J603" s="7"/>
      <c r="K603" s="6"/>
    </row>
    <row r="604" spans="1:11" x14ac:dyDescent="0.3">
      <c r="A604" s="6"/>
      <c r="B604" s="7"/>
      <c r="C604" s="6"/>
      <c r="D604" s="6"/>
      <c r="E604" s="6"/>
      <c r="F604" s="6"/>
      <c r="G604" s="12"/>
      <c r="H604" s="12"/>
      <c r="I604" s="9" t="str">
        <f t="shared" si="9"/>
        <v/>
      </c>
      <c r="J604" s="7"/>
      <c r="K604" s="6"/>
    </row>
    <row r="605" spans="1:11" x14ac:dyDescent="0.3">
      <c r="A605" s="6"/>
      <c r="B605" s="7"/>
      <c r="C605" s="6"/>
      <c r="D605" s="6"/>
      <c r="E605" s="6"/>
      <c r="F605" s="6"/>
      <c r="G605" s="12"/>
      <c r="H605" s="12"/>
      <c r="I605" s="9" t="str">
        <f t="shared" si="9"/>
        <v/>
      </c>
      <c r="J605" s="7"/>
      <c r="K605" s="6"/>
    </row>
    <row r="606" spans="1:11" x14ac:dyDescent="0.3">
      <c r="A606" s="6"/>
      <c r="B606" s="7"/>
      <c r="C606" s="6"/>
      <c r="D606" s="6"/>
      <c r="E606" s="6"/>
      <c r="F606" s="6"/>
      <c r="G606" s="12"/>
      <c r="H606" s="12"/>
      <c r="I606" s="9" t="str">
        <f t="shared" si="9"/>
        <v/>
      </c>
      <c r="J606" s="7"/>
      <c r="K606" s="6"/>
    </row>
    <row r="607" spans="1:11" x14ac:dyDescent="0.3">
      <c r="A607" s="6"/>
      <c r="B607" s="7"/>
      <c r="C607" s="6"/>
      <c r="D607" s="6"/>
      <c r="E607" s="6"/>
      <c r="F607" s="6"/>
      <c r="G607" s="12"/>
      <c r="H607" s="12"/>
      <c r="I607" s="9" t="str">
        <f t="shared" si="9"/>
        <v/>
      </c>
      <c r="J607" s="7"/>
      <c r="K607" s="6"/>
    </row>
    <row r="608" spans="1:11" x14ac:dyDescent="0.3">
      <c r="A608" s="6"/>
      <c r="B608" s="7"/>
      <c r="C608" s="6"/>
      <c r="D608" s="6"/>
      <c r="E608" s="6"/>
      <c r="F608" s="6"/>
      <c r="G608" s="12"/>
      <c r="H608" s="12"/>
      <c r="I608" s="9" t="str">
        <f t="shared" si="9"/>
        <v/>
      </c>
      <c r="J608" s="7"/>
      <c r="K608" s="6"/>
    </row>
    <row r="609" spans="1:11" x14ac:dyDescent="0.3">
      <c r="A609" s="6"/>
      <c r="B609" s="7"/>
      <c r="C609" s="6"/>
      <c r="D609" s="6"/>
      <c r="E609" s="6"/>
      <c r="F609" s="6"/>
      <c r="G609" s="12"/>
      <c r="H609" s="12"/>
      <c r="I609" s="9" t="str">
        <f t="shared" si="9"/>
        <v/>
      </c>
      <c r="J609" s="7"/>
      <c r="K609" s="6"/>
    </row>
    <row r="610" spans="1:11" x14ac:dyDescent="0.3">
      <c r="A610" s="6"/>
      <c r="B610" s="7"/>
      <c r="C610" s="6"/>
      <c r="D610" s="6"/>
      <c r="E610" s="6"/>
      <c r="F610" s="6"/>
      <c r="G610" s="12"/>
      <c r="H610" s="12"/>
      <c r="I610" s="9" t="str">
        <f t="shared" si="9"/>
        <v/>
      </c>
      <c r="J610" s="7"/>
      <c r="K610" s="6"/>
    </row>
    <row r="611" spans="1:11" x14ac:dyDescent="0.3">
      <c r="A611" s="6"/>
      <c r="B611" s="7"/>
      <c r="C611" s="6"/>
      <c r="D611" s="6"/>
      <c r="E611" s="6"/>
      <c r="F611" s="6"/>
      <c r="G611" s="12"/>
      <c r="H611" s="12"/>
      <c r="I611" s="9" t="str">
        <f t="shared" si="9"/>
        <v/>
      </c>
      <c r="J611" s="7"/>
      <c r="K611" s="6"/>
    </row>
    <row r="612" spans="1:11" x14ac:dyDescent="0.3">
      <c r="A612" s="6"/>
      <c r="B612" s="7"/>
      <c r="C612" s="6"/>
      <c r="D612" s="6"/>
      <c r="E612" s="6"/>
      <c r="F612" s="6"/>
      <c r="G612" s="12"/>
      <c r="H612" s="12"/>
      <c r="I612" s="9" t="str">
        <f t="shared" si="9"/>
        <v/>
      </c>
      <c r="J612" s="7"/>
      <c r="K612" s="6"/>
    </row>
    <row r="613" spans="1:11" x14ac:dyDescent="0.3">
      <c r="A613" s="6"/>
      <c r="B613" s="7"/>
      <c r="C613" s="6"/>
      <c r="D613" s="6"/>
      <c r="E613" s="6"/>
      <c r="F613" s="6"/>
      <c r="G613" s="12"/>
      <c r="H613" s="12"/>
      <c r="I613" s="9" t="str">
        <f t="shared" si="9"/>
        <v/>
      </c>
      <c r="J613" s="7"/>
      <c r="K613" s="6"/>
    </row>
    <row r="614" spans="1:11" x14ac:dyDescent="0.3">
      <c r="A614" s="6"/>
      <c r="B614" s="7"/>
      <c r="C614" s="6"/>
      <c r="D614" s="6"/>
      <c r="E614" s="6"/>
      <c r="F614" s="6"/>
      <c r="G614" s="12"/>
      <c r="H614" s="12"/>
      <c r="I614" s="9" t="str">
        <f t="shared" si="9"/>
        <v/>
      </c>
      <c r="J614" s="7"/>
      <c r="K614" s="6"/>
    </row>
    <row r="615" spans="1:11" x14ac:dyDescent="0.3">
      <c r="A615" s="6"/>
      <c r="B615" s="7"/>
      <c r="C615" s="6"/>
      <c r="D615" s="6"/>
      <c r="E615" s="6"/>
      <c r="F615" s="6"/>
      <c r="G615" s="12"/>
      <c r="H615" s="12"/>
      <c r="I615" s="9" t="str">
        <f t="shared" si="9"/>
        <v/>
      </c>
      <c r="J615" s="7"/>
      <c r="K615" s="6"/>
    </row>
    <row r="616" spans="1:11" x14ac:dyDescent="0.3">
      <c r="A616" s="6"/>
      <c r="B616" s="7"/>
      <c r="C616" s="6"/>
      <c r="D616" s="6"/>
      <c r="E616" s="6"/>
      <c r="F616" s="6"/>
      <c r="G616" s="12"/>
      <c r="H616" s="12"/>
      <c r="I616" s="9" t="str">
        <f t="shared" si="9"/>
        <v/>
      </c>
      <c r="J616" s="7"/>
      <c r="K616" s="6"/>
    </row>
    <row r="617" spans="1:11" x14ac:dyDescent="0.3">
      <c r="A617" s="6"/>
      <c r="B617" s="7"/>
      <c r="C617" s="6"/>
      <c r="D617" s="6"/>
      <c r="E617" s="6"/>
      <c r="F617" s="6"/>
      <c r="G617" s="12"/>
      <c r="H617" s="12"/>
      <c r="I617" s="9" t="str">
        <f t="shared" si="9"/>
        <v/>
      </c>
      <c r="J617" s="7"/>
      <c r="K617" s="6"/>
    </row>
    <row r="618" spans="1:11" x14ac:dyDescent="0.3">
      <c r="A618" s="6"/>
      <c r="B618" s="7"/>
      <c r="C618" s="6"/>
      <c r="D618" s="6"/>
      <c r="E618" s="6"/>
      <c r="F618" s="6"/>
      <c r="G618" s="12"/>
      <c r="H618" s="12"/>
      <c r="I618" s="9" t="str">
        <f t="shared" si="9"/>
        <v/>
      </c>
      <c r="J618" s="7"/>
      <c r="K618" s="6"/>
    </row>
    <row r="619" spans="1:11" x14ac:dyDescent="0.3">
      <c r="A619" s="6"/>
      <c r="B619" s="7"/>
      <c r="C619" s="6"/>
      <c r="D619" s="6"/>
      <c r="E619" s="6"/>
      <c r="F619" s="6"/>
      <c r="G619" s="12"/>
      <c r="H619" s="12"/>
      <c r="I619" s="9" t="str">
        <f t="shared" si="9"/>
        <v/>
      </c>
      <c r="J619" s="7"/>
      <c r="K619" s="6"/>
    </row>
    <row r="620" spans="1:11" x14ac:dyDescent="0.3">
      <c r="A620" s="6"/>
      <c r="B620" s="7"/>
      <c r="C620" s="6"/>
      <c r="D620" s="6"/>
      <c r="E620" s="6"/>
      <c r="F620" s="6"/>
      <c r="G620" s="12"/>
      <c r="H620" s="12"/>
      <c r="I620" s="9" t="str">
        <f t="shared" si="9"/>
        <v/>
      </c>
      <c r="J620" s="7"/>
      <c r="K620" s="6"/>
    </row>
    <row r="621" spans="1:11" x14ac:dyDescent="0.3">
      <c r="A621" s="6"/>
      <c r="B621" s="7"/>
      <c r="C621" s="6"/>
      <c r="D621" s="6"/>
      <c r="E621" s="6"/>
      <c r="F621" s="6"/>
      <c r="G621" s="12"/>
      <c r="H621" s="12"/>
      <c r="I621" s="9" t="str">
        <f t="shared" si="9"/>
        <v/>
      </c>
      <c r="J621" s="7"/>
      <c r="K621" s="6"/>
    </row>
    <row r="622" spans="1:11" x14ac:dyDescent="0.3">
      <c r="A622" s="6"/>
      <c r="B622" s="7"/>
      <c r="C622" s="6"/>
      <c r="D622" s="6"/>
      <c r="E622" s="6"/>
      <c r="F622" s="6"/>
      <c r="G622" s="12"/>
      <c r="H622" s="12"/>
      <c r="I622" s="9" t="str">
        <f t="shared" si="9"/>
        <v/>
      </c>
      <c r="J622" s="7"/>
      <c r="K622" s="6"/>
    </row>
    <row r="623" spans="1:11" x14ac:dyDescent="0.3">
      <c r="A623" s="6"/>
      <c r="B623" s="7"/>
      <c r="C623" s="6"/>
      <c r="D623" s="6"/>
      <c r="E623" s="6"/>
      <c r="F623" s="6"/>
      <c r="G623" s="12"/>
      <c r="H623" s="12"/>
      <c r="I623" s="9" t="str">
        <f t="shared" si="9"/>
        <v/>
      </c>
      <c r="J623" s="7"/>
      <c r="K623" s="6"/>
    </row>
    <row r="624" spans="1:11" x14ac:dyDescent="0.3">
      <c r="A624" s="6"/>
      <c r="B624" s="7"/>
      <c r="C624" s="6"/>
      <c r="D624" s="6"/>
      <c r="E624" s="6"/>
      <c r="F624" s="6"/>
      <c r="G624" s="12"/>
      <c r="H624" s="12"/>
      <c r="I624" s="9" t="str">
        <f t="shared" si="9"/>
        <v/>
      </c>
      <c r="J624" s="7"/>
      <c r="K624" s="6"/>
    </row>
    <row r="625" spans="1:11" x14ac:dyDescent="0.3">
      <c r="A625" s="6"/>
      <c r="B625" s="7"/>
      <c r="C625" s="6"/>
      <c r="D625" s="6"/>
      <c r="E625" s="6"/>
      <c r="F625" s="6"/>
      <c r="G625" s="12"/>
      <c r="H625" s="12"/>
      <c r="I625" s="9" t="str">
        <f t="shared" si="9"/>
        <v/>
      </c>
      <c r="J625" s="7"/>
      <c r="K625" s="6"/>
    </row>
    <row r="626" spans="1:11" x14ac:dyDescent="0.3">
      <c r="A626" s="6"/>
      <c r="B626" s="7"/>
      <c r="C626" s="6"/>
      <c r="D626" s="6"/>
      <c r="E626" s="6"/>
      <c r="F626" s="6"/>
      <c r="G626" s="12"/>
      <c r="H626" s="12"/>
      <c r="I626" s="9" t="str">
        <f t="shared" si="9"/>
        <v/>
      </c>
      <c r="J626" s="7"/>
      <c r="K626" s="6"/>
    </row>
    <row r="627" spans="1:11" x14ac:dyDescent="0.3">
      <c r="A627" s="6"/>
      <c r="B627" s="7"/>
      <c r="C627" s="6"/>
      <c r="D627" s="6"/>
      <c r="E627" s="6"/>
      <c r="F627" s="6"/>
      <c r="G627" s="12"/>
      <c r="H627" s="12"/>
      <c r="I627" s="9" t="str">
        <f t="shared" si="9"/>
        <v/>
      </c>
      <c r="J627" s="7"/>
      <c r="K627" s="6"/>
    </row>
    <row r="628" spans="1:11" x14ac:dyDescent="0.3">
      <c r="A628" s="6"/>
      <c r="B628" s="7"/>
      <c r="C628" s="6"/>
      <c r="D628" s="6"/>
      <c r="E628" s="6"/>
      <c r="F628" s="6"/>
      <c r="G628" s="12"/>
      <c r="H628" s="12"/>
      <c r="I628" s="9" t="str">
        <f t="shared" si="9"/>
        <v/>
      </c>
      <c r="J628" s="7"/>
      <c r="K628" s="6"/>
    </row>
    <row r="629" spans="1:11" x14ac:dyDescent="0.3">
      <c r="A629" s="6"/>
      <c r="B629" s="7"/>
      <c r="C629" s="6"/>
      <c r="D629" s="6"/>
      <c r="E629" s="6"/>
      <c r="F629" s="6"/>
      <c r="G629" s="12"/>
      <c r="H629" s="12"/>
      <c r="I629" s="9" t="str">
        <f t="shared" ref="I629:I692" si="10">IF(AND(G629&lt;&gt;"",H629&lt;&gt;""),MOD(H629-G629,1)*24,"")</f>
        <v/>
      </c>
      <c r="J629" s="7"/>
      <c r="K629" s="6"/>
    </row>
    <row r="630" spans="1:11" x14ac:dyDescent="0.3">
      <c r="A630" s="6"/>
      <c r="B630" s="7"/>
      <c r="C630" s="6"/>
      <c r="D630" s="6"/>
      <c r="E630" s="6"/>
      <c r="F630" s="6"/>
      <c r="G630" s="12"/>
      <c r="H630" s="12"/>
      <c r="I630" s="9" t="str">
        <f t="shared" si="10"/>
        <v/>
      </c>
      <c r="J630" s="7"/>
      <c r="K630" s="6"/>
    </row>
    <row r="631" spans="1:11" x14ac:dyDescent="0.3">
      <c r="A631" s="6"/>
      <c r="B631" s="7"/>
      <c r="C631" s="6"/>
      <c r="D631" s="6"/>
      <c r="E631" s="6"/>
      <c r="F631" s="6"/>
      <c r="G631" s="12"/>
      <c r="H631" s="12"/>
      <c r="I631" s="9" t="str">
        <f t="shared" si="10"/>
        <v/>
      </c>
      <c r="J631" s="7"/>
      <c r="K631" s="6"/>
    </row>
    <row r="632" spans="1:11" x14ac:dyDescent="0.3">
      <c r="A632" s="6"/>
      <c r="B632" s="7"/>
      <c r="C632" s="6"/>
      <c r="D632" s="6"/>
      <c r="E632" s="6"/>
      <c r="F632" s="6"/>
      <c r="G632" s="12"/>
      <c r="H632" s="12"/>
      <c r="I632" s="9" t="str">
        <f t="shared" si="10"/>
        <v/>
      </c>
      <c r="J632" s="7"/>
      <c r="K632" s="6"/>
    </row>
    <row r="633" spans="1:11" x14ac:dyDescent="0.3">
      <c r="A633" s="6"/>
      <c r="B633" s="7"/>
      <c r="C633" s="6"/>
      <c r="D633" s="6"/>
      <c r="E633" s="6"/>
      <c r="F633" s="6"/>
      <c r="G633" s="12"/>
      <c r="H633" s="12"/>
      <c r="I633" s="9" t="str">
        <f t="shared" si="10"/>
        <v/>
      </c>
      <c r="J633" s="7"/>
      <c r="K633" s="6"/>
    </row>
    <row r="634" spans="1:11" x14ac:dyDescent="0.3">
      <c r="A634" s="6"/>
      <c r="B634" s="7"/>
      <c r="C634" s="6"/>
      <c r="D634" s="6"/>
      <c r="E634" s="6"/>
      <c r="F634" s="6"/>
      <c r="G634" s="12"/>
      <c r="H634" s="12"/>
      <c r="I634" s="9" t="str">
        <f t="shared" si="10"/>
        <v/>
      </c>
      <c r="J634" s="7"/>
      <c r="K634" s="6"/>
    </row>
    <row r="635" spans="1:11" x14ac:dyDescent="0.3">
      <c r="A635" s="6"/>
      <c r="B635" s="7"/>
      <c r="C635" s="6"/>
      <c r="D635" s="6"/>
      <c r="E635" s="6"/>
      <c r="F635" s="6"/>
      <c r="G635" s="12"/>
      <c r="H635" s="12"/>
      <c r="I635" s="9" t="str">
        <f t="shared" si="10"/>
        <v/>
      </c>
      <c r="J635" s="7"/>
      <c r="K635" s="6"/>
    </row>
    <row r="636" spans="1:11" x14ac:dyDescent="0.3">
      <c r="A636" s="6"/>
      <c r="B636" s="7"/>
      <c r="C636" s="6"/>
      <c r="D636" s="6"/>
      <c r="E636" s="6"/>
      <c r="F636" s="6"/>
      <c r="G636" s="12"/>
      <c r="H636" s="12"/>
      <c r="I636" s="9" t="str">
        <f t="shared" si="10"/>
        <v/>
      </c>
      <c r="J636" s="7"/>
      <c r="K636" s="6"/>
    </row>
    <row r="637" spans="1:11" x14ac:dyDescent="0.3">
      <c r="A637" s="6"/>
      <c r="B637" s="7"/>
      <c r="C637" s="6"/>
      <c r="D637" s="6"/>
      <c r="E637" s="6"/>
      <c r="F637" s="6"/>
      <c r="G637" s="12"/>
      <c r="H637" s="12"/>
      <c r="I637" s="9" t="str">
        <f t="shared" si="10"/>
        <v/>
      </c>
      <c r="J637" s="7"/>
      <c r="K637" s="6"/>
    </row>
    <row r="638" spans="1:11" x14ac:dyDescent="0.3">
      <c r="A638" s="6"/>
      <c r="B638" s="7"/>
      <c r="C638" s="6"/>
      <c r="D638" s="6"/>
      <c r="E638" s="6"/>
      <c r="F638" s="6"/>
      <c r="G638" s="12"/>
      <c r="H638" s="12"/>
      <c r="I638" s="9" t="str">
        <f t="shared" si="10"/>
        <v/>
      </c>
      <c r="J638" s="7"/>
      <c r="K638" s="6"/>
    </row>
    <row r="639" spans="1:11" x14ac:dyDescent="0.3">
      <c r="A639" s="6"/>
      <c r="B639" s="7"/>
      <c r="C639" s="6"/>
      <c r="D639" s="6"/>
      <c r="E639" s="6"/>
      <c r="F639" s="6"/>
      <c r="G639" s="12"/>
      <c r="H639" s="12"/>
      <c r="I639" s="9" t="str">
        <f t="shared" si="10"/>
        <v/>
      </c>
      <c r="J639" s="7"/>
      <c r="K639" s="6"/>
    </row>
    <row r="640" spans="1:11" x14ac:dyDescent="0.3">
      <c r="A640" s="6"/>
      <c r="B640" s="7"/>
      <c r="C640" s="6"/>
      <c r="D640" s="6"/>
      <c r="E640" s="6"/>
      <c r="F640" s="6"/>
      <c r="G640" s="12"/>
      <c r="H640" s="12"/>
      <c r="I640" s="9" t="str">
        <f t="shared" si="10"/>
        <v/>
      </c>
      <c r="J640" s="7"/>
      <c r="K640" s="6"/>
    </row>
    <row r="641" spans="1:11" x14ac:dyDescent="0.3">
      <c r="A641" s="6"/>
      <c r="B641" s="7"/>
      <c r="C641" s="6"/>
      <c r="D641" s="6"/>
      <c r="E641" s="6"/>
      <c r="F641" s="6"/>
      <c r="G641" s="12"/>
      <c r="H641" s="12"/>
      <c r="I641" s="9" t="str">
        <f t="shared" si="10"/>
        <v/>
      </c>
      <c r="J641" s="7"/>
      <c r="K641" s="6"/>
    </row>
    <row r="642" spans="1:11" x14ac:dyDescent="0.3">
      <c r="A642" s="6"/>
      <c r="B642" s="7"/>
      <c r="C642" s="6"/>
      <c r="D642" s="6"/>
      <c r="E642" s="6"/>
      <c r="F642" s="6"/>
      <c r="G642" s="12"/>
      <c r="H642" s="12"/>
      <c r="I642" s="9" t="str">
        <f t="shared" si="10"/>
        <v/>
      </c>
      <c r="J642" s="7"/>
      <c r="K642" s="6"/>
    </row>
    <row r="643" spans="1:11" x14ac:dyDescent="0.3">
      <c r="A643" s="6"/>
      <c r="B643" s="7"/>
      <c r="C643" s="6"/>
      <c r="D643" s="6"/>
      <c r="E643" s="6"/>
      <c r="F643" s="6"/>
      <c r="G643" s="12"/>
      <c r="H643" s="12"/>
      <c r="I643" s="9" t="str">
        <f t="shared" si="10"/>
        <v/>
      </c>
      <c r="J643" s="7"/>
      <c r="K643" s="6"/>
    </row>
    <row r="644" spans="1:11" x14ac:dyDescent="0.3">
      <c r="A644" s="6"/>
      <c r="B644" s="7"/>
      <c r="C644" s="6"/>
      <c r="D644" s="6"/>
      <c r="E644" s="6"/>
      <c r="F644" s="6"/>
      <c r="G644" s="12"/>
      <c r="H644" s="12"/>
      <c r="I644" s="9" t="str">
        <f t="shared" si="10"/>
        <v/>
      </c>
      <c r="J644" s="7"/>
      <c r="K644" s="6"/>
    </row>
    <row r="645" spans="1:11" x14ac:dyDescent="0.3">
      <c r="A645" s="6"/>
      <c r="B645" s="7"/>
      <c r="C645" s="6"/>
      <c r="D645" s="6"/>
      <c r="E645" s="6"/>
      <c r="F645" s="6"/>
      <c r="G645" s="12"/>
      <c r="H645" s="12"/>
      <c r="I645" s="9" t="str">
        <f t="shared" si="10"/>
        <v/>
      </c>
      <c r="J645" s="7"/>
      <c r="K645" s="6"/>
    </row>
    <row r="646" spans="1:11" x14ac:dyDescent="0.3">
      <c r="A646" s="6"/>
      <c r="B646" s="7"/>
      <c r="C646" s="6"/>
      <c r="D646" s="6"/>
      <c r="E646" s="6"/>
      <c r="F646" s="6"/>
      <c r="G646" s="12"/>
      <c r="H646" s="12"/>
      <c r="I646" s="9" t="str">
        <f t="shared" si="10"/>
        <v/>
      </c>
      <c r="J646" s="7"/>
      <c r="K646" s="6"/>
    </row>
    <row r="647" spans="1:11" x14ac:dyDescent="0.3">
      <c r="A647" s="6"/>
      <c r="B647" s="7"/>
      <c r="C647" s="6"/>
      <c r="D647" s="6"/>
      <c r="E647" s="6"/>
      <c r="F647" s="6"/>
      <c r="G647" s="12"/>
      <c r="H647" s="12"/>
      <c r="I647" s="9" t="str">
        <f t="shared" si="10"/>
        <v/>
      </c>
      <c r="J647" s="7"/>
      <c r="K647" s="6"/>
    </row>
    <row r="648" spans="1:11" x14ac:dyDescent="0.3">
      <c r="A648" s="6"/>
      <c r="B648" s="7"/>
      <c r="C648" s="6"/>
      <c r="D648" s="6"/>
      <c r="E648" s="6"/>
      <c r="F648" s="6"/>
      <c r="G648" s="12"/>
      <c r="H648" s="12"/>
      <c r="I648" s="9" t="str">
        <f t="shared" si="10"/>
        <v/>
      </c>
      <c r="J648" s="7"/>
      <c r="K648" s="6"/>
    </row>
    <row r="649" spans="1:11" x14ac:dyDescent="0.3">
      <c r="A649" s="6"/>
      <c r="B649" s="7"/>
      <c r="C649" s="6"/>
      <c r="D649" s="6"/>
      <c r="E649" s="6"/>
      <c r="F649" s="6"/>
      <c r="G649" s="12"/>
      <c r="H649" s="12"/>
      <c r="I649" s="9" t="str">
        <f t="shared" si="10"/>
        <v/>
      </c>
      <c r="J649" s="7"/>
      <c r="K649" s="6"/>
    </row>
    <row r="650" spans="1:11" x14ac:dyDescent="0.3">
      <c r="A650" s="6"/>
      <c r="B650" s="7"/>
      <c r="C650" s="6"/>
      <c r="D650" s="6"/>
      <c r="E650" s="6"/>
      <c r="F650" s="6"/>
      <c r="G650" s="12"/>
      <c r="H650" s="12"/>
      <c r="I650" s="9" t="str">
        <f t="shared" si="10"/>
        <v/>
      </c>
      <c r="J650" s="7"/>
      <c r="K650" s="6"/>
    </row>
    <row r="651" spans="1:11" x14ac:dyDescent="0.3">
      <c r="A651" s="6"/>
      <c r="B651" s="7"/>
      <c r="C651" s="6"/>
      <c r="D651" s="6"/>
      <c r="E651" s="6"/>
      <c r="F651" s="6"/>
      <c r="G651" s="12"/>
      <c r="H651" s="12"/>
      <c r="I651" s="9" t="str">
        <f t="shared" si="10"/>
        <v/>
      </c>
      <c r="J651" s="7"/>
      <c r="K651" s="6"/>
    </row>
    <row r="652" spans="1:11" x14ac:dyDescent="0.3">
      <c r="A652" s="6"/>
      <c r="B652" s="7"/>
      <c r="C652" s="6"/>
      <c r="D652" s="6"/>
      <c r="E652" s="6"/>
      <c r="F652" s="6"/>
      <c r="G652" s="12"/>
      <c r="H652" s="12"/>
      <c r="I652" s="9" t="str">
        <f t="shared" si="10"/>
        <v/>
      </c>
      <c r="J652" s="7"/>
      <c r="K652" s="6"/>
    </row>
    <row r="653" spans="1:11" x14ac:dyDescent="0.3">
      <c r="A653" s="6"/>
      <c r="B653" s="7"/>
      <c r="C653" s="6"/>
      <c r="D653" s="6"/>
      <c r="E653" s="6"/>
      <c r="F653" s="6"/>
      <c r="G653" s="12"/>
      <c r="H653" s="12"/>
      <c r="I653" s="9" t="str">
        <f t="shared" si="10"/>
        <v/>
      </c>
      <c r="J653" s="7"/>
      <c r="K653" s="6"/>
    </row>
    <row r="654" spans="1:11" x14ac:dyDescent="0.3">
      <c r="A654" s="6"/>
      <c r="B654" s="7"/>
      <c r="C654" s="6"/>
      <c r="D654" s="6"/>
      <c r="E654" s="6"/>
      <c r="F654" s="6"/>
      <c r="G654" s="12"/>
      <c r="H654" s="12"/>
      <c r="I654" s="9" t="str">
        <f t="shared" si="10"/>
        <v/>
      </c>
      <c r="J654" s="7"/>
      <c r="K654" s="6"/>
    </row>
    <row r="655" spans="1:11" x14ac:dyDescent="0.3">
      <c r="A655" s="6"/>
      <c r="B655" s="7"/>
      <c r="C655" s="6"/>
      <c r="D655" s="6"/>
      <c r="E655" s="6"/>
      <c r="F655" s="6"/>
      <c r="G655" s="12"/>
      <c r="H655" s="12"/>
      <c r="I655" s="9" t="str">
        <f t="shared" si="10"/>
        <v/>
      </c>
      <c r="J655" s="7"/>
      <c r="K655" s="6"/>
    </row>
    <row r="656" spans="1:11" x14ac:dyDescent="0.3">
      <c r="A656" s="6"/>
      <c r="B656" s="7"/>
      <c r="C656" s="6"/>
      <c r="D656" s="6"/>
      <c r="E656" s="6"/>
      <c r="F656" s="6"/>
      <c r="G656" s="12"/>
      <c r="H656" s="12"/>
      <c r="I656" s="9" t="str">
        <f t="shared" si="10"/>
        <v/>
      </c>
      <c r="J656" s="7"/>
      <c r="K656" s="6"/>
    </row>
    <row r="657" spans="1:11" x14ac:dyDescent="0.3">
      <c r="A657" s="6"/>
      <c r="B657" s="7"/>
      <c r="C657" s="6"/>
      <c r="D657" s="6"/>
      <c r="E657" s="6"/>
      <c r="F657" s="6"/>
      <c r="G657" s="12"/>
      <c r="H657" s="12"/>
      <c r="I657" s="9" t="str">
        <f t="shared" si="10"/>
        <v/>
      </c>
      <c r="J657" s="7"/>
      <c r="K657" s="6"/>
    </row>
    <row r="658" spans="1:11" x14ac:dyDescent="0.3">
      <c r="A658" s="6"/>
      <c r="B658" s="7"/>
      <c r="C658" s="6"/>
      <c r="D658" s="6"/>
      <c r="E658" s="6"/>
      <c r="F658" s="6"/>
      <c r="G658" s="12"/>
      <c r="H658" s="12"/>
      <c r="I658" s="9" t="str">
        <f t="shared" si="10"/>
        <v/>
      </c>
      <c r="J658" s="7"/>
      <c r="K658" s="6"/>
    </row>
    <row r="659" spans="1:11" x14ac:dyDescent="0.3">
      <c r="A659" s="6"/>
      <c r="B659" s="7"/>
      <c r="C659" s="6"/>
      <c r="D659" s="6"/>
      <c r="E659" s="6"/>
      <c r="F659" s="6"/>
      <c r="G659" s="12"/>
      <c r="H659" s="12"/>
      <c r="I659" s="9" t="str">
        <f t="shared" si="10"/>
        <v/>
      </c>
      <c r="J659" s="7"/>
      <c r="K659" s="6"/>
    </row>
    <row r="660" spans="1:11" x14ac:dyDescent="0.3">
      <c r="A660" s="6"/>
      <c r="B660" s="7"/>
      <c r="C660" s="6"/>
      <c r="D660" s="6"/>
      <c r="E660" s="6"/>
      <c r="F660" s="6"/>
      <c r="G660" s="12"/>
      <c r="H660" s="12"/>
      <c r="I660" s="9" t="str">
        <f t="shared" si="10"/>
        <v/>
      </c>
      <c r="J660" s="7"/>
      <c r="K660" s="6"/>
    </row>
    <row r="661" spans="1:11" x14ac:dyDescent="0.3">
      <c r="A661" s="6"/>
      <c r="B661" s="7"/>
      <c r="C661" s="6"/>
      <c r="D661" s="6"/>
      <c r="E661" s="6"/>
      <c r="F661" s="6"/>
      <c r="G661" s="12"/>
      <c r="H661" s="12"/>
      <c r="I661" s="9" t="str">
        <f t="shared" si="10"/>
        <v/>
      </c>
      <c r="J661" s="7"/>
      <c r="K661" s="6"/>
    </row>
    <row r="662" spans="1:11" x14ac:dyDescent="0.3">
      <c r="A662" s="6"/>
      <c r="B662" s="7"/>
      <c r="C662" s="6"/>
      <c r="D662" s="6"/>
      <c r="E662" s="6"/>
      <c r="F662" s="6"/>
      <c r="G662" s="12"/>
      <c r="H662" s="12"/>
      <c r="I662" s="9" t="str">
        <f t="shared" si="10"/>
        <v/>
      </c>
      <c r="J662" s="7"/>
      <c r="K662" s="6"/>
    </row>
    <row r="663" spans="1:11" x14ac:dyDescent="0.3">
      <c r="A663" s="6"/>
      <c r="B663" s="7"/>
      <c r="C663" s="6"/>
      <c r="D663" s="6"/>
      <c r="E663" s="6"/>
      <c r="F663" s="6"/>
      <c r="G663" s="12"/>
      <c r="H663" s="12"/>
      <c r="I663" s="9" t="str">
        <f t="shared" si="10"/>
        <v/>
      </c>
      <c r="J663" s="7"/>
      <c r="K663" s="6"/>
    </row>
    <row r="664" spans="1:11" x14ac:dyDescent="0.3">
      <c r="A664" s="6"/>
      <c r="B664" s="7"/>
      <c r="C664" s="6"/>
      <c r="D664" s="6"/>
      <c r="E664" s="6"/>
      <c r="F664" s="6"/>
      <c r="G664" s="12"/>
      <c r="H664" s="12"/>
      <c r="I664" s="9" t="str">
        <f t="shared" si="10"/>
        <v/>
      </c>
      <c r="J664" s="7"/>
      <c r="K664" s="6"/>
    </row>
    <row r="665" spans="1:11" x14ac:dyDescent="0.3">
      <c r="A665" s="6"/>
      <c r="B665" s="7"/>
      <c r="C665" s="6"/>
      <c r="D665" s="6"/>
      <c r="E665" s="6"/>
      <c r="F665" s="6"/>
      <c r="G665" s="12"/>
      <c r="H665" s="12"/>
      <c r="I665" s="9" t="str">
        <f t="shared" si="10"/>
        <v/>
      </c>
      <c r="J665" s="7"/>
      <c r="K665" s="6"/>
    </row>
    <row r="666" spans="1:11" x14ac:dyDescent="0.3">
      <c r="A666" s="6"/>
      <c r="B666" s="7"/>
      <c r="C666" s="6"/>
      <c r="D666" s="6"/>
      <c r="E666" s="6"/>
      <c r="F666" s="6"/>
      <c r="G666" s="12"/>
      <c r="H666" s="12"/>
      <c r="I666" s="9" t="str">
        <f t="shared" si="10"/>
        <v/>
      </c>
      <c r="J666" s="7"/>
      <c r="K666" s="6"/>
    </row>
    <row r="667" spans="1:11" x14ac:dyDescent="0.3">
      <c r="A667" s="6"/>
      <c r="B667" s="7"/>
      <c r="C667" s="6"/>
      <c r="D667" s="6"/>
      <c r="E667" s="6"/>
      <c r="F667" s="6"/>
      <c r="G667" s="12"/>
      <c r="H667" s="12"/>
      <c r="I667" s="9" t="str">
        <f t="shared" si="10"/>
        <v/>
      </c>
      <c r="J667" s="7"/>
      <c r="K667" s="6"/>
    </row>
    <row r="668" spans="1:11" x14ac:dyDescent="0.3">
      <c r="A668" s="6"/>
      <c r="B668" s="7"/>
      <c r="C668" s="6"/>
      <c r="D668" s="6"/>
      <c r="E668" s="6"/>
      <c r="F668" s="6"/>
      <c r="G668" s="12"/>
      <c r="H668" s="12"/>
      <c r="I668" s="9" t="str">
        <f t="shared" si="10"/>
        <v/>
      </c>
      <c r="J668" s="7"/>
      <c r="K668" s="6"/>
    </row>
    <row r="669" spans="1:11" x14ac:dyDescent="0.3">
      <c r="A669" s="6"/>
      <c r="B669" s="7"/>
      <c r="C669" s="6"/>
      <c r="D669" s="6"/>
      <c r="E669" s="6"/>
      <c r="F669" s="6"/>
      <c r="G669" s="12"/>
      <c r="H669" s="12"/>
      <c r="I669" s="9" t="str">
        <f t="shared" si="10"/>
        <v/>
      </c>
      <c r="J669" s="7"/>
      <c r="K669" s="6"/>
    </row>
    <row r="670" spans="1:11" x14ac:dyDescent="0.3">
      <c r="A670" s="6"/>
      <c r="B670" s="7"/>
      <c r="C670" s="6"/>
      <c r="D670" s="6"/>
      <c r="E670" s="6"/>
      <c r="F670" s="6"/>
      <c r="G670" s="12"/>
      <c r="H670" s="12"/>
      <c r="I670" s="9" t="str">
        <f t="shared" si="10"/>
        <v/>
      </c>
      <c r="J670" s="7"/>
      <c r="K670" s="6"/>
    </row>
    <row r="671" spans="1:11" x14ac:dyDescent="0.3">
      <c r="A671" s="6"/>
      <c r="B671" s="7"/>
      <c r="C671" s="6"/>
      <c r="D671" s="6"/>
      <c r="E671" s="6"/>
      <c r="F671" s="6"/>
      <c r="G671" s="12"/>
      <c r="H671" s="12"/>
      <c r="I671" s="9" t="str">
        <f t="shared" si="10"/>
        <v/>
      </c>
      <c r="J671" s="7"/>
      <c r="K671" s="6"/>
    </row>
    <row r="672" spans="1:11" x14ac:dyDescent="0.3">
      <c r="A672" s="6"/>
      <c r="B672" s="7"/>
      <c r="C672" s="6"/>
      <c r="D672" s="6"/>
      <c r="E672" s="6"/>
      <c r="F672" s="6"/>
      <c r="G672" s="12"/>
      <c r="H672" s="12"/>
      <c r="I672" s="9" t="str">
        <f t="shared" si="10"/>
        <v/>
      </c>
      <c r="J672" s="7"/>
      <c r="K672" s="6"/>
    </row>
    <row r="673" spans="1:11" x14ac:dyDescent="0.3">
      <c r="A673" s="6"/>
      <c r="B673" s="7"/>
      <c r="C673" s="6"/>
      <c r="D673" s="6"/>
      <c r="E673" s="6"/>
      <c r="F673" s="6"/>
      <c r="G673" s="12"/>
      <c r="H673" s="12"/>
      <c r="I673" s="9" t="str">
        <f t="shared" si="10"/>
        <v/>
      </c>
      <c r="J673" s="7"/>
      <c r="K673" s="6"/>
    </row>
    <row r="674" spans="1:11" x14ac:dyDescent="0.3">
      <c r="A674" s="6"/>
      <c r="B674" s="7"/>
      <c r="C674" s="6"/>
      <c r="D674" s="6"/>
      <c r="E674" s="6"/>
      <c r="F674" s="6"/>
      <c r="G674" s="12"/>
      <c r="H674" s="12"/>
      <c r="I674" s="9" t="str">
        <f t="shared" si="10"/>
        <v/>
      </c>
      <c r="J674" s="7"/>
      <c r="K674" s="6"/>
    </row>
    <row r="675" spans="1:11" x14ac:dyDescent="0.3">
      <c r="A675" s="6"/>
      <c r="B675" s="7"/>
      <c r="C675" s="6"/>
      <c r="D675" s="6"/>
      <c r="E675" s="6"/>
      <c r="F675" s="6"/>
      <c r="G675" s="12"/>
      <c r="H675" s="12"/>
      <c r="I675" s="9" t="str">
        <f t="shared" si="10"/>
        <v/>
      </c>
      <c r="J675" s="7"/>
      <c r="K675" s="6"/>
    </row>
    <row r="676" spans="1:11" x14ac:dyDescent="0.3">
      <c r="A676" s="6"/>
      <c r="B676" s="7"/>
      <c r="C676" s="6"/>
      <c r="D676" s="6"/>
      <c r="E676" s="6"/>
      <c r="F676" s="6"/>
      <c r="G676" s="12"/>
      <c r="H676" s="12"/>
      <c r="I676" s="9" t="str">
        <f t="shared" si="10"/>
        <v/>
      </c>
      <c r="J676" s="7"/>
      <c r="K676" s="6"/>
    </row>
    <row r="677" spans="1:11" x14ac:dyDescent="0.3">
      <c r="A677" s="6"/>
      <c r="B677" s="7"/>
      <c r="C677" s="6"/>
      <c r="D677" s="6"/>
      <c r="E677" s="6"/>
      <c r="F677" s="6"/>
      <c r="G677" s="12"/>
      <c r="H677" s="12"/>
      <c r="I677" s="9" t="str">
        <f t="shared" si="10"/>
        <v/>
      </c>
      <c r="J677" s="7"/>
      <c r="K677" s="6"/>
    </row>
    <row r="678" spans="1:11" x14ac:dyDescent="0.3">
      <c r="A678" s="6"/>
      <c r="B678" s="7"/>
      <c r="C678" s="6"/>
      <c r="D678" s="6"/>
      <c r="E678" s="6"/>
      <c r="F678" s="6"/>
      <c r="G678" s="12"/>
      <c r="H678" s="12"/>
      <c r="I678" s="9" t="str">
        <f t="shared" si="10"/>
        <v/>
      </c>
      <c r="J678" s="7"/>
      <c r="K678" s="6"/>
    </row>
    <row r="679" spans="1:11" x14ac:dyDescent="0.3">
      <c r="A679" s="6"/>
      <c r="B679" s="7"/>
      <c r="C679" s="6"/>
      <c r="D679" s="6"/>
      <c r="E679" s="6"/>
      <c r="F679" s="6"/>
      <c r="G679" s="12"/>
      <c r="H679" s="12"/>
      <c r="I679" s="9" t="str">
        <f t="shared" si="10"/>
        <v/>
      </c>
      <c r="J679" s="7"/>
      <c r="K679" s="6"/>
    </row>
    <row r="680" spans="1:11" x14ac:dyDescent="0.3">
      <c r="A680" s="6"/>
      <c r="B680" s="7"/>
      <c r="C680" s="6"/>
      <c r="D680" s="6"/>
      <c r="E680" s="6"/>
      <c r="F680" s="6"/>
      <c r="G680" s="12"/>
      <c r="H680" s="12"/>
      <c r="I680" s="9" t="str">
        <f t="shared" si="10"/>
        <v/>
      </c>
      <c r="J680" s="7"/>
      <c r="K680" s="6"/>
    </row>
    <row r="681" spans="1:11" x14ac:dyDescent="0.3">
      <c r="A681" s="6"/>
      <c r="B681" s="7"/>
      <c r="C681" s="6"/>
      <c r="D681" s="6"/>
      <c r="E681" s="6"/>
      <c r="F681" s="6"/>
      <c r="G681" s="12"/>
      <c r="H681" s="12"/>
      <c r="I681" s="9" t="str">
        <f t="shared" si="10"/>
        <v/>
      </c>
      <c r="J681" s="7"/>
      <c r="K681" s="6"/>
    </row>
    <row r="682" spans="1:11" x14ac:dyDescent="0.3">
      <c r="A682" s="6"/>
      <c r="B682" s="7"/>
      <c r="C682" s="6"/>
      <c r="D682" s="6"/>
      <c r="E682" s="6"/>
      <c r="F682" s="6"/>
      <c r="G682" s="12"/>
      <c r="H682" s="12"/>
      <c r="I682" s="9" t="str">
        <f t="shared" si="10"/>
        <v/>
      </c>
      <c r="J682" s="7"/>
      <c r="K682" s="6"/>
    </row>
    <row r="683" spans="1:11" x14ac:dyDescent="0.3">
      <c r="A683" s="6"/>
      <c r="B683" s="7"/>
      <c r="C683" s="6"/>
      <c r="D683" s="6"/>
      <c r="E683" s="6"/>
      <c r="F683" s="6"/>
      <c r="G683" s="12"/>
      <c r="H683" s="12"/>
      <c r="I683" s="9" t="str">
        <f t="shared" si="10"/>
        <v/>
      </c>
      <c r="J683" s="7"/>
      <c r="K683" s="6"/>
    </row>
    <row r="684" spans="1:11" x14ac:dyDescent="0.3">
      <c r="A684" s="6"/>
      <c r="B684" s="7"/>
      <c r="C684" s="6"/>
      <c r="D684" s="6"/>
      <c r="E684" s="6"/>
      <c r="F684" s="6"/>
      <c r="G684" s="12"/>
      <c r="H684" s="12"/>
      <c r="I684" s="9" t="str">
        <f t="shared" si="10"/>
        <v/>
      </c>
      <c r="J684" s="7"/>
      <c r="K684" s="6"/>
    </row>
    <row r="685" spans="1:11" x14ac:dyDescent="0.3">
      <c r="A685" s="6"/>
      <c r="B685" s="7"/>
      <c r="C685" s="6"/>
      <c r="D685" s="6"/>
      <c r="E685" s="6"/>
      <c r="F685" s="6"/>
      <c r="G685" s="12"/>
      <c r="H685" s="12"/>
      <c r="I685" s="9" t="str">
        <f t="shared" si="10"/>
        <v/>
      </c>
      <c r="J685" s="7"/>
      <c r="K685" s="6"/>
    </row>
    <row r="686" spans="1:11" x14ac:dyDescent="0.3">
      <c r="A686" s="6"/>
      <c r="B686" s="7"/>
      <c r="C686" s="6"/>
      <c r="D686" s="6"/>
      <c r="E686" s="6"/>
      <c r="F686" s="6"/>
      <c r="G686" s="12"/>
      <c r="H686" s="12"/>
      <c r="I686" s="9" t="str">
        <f t="shared" si="10"/>
        <v/>
      </c>
      <c r="J686" s="7"/>
      <c r="K686" s="6"/>
    </row>
    <row r="687" spans="1:11" x14ac:dyDescent="0.3">
      <c r="A687" s="6"/>
      <c r="B687" s="7"/>
      <c r="C687" s="6"/>
      <c r="D687" s="6"/>
      <c r="E687" s="6"/>
      <c r="F687" s="6"/>
      <c r="G687" s="12"/>
      <c r="H687" s="12"/>
      <c r="I687" s="9" t="str">
        <f t="shared" si="10"/>
        <v/>
      </c>
      <c r="J687" s="7"/>
      <c r="K687" s="6"/>
    </row>
    <row r="688" spans="1:11" x14ac:dyDescent="0.3">
      <c r="A688" s="6"/>
      <c r="B688" s="7"/>
      <c r="C688" s="6"/>
      <c r="D688" s="6"/>
      <c r="E688" s="6"/>
      <c r="F688" s="6"/>
      <c r="G688" s="12"/>
      <c r="H688" s="12"/>
      <c r="I688" s="9" t="str">
        <f t="shared" si="10"/>
        <v/>
      </c>
      <c r="J688" s="7"/>
      <c r="K688" s="6"/>
    </row>
    <row r="689" spans="1:11" x14ac:dyDescent="0.3">
      <c r="A689" s="6"/>
      <c r="B689" s="7"/>
      <c r="C689" s="6"/>
      <c r="D689" s="6"/>
      <c r="E689" s="6"/>
      <c r="F689" s="6"/>
      <c r="G689" s="12"/>
      <c r="H689" s="12"/>
      <c r="I689" s="9" t="str">
        <f t="shared" si="10"/>
        <v/>
      </c>
      <c r="J689" s="7"/>
      <c r="K689" s="6"/>
    </row>
    <row r="690" spans="1:11" x14ac:dyDescent="0.3">
      <c r="A690" s="6"/>
      <c r="B690" s="7"/>
      <c r="C690" s="6"/>
      <c r="D690" s="6"/>
      <c r="E690" s="6"/>
      <c r="F690" s="6"/>
      <c r="G690" s="12"/>
      <c r="H690" s="12"/>
      <c r="I690" s="9" t="str">
        <f t="shared" si="10"/>
        <v/>
      </c>
      <c r="J690" s="7"/>
      <c r="K690" s="6"/>
    </row>
    <row r="691" spans="1:11" x14ac:dyDescent="0.3">
      <c r="A691" s="6"/>
      <c r="B691" s="7"/>
      <c r="C691" s="6"/>
      <c r="D691" s="6"/>
      <c r="E691" s="6"/>
      <c r="F691" s="6"/>
      <c r="G691" s="12"/>
      <c r="H691" s="12"/>
      <c r="I691" s="9" t="str">
        <f t="shared" si="10"/>
        <v/>
      </c>
      <c r="J691" s="7"/>
      <c r="K691" s="6"/>
    </row>
    <row r="692" spans="1:11" x14ac:dyDescent="0.3">
      <c r="A692" s="6"/>
      <c r="B692" s="7"/>
      <c r="C692" s="6"/>
      <c r="D692" s="6"/>
      <c r="E692" s="6"/>
      <c r="F692" s="6"/>
      <c r="G692" s="12"/>
      <c r="H692" s="12"/>
      <c r="I692" s="9" t="str">
        <f t="shared" si="10"/>
        <v/>
      </c>
      <c r="J692" s="7"/>
      <c r="K692" s="6"/>
    </row>
    <row r="693" spans="1:11" x14ac:dyDescent="0.3">
      <c r="A693" s="6"/>
      <c r="B693" s="7"/>
      <c r="C693" s="6"/>
      <c r="D693" s="6"/>
      <c r="E693" s="6"/>
      <c r="F693" s="6"/>
      <c r="G693" s="12"/>
      <c r="H693" s="12"/>
      <c r="I693" s="9" t="str">
        <f t="shared" ref="I693:I756" si="11">IF(AND(G693&lt;&gt;"",H693&lt;&gt;""),MOD(H693-G693,1)*24,"")</f>
        <v/>
      </c>
      <c r="J693" s="7"/>
      <c r="K693" s="6"/>
    </row>
    <row r="694" spans="1:11" x14ac:dyDescent="0.3">
      <c r="A694" s="6"/>
      <c r="B694" s="7"/>
      <c r="C694" s="6"/>
      <c r="D694" s="6"/>
      <c r="E694" s="6"/>
      <c r="F694" s="6"/>
      <c r="G694" s="12"/>
      <c r="H694" s="12"/>
      <c r="I694" s="9" t="str">
        <f t="shared" si="11"/>
        <v/>
      </c>
      <c r="J694" s="7"/>
      <c r="K694" s="6"/>
    </row>
    <row r="695" spans="1:11" x14ac:dyDescent="0.3">
      <c r="A695" s="6"/>
      <c r="B695" s="7"/>
      <c r="C695" s="6"/>
      <c r="D695" s="6"/>
      <c r="E695" s="6"/>
      <c r="F695" s="6"/>
      <c r="G695" s="12"/>
      <c r="H695" s="12"/>
      <c r="I695" s="9" t="str">
        <f t="shared" si="11"/>
        <v/>
      </c>
      <c r="J695" s="7"/>
      <c r="K695" s="6"/>
    </row>
    <row r="696" spans="1:11" x14ac:dyDescent="0.3">
      <c r="A696" s="6"/>
      <c r="B696" s="7"/>
      <c r="C696" s="6"/>
      <c r="D696" s="6"/>
      <c r="E696" s="6"/>
      <c r="F696" s="6"/>
      <c r="G696" s="12"/>
      <c r="H696" s="12"/>
      <c r="I696" s="9" t="str">
        <f t="shared" si="11"/>
        <v/>
      </c>
      <c r="J696" s="7"/>
      <c r="K696" s="6"/>
    </row>
    <row r="697" spans="1:11" x14ac:dyDescent="0.3">
      <c r="A697" s="6"/>
      <c r="B697" s="7"/>
      <c r="C697" s="6"/>
      <c r="D697" s="6"/>
      <c r="E697" s="6"/>
      <c r="F697" s="6"/>
      <c r="G697" s="12"/>
      <c r="H697" s="12"/>
      <c r="I697" s="9" t="str">
        <f t="shared" si="11"/>
        <v/>
      </c>
      <c r="J697" s="7"/>
      <c r="K697" s="6"/>
    </row>
    <row r="698" spans="1:11" x14ac:dyDescent="0.3">
      <c r="A698" s="6"/>
      <c r="B698" s="7"/>
      <c r="C698" s="6"/>
      <c r="D698" s="6"/>
      <c r="E698" s="6"/>
      <c r="F698" s="6"/>
      <c r="G698" s="12"/>
      <c r="H698" s="12"/>
      <c r="I698" s="9" t="str">
        <f t="shared" si="11"/>
        <v/>
      </c>
      <c r="J698" s="7"/>
      <c r="K698" s="6"/>
    </row>
    <row r="699" spans="1:11" x14ac:dyDescent="0.3">
      <c r="A699" s="6"/>
      <c r="B699" s="7"/>
      <c r="C699" s="6"/>
      <c r="D699" s="6"/>
      <c r="E699" s="6"/>
      <c r="F699" s="6"/>
      <c r="G699" s="12"/>
      <c r="H699" s="12"/>
      <c r="I699" s="9" t="str">
        <f t="shared" si="11"/>
        <v/>
      </c>
      <c r="J699" s="7"/>
      <c r="K699" s="6"/>
    </row>
    <row r="700" spans="1:11" x14ac:dyDescent="0.3">
      <c r="A700" s="6"/>
      <c r="B700" s="7"/>
      <c r="C700" s="6"/>
      <c r="D700" s="6"/>
      <c r="E700" s="6"/>
      <c r="F700" s="6"/>
      <c r="G700" s="12"/>
      <c r="H700" s="12"/>
      <c r="I700" s="9" t="str">
        <f t="shared" si="11"/>
        <v/>
      </c>
      <c r="J700" s="7"/>
      <c r="K700" s="6"/>
    </row>
    <row r="701" spans="1:11" x14ac:dyDescent="0.3">
      <c r="A701" s="6"/>
      <c r="B701" s="7"/>
      <c r="C701" s="6"/>
      <c r="D701" s="6"/>
      <c r="E701" s="6"/>
      <c r="F701" s="6"/>
      <c r="G701" s="12"/>
      <c r="H701" s="12"/>
      <c r="I701" s="9" t="str">
        <f t="shared" si="11"/>
        <v/>
      </c>
      <c r="J701" s="7"/>
      <c r="K701" s="6"/>
    </row>
    <row r="702" spans="1:11" x14ac:dyDescent="0.3">
      <c r="A702" s="6"/>
      <c r="B702" s="7"/>
      <c r="C702" s="6"/>
      <c r="D702" s="6"/>
      <c r="E702" s="6"/>
      <c r="F702" s="6"/>
      <c r="G702" s="12"/>
      <c r="H702" s="12"/>
      <c r="I702" s="9" t="str">
        <f t="shared" si="11"/>
        <v/>
      </c>
      <c r="J702" s="7"/>
      <c r="K702" s="6"/>
    </row>
    <row r="703" spans="1:11" x14ac:dyDescent="0.3">
      <c r="A703" s="6"/>
      <c r="B703" s="7"/>
      <c r="C703" s="6"/>
      <c r="D703" s="6"/>
      <c r="E703" s="6"/>
      <c r="F703" s="6"/>
      <c r="G703" s="12"/>
      <c r="H703" s="12"/>
      <c r="I703" s="9" t="str">
        <f t="shared" si="11"/>
        <v/>
      </c>
      <c r="J703" s="7"/>
      <c r="K703" s="6"/>
    </row>
    <row r="704" spans="1:11" x14ac:dyDescent="0.3">
      <c r="A704" s="6"/>
      <c r="B704" s="7"/>
      <c r="C704" s="6"/>
      <c r="D704" s="6"/>
      <c r="E704" s="6"/>
      <c r="F704" s="6"/>
      <c r="G704" s="12"/>
      <c r="H704" s="12"/>
      <c r="I704" s="9" t="str">
        <f t="shared" si="11"/>
        <v/>
      </c>
      <c r="J704" s="7"/>
      <c r="K704" s="6"/>
    </row>
    <row r="705" spans="1:11" x14ac:dyDescent="0.3">
      <c r="A705" s="6"/>
      <c r="B705" s="7"/>
      <c r="C705" s="6"/>
      <c r="D705" s="6"/>
      <c r="E705" s="6"/>
      <c r="F705" s="6"/>
      <c r="G705" s="12"/>
      <c r="H705" s="12"/>
      <c r="I705" s="9" t="str">
        <f t="shared" si="11"/>
        <v/>
      </c>
      <c r="J705" s="7"/>
      <c r="K705" s="6"/>
    </row>
    <row r="706" spans="1:11" x14ac:dyDescent="0.3">
      <c r="A706" s="6"/>
      <c r="B706" s="7"/>
      <c r="C706" s="6"/>
      <c r="D706" s="6"/>
      <c r="E706" s="6"/>
      <c r="F706" s="6"/>
      <c r="G706" s="12"/>
      <c r="H706" s="12"/>
      <c r="I706" s="9" t="str">
        <f t="shared" si="11"/>
        <v/>
      </c>
      <c r="J706" s="7"/>
      <c r="K706" s="6"/>
    </row>
    <row r="707" spans="1:11" x14ac:dyDescent="0.3">
      <c r="A707" s="6"/>
      <c r="B707" s="7"/>
      <c r="C707" s="6"/>
      <c r="D707" s="6"/>
      <c r="E707" s="6"/>
      <c r="F707" s="6"/>
      <c r="G707" s="12"/>
      <c r="H707" s="12"/>
      <c r="I707" s="9" t="str">
        <f t="shared" si="11"/>
        <v/>
      </c>
      <c r="J707" s="7"/>
      <c r="K707" s="6"/>
    </row>
    <row r="708" spans="1:11" x14ac:dyDescent="0.3">
      <c r="A708" s="6"/>
      <c r="B708" s="7"/>
      <c r="C708" s="6"/>
      <c r="D708" s="6"/>
      <c r="E708" s="6"/>
      <c r="F708" s="6"/>
      <c r="G708" s="12"/>
      <c r="H708" s="12"/>
      <c r="I708" s="9" t="str">
        <f t="shared" si="11"/>
        <v/>
      </c>
      <c r="J708" s="7"/>
      <c r="K708" s="6"/>
    </row>
    <row r="709" spans="1:11" x14ac:dyDescent="0.3">
      <c r="A709" s="6"/>
      <c r="B709" s="7"/>
      <c r="C709" s="6"/>
      <c r="D709" s="6"/>
      <c r="E709" s="6"/>
      <c r="F709" s="6"/>
      <c r="G709" s="12"/>
      <c r="H709" s="12"/>
      <c r="I709" s="9" t="str">
        <f t="shared" si="11"/>
        <v/>
      </c>
      <c r="J709" s="7"/>
      <c r="K709" s="6"/>
    </row>
    <row r="710" spans="1:11" x14ac:dyDescent="0.3">
      <c r="A710" s="6"/>
      <c r="B710" s="7"/>
      <c r="C710" s="6"/>
      <c r="D710" s="6"/>
      <c r="E710" s="6"/>
      <c r="F710" s="6"/>
      <c r="G710" s="12"/>
      <c r="H710" s="12"/>
      <c r="I710" s="9" t="str">
        <f t="shared" si="11"/>
        <v/>
      </c>
      <c r="J710" s="7"/>
      <c r="K710" s="6"/>
    </row>
    <row r="711" spans="1:11" x14ac:dyDescent="0.3">
      <c r="A711" s="6"/>
      <c r="B711" s="7"/>
      <c r="C711" s="6"/>
      <c r="D711" s="6"/>
      <c r="E711" s="6"/>
      <c r="F711" s="6"/>
      <c r="G711" s="12"/>
      <c r="H711" s="12"/>
      <c r="I711" s="9" t="str">
        <f t="shared" si="11"/>
        <v/>
      </c>
      <c r="J711" s="7"/>
      <c r="K711" s="6"/>
    </row>
    <row r="712" spans="1:11" x14ac:dyDescent="0.3">
      <c r="A712" s="6"/>
      <c r="B712" s="7"/>
      <c r="C712" s="6"/>
      <c r="D712" s="6"/>
      <c r="E712" s="6"/>
      <c r="F712" s="6"/>
      <c r="G712" s="12"/>
      <c r="H712" s="12"/>
      <c r="I712" s="9" t="str">
        <f t="shared" si="11"/>
        <v/>
      </c>
      <c r="J712" s="7"/>
      <c r="K712" s="6"/>
    </row>
    <row r="713" spans="1:11" x14ac:dyDescent="0.3">
      <c r="A713" s="6"/>
      <c r="B713" s="7"/>
      <c r="C713" s="6"/>
      <c r="D713" s="6"/>
      <c r="E713" s="6"/>
      <c r="F713" s="6"/>
      <c r="G713" s="12"/>
      <c r="H713" s="12"/>
      <c r="I713" s="9" t="str">
        <f t="shared" si="11"/>
        <v/>
      </c>
      <c r="J713" s="7"/>
      <c r="K713" s="6"/>
    </row>
    <row r="714" spans="1:11" x14ac:dyDescent="0.3">
      <c r="A714" s="6"/>
      <c r="B714" s="7"/>
      <c r="C714" s="6"/>
      <c r="D714" s="6"/>
      <c r="E714" s="6"/>
      <c r="F714" s="6"/>
      <c r="G714" s="12"/>
      <c r="H714" s="12"/>
      <c r="I714" s="9" t="str">
        <f t="shared" si="11"/>
        <v/>
      </c>
      <c r="J714" s="7"/>
      <c r="K714" s="6"/>
    </row>
    <row r="715" spans="1:11" x14ac:dyDescent="0.3">
      <c r="A715" s="6"/>
      <c r="B715" s="7"/>
      <c r="C715" s="6"/>
      <c r="D715" s="6"/>
      <c r="E715" s="6"/>
      <c r="F715" s="6"/>
      <c r="G715" s="12"/>
      <c r="H715" s="12"/>
      <c r="I715" s="9" t="str">
        <f t="shared" si="11"/>
        <v/>
      </c>
      <c r="J715" s="7"/>
      <c r="K715" s="6"/>
    </row>
    <row r="716" spans="1:11" x14ac:dyDescent="0.3">
      <c r="A716" s="6"/>
      <c r="B716" s="7"/>
      <c r="C716" s="6"/>
      <c r="D716" s="6"/>
      <c r="E716" s="6"/>
      <c r="F716" s="6"/>
      <c r="G716" s="12"/>
      <c r="H716" s="12"/>
      <c r="I716" s="9" t="str">
        <f t="shared" si="11"/>
        <v/>
      </c>
      <c r="J716" s="7"/>
      <c r="K716" s="6"/>
    </row>
    <row r="717" spans="1:11" x14ac:dyDescent="0.3">
      <c r="A717" s="6"/>
      <c r="B717" s="7"/>
      <c r="C717" s="6"/>
      <c r="D717" s="6"/>
      <c r="E717" s="6"/>
      <c r="F717" s="6"/>
      <c r="G717" s="12"/>
      <c r="H717" s="12"/>
      <c r="I717" s="9" t="str">
        <f t="shared" si="11"/>
        <v/>
      </c>
      <c r="J717" s="7"/>
      <c r="K717" s="6"/>
    </row>
    <row r="718" spans="1:11" x14ac:dyDescent="0.3">
      <c r="A718" s="6"/>
      <c r="B718" s="7"/>
      <c r="C718" s="6"/>
      <c r="D718" s="6"/>
      <c r="E718" s="6"/>
      <c r="F718" s="6"/>
      <c r="G718" s="12"/>
      <c r="H718" s="12"/>
      <c r="I718" s="9" t="str">
        <f t="shared" si="11"/>
        <v/>
      </c>
      <c r="J718" s="7"/>
      <c r="K718" s="6"/>
    </row>
    <row r="719" spans="1:11" x14ac:dyDescent="0.3">
      <c r="A719" s="6"/>
      <c r="B719" s="7"/>
      <c r="C719" s="6"/>
      <c r="D719" s="6"/>
      <c r="E719" s="6"/>
      <c r="F719" s="6"/>
      <c r="G719" s="12"/>
      <c r="H719" s="12"/>
      <c r="I719" s="9" t="str">
        <f t="shared" si="11"/>
        <v/>
      </c>
      <c r="J719" s="7"/>
      <c r="K719" s="6"/>
    </row>
    <row r="720" spans="1:11" x14ac:dyDescent="0.3">
      <c r="A720" s="6"/>
      <c r="B720" s="7"/>
      <c r="C720" s="6"/>
      <c r="D720" s="6"/>
      <c r="E720" s="6"/>
      <c r="F720" s="6"/>
      <c r="G720" s="12"/>
      <c r="H720" s="12"/>
      <c r="I720" s="9" t="str">
        <f t="shared" si="11"/>
        <v/>
      </c>
      <c r="J720" s="7"/>
      <c r="K720" s="6"/>
    </row>
    <row r="721" spans="1:11" x14ac:dyDescent="0.3">
      <c r="A721" s="6"/>
      <c r="B721" s="7"/>
      <c r="C721" s="6"/>
      <c r="D721" s="6"/>
      <c r="E721" s="6"/>
      <c r="F721" s="6"/>
      <c r="G721" s="12"/>
      <c r="H721" s="12"/>
      <c r="I721" s="9" t="str">
        <f t="shared" si="11"/>
        <v/>
      </c>
      <c r="J721" s="7"/>
      <c r="K721" s="6"/>
    </row>
    <row r="722" spans="1:11" x14ac:dyDescent="0.3">
      <c r="A722" s="6"/>
      <c r="B722" s="7"/>
      <c r="C722" s="6"/>
      <c r="D722" s="6"/>
      <c r="E722" s="6"/>
      <c r="F722" s="6"/>
      <c r="G722" s="12"/>
      <c r="H722" s="12"/>
      <c r="I722" s="9" t="str">
        <f t="shared" si="11"/>
        <v/>
      </c>
      <c r="J722" s="7"/>
      <c r="K722" s="6"/>
    </row>
    <row r="723" spans="1:11" x14ac:dyDescent="0.3">
      <c r="A723" s="6"/>
      <c r="B723" s="7"/>
      <c r="C723" s="6"/>
      <c r="D723" s="6"/>
      <c r="E723" s="6"/>
      <c r="F723" s="6"/>
      <c r="G723" s="12"/>
      <c r="H723" s="12"/>
      <c r="I723" s="9" t="str">
        <f t="shared" si="11"/>
        <v/>
      </c>
      <c r="J723" s="7"/>
      <c r="K723" s="6"/>
    </row>
    <row r="724" spans="1:11" x14ac:dyDescent="0.3">
      <c r="A724" s="6"/>
      <c r="B724" s="7"/>
      <c r="C724" s="6"/>
      <c r="D724" s="6"/>
      <c r="E724" s="6"/>
      <c r="F724" s="6"/>
      <c r="G724" s="12"/>
      <c r="H724" s="12"/>
      <c r="I724" s="9" t="str">
        <f t="shared" si="11"/>
        <v/>
      </c>
      <c r="J724" s="7"/>
      <c r="K724" s="6"/>
    </row>
    <row r="725" spans="1:11" x14ac:dyDescent="0.3">
      <c r="A725" s="6"/>
      <c r="B725" s="7"/>
      <c r="C725" s="6"/>
      <c r="D725" s="6"/>
      <c r="E725" s="6"/>
      <c r="F725" s="6"/>
      <c r="G725" s="12"/>
      <c r="H725" s="12"/>
      <c r="I725" s="9" t="str">
        <f t="shared" si="11"/>
        <v/>
      </c>
      <c r="J725" s="7"/>
      <c r="K725" s="6"/>
    </row>
    <row r="726" spans="1:11" x14ac:dyDescent="0.3">
      <c r="A726" s="6"/>
      <c r="B726" s="7"/>
      <c r="C726" s="6"/>
      <c r="D726" s="6"/>
      <c r="E726" s="6"/>
      <c r="F726" s="6"/>
      <c r="G726" s="12"/>
      <c r="H726" s="12"/>
      <c r="I726" s="9" t="str">
        <f t="shared" si="11"/>
        <v/>
      </c>
      <c r="J726" s="7"/>
      <c r="K726" s="6"/>
    </row>
    <row r="727" spans="1:11" x14ac:dyDescent="0.3">
      <c r="A727" s="6"/>
      <c r="B727" s="7"/>
      <c r="C727" s="6"/>
      <c r="D727" s="6"/>
      <c r="E727" s="6"/>
      <c r="F727" s="6"/>
      <c r="G727" s="12"/>
      <c r="H727" s="12"/>
      <c r="I727" s="9" t="str">
        <f t="shared" si="11"/>
        <v/>
      </c>
      <c r="J727" s="7"/>
      <c r="K727" s="6"/>
    </row>
    <row r="728" spans="1:11" x14ac:dyDescent="0.3">
      <c r="A728" s="6"/>
      <c r="B728" s="7"/>
      <c r="C728" s="6"/>
      <c r="D728" s="6"/>
      <c r="E728" s="6"/>
      <c r="F728" s="6"/>
      <c r="G728" s="12"/>
      <c r="H728" s="12"/>
      <c r="I728" s="9" t="str">
        <f t="shared" si="11"/>
        <v/>
      </c>
      <c r="J728" s="7"/>
      <c r="K728" s="6"/>
    </row>
    <row r="729" spans="1:11" x14ac:dyDescent="0.3">
      <c r="A729" s="6"/>
      <c r="B729" s="7"/>
      <c r="C729" s="6"/>
      <c r="D729" s="6"/>
      <c r="E729" s="6"/>
      <c r="F729" s="6"/>
      <c r="G729" s="12"/>
      <c r="H729" s="12"/>
      <c r="I729" s="9" t="str">
        <f t="shared" si="11"/>
        <v/>
      </c>
      <c r="J729" s="7"/>
      <c r="K729" s="6"/>
    </row>
    <row r="730" spans="1:11" x14ac:dyDescent="0.3">
      <c r="A730" s="6"/>
      <c r="B730" s="7"/>
      <c r="C730" s="6"/>
      <c r="D730" s="6"/>
      <c r="E730" s="6"/>
      <c r="F730" s="6"/>
      <c r="G730" s="12"/>
      <c r="H730" s="12"/>
      <c r="I730" s="9" t="str">
        <f t="shared" si="11"/>
        <v/>
      </c>
      <c r="J730" s="7"/>
      <c r="K730" s="6"/>
    </row>
    <row r="731" spans="1:11" x14ac:dyDescent="0.3">
      <c r="A731" s="6"/>
      <c r="B731" s="7"/>
      <c r="C731" s="6"/>
      <c r="D731" s="6"/>
      <c r="E731" s="6"/>
      <c r="F731" s="6"/>
      <c r="G731" s="12"/>
      <c r="H731" s="12"/>
      <c r="I731" s="9" t="str">
        <f t="shared" si="11"/>
        <v/>
      </c>
      <c r="J731" s="7"/>
      <c r="K731" s="6"/>
    </row>
    <row r="732" spans="1:11" x14ac:dyDescent="0.3">
      <c r="A732" s="6"/>
      <c r="B732" s="7"/>
      <c r="C732" s="6"/>
      <c r="D732" s="6"/>
      <c r="E732" s="6"/>
      <c r="F732" s="6"/>
      <c r="G732" s="12"/>
      <c r="H732" s="12"/>
      <c r="I732" s="9" t="str">
        <f t="shared" si="11"/>
        <v/>
      </c>
      <c r="J732" s="7"/>
      <c r="K732" s="6"/>
    </row>
    <row r="733" spans="1:11" x14ac:dyDescent="0.3">
      <c r="A733" s="6"/>
      <c r="B733" s="7"/>
      <c r="C733" s="6"/>
      <c r="D733" s="6"/>
      <c r="E733" s="6"/>
      <c r="F733" s="6"/>
      <c r="G733" s="12"/>
      <c r="H733" s="12"/>
      <c r="I733" s="9" t="str">
        <f t="shared" si="11"/>
        <v/>
      </c>
      <c r="J733" s="7"/>
      <c r="K733" s="6"/>
    </row>
    <row r="734" spans="1:11" x14ac:dyDescent="0.3">
      <c r="A734" s="6"/>
      <c r="B734" s="7"/>
      <c r="C734" s="6"/>
      <c r="D734" s="6"/>
      <c r="E734" s="6"/>
      <c r="F734" s="6"/>
      <c r="G734" s="12"/>
      <c r="H734" s="12"/>
      <c r="I734" s="9" t="str">
        <f t="shared" si="11"/>
        <v/>
      </c>
      <c r="J734" s="7"/>
      <c r="K734" s="6"/>
    </row>
    <row r="735" spans="1:11" x14ac:dyDescent="0.3">
      <c r="A735" s="6"/>
      <c r="B735" s="7"/>
      <c r="C735" s="6"/>
      <c r="D735" s="6"/>
      <c r="E735" s="6"/>
      <c r="F735" s="6"/>
      <c r="G735" s="12"/>
      <c r="H735" s="12"/>
      <c r="I735" s="9" t="str">
        <f t="shared" si="11"/>
        <v/>
      </c>
      <c r="J735" s="7"/>
      <c r="K735" s="6"/>
    </row>
    <row r="736" spans="1:11" x14ac:dyDescent="0.3">
      <c r="A736" s="6"/>
      <c r="B736" s="7"/>
      <c r="C736" s="6"/>
      <c r="D736" s="6"/>
      <c r="E736" s="6"/>
      <c r="F736" s="6"/>
      <c r="G736" s="12"/>
      <c r="H736" s="12"/>
      <c r="I736" s="9" t="str">
        <f t="shared" si="11"/>
        <v/>
      </c>
      <c r="J736" s="7"/>
      <c r="K736" s="6"/>
    </row>
    <row r="737" spans="1:11" x14ac:dyDescent="0.3">
      <c r="A737" s="6"/>
      <c r="B737" s="7"/>
      <c r="C737" s="6"/>
      <c r="D737" s="6"/>
      <c r="E737" s="6"/>
      <c r="F737" s="6"/>
      <c r="G737" s="12"/>
      <c r="H737" s="12"/>
      <c r="I737" s="9" t="str">
        <f t="shared" si="11"/>
        <v/>
      </c>
      <c r="J737" s="7"/>
      <c r="K737" s="6"/>
    </row>
    <row r="738" spans="1:11" x14ac:dyDescent="0.3">
      <c r="A738" s="6"/>
      <c r="B738" s="7"/>
      <c r="C738" s="6"/>
      <c r="D738" s="6"/>
      <c r="E738" s="6"/>
      <c r="F738" s="6"/>
      <c r="G738" s="12"/>
      <c r="H738" s="12"/>
      <c r="I738" s="9" t="str">
        <f t="shared" si="11"/>
        <v/>
      </c>
      <c r="J738" s="7"/>
      <c r="K738" s="6"/>
    </row>
    <row r="739" spans="1:11" x14ac:dyDescent="0.3">
      <c r="A739" s="6"/>
      <c r="B739" s="7"/>
      <c r="C739" s="6"/>
      <c r="D739" s="6"/>
      <c r="E739" s="6"/>
      <c r="F739" s="6"/>
      <c r="G739" s="12"/>
      <c r="H739" s="12"/>
      <c r="I739" s="9" t="str">
        <f t="shared" si="11"/>
        <v/>
      </c>
      <c r="J739" s="7"/>
      <c r="K739" s="6"/>
    </row>
    <row r="740" spans="1:11" x14ac:dyDescent="0.3">
      <c r="A740" s="6"/>
      <c r="B740" s="7"/>
      <c r="C740" s="6"/>
      <c r="D740" s="6"/>
      <c r="E740" s="6"/>
      <c r="F740" s="6"/>
      <c r="G740" s="12"/>
      <c r="H740" s="12"/>
      <c r="I740" s="9" t="str">
        <f t="shared" si="11"/>
        <v/>
      </c>
      <c r="J740" s="7"/>
      <c r="K740" s="6"/>
    </row>
    <row r="741" spans="1:11" x14ac:dyDescent="0.3">
      <c r="A741" s="6"/>
      <c r="B741" s="7"/>
      <c r="C741" s="6"/>
      <c r="D741" s="6"/>
      <c r="E741" s="6"/>
      <c r="F741" s="6"/>
      <c r="G741" s="12"/>
      <c r="H741" s="12"/>
      <c r="I741" s="9" t="str">
        <f t="shared" si="11"/>
        <v/>
      </c>
      <c r="J741" s="7"/>
      <c r="K741" s="6"/>
    </row>
    <row r="742" spans="1:11" x14ac:dyDescent="0.3">
      <c r="A742" s="6"/>
      <c r="B742" s="7"/>
      <c r="C742" s="6"/>
      <c r="D742" s="6"/>
      <c r="E742" s="6"/>
      <c r="F742" s="6"/>
      <c r="G742" s="12"/>
      <c r="H742" s="12"/>
      <c r="I742" s="9" t="str">
        <f t="shared" si="11"/>
        <v/>
      </c>
      <c r="J742" s="7"/>
      <c r="K742" s="6"/>
    </row>
    <row r="743" spans="1:11" x14ac:dyDescent="0.3">
      <c r="A743" s="6"/>
      <c r="B743" s="7"/>
      <c r="C743" s="6"/>
      <c r="D743" s="6"/>
      <c r="E743" s="6"/>
      <c r="F743" s="6"/>
      <c r="G743" s="12"/>
      <c r="H743" s="12"/>
      <c r="I743" s="9" t="str">
        <f t="shared" si="11"/>
        <v/>
      </c>
      <c r="J743" s="7"/>
      <c r="K743" s="6"/>
    </row>
    <row r="744" spans="1:11" x14ac:dyDescent="0.3">
      <c r="A744" s="6"/>
      <c r="B744" s="7"/>
      <c r="C744" s="6"/>
      <c r="D744" s="6"/>
      <c r="E744" s="6"/>
      <c r="F744" s="6"/>
      <c r="G744" s="12"/>
      <c r="H744" s="12"/>
      <c r="I744" s="9" t="str">
        <f t="shared" si="11"/>
        <v/>
      </c>
      <c r="J744" s="7"/>
      <c r="K744" s="6"/>
    </row>
    <row r="745" spans="1:11" x14ac:dyDescent="0.3">
      <c r="A745" s="6"/>
      <c r="B745" s="7"/>
      <c r="C745" s="6"/>
      <c r="D745" s="6"/>
      <c r="E745" s="6"/>
      <c r="F745" s="6"/>
      <c r="G745" s="12"/>
      <c r="H745" s="12"/>
      <c r="I745" s="9" t="str">
        <f t="shared" si="11"/>
        <v/>
      </c>
      <c r="J745" s="7"/>
      <c r="K745" s="6"/>
    </row>
    <row r="746" spans="1:11" x14ac:dyDescent="0.3">
      <c r="A746" s="6"/>
      <c r="B746" s="7"/>
      <c r="C746" s="6"/>
      <c r="D746" s="6"/>
      <c r="E746" s="6"/>
      <c r="F746" s="6"/>
      <c r="G746" s="12"/>
      <c r="H746" s="12"/>
      <c r="I746" s="9" t="str">
        <f t="shared" si="11"/>
        <v/>
      </c>
      <c r="J746" s="7"/>
      <c r="K746" s="6"/>
    </row>
    <row r="747" spans="1:11" x14ac:dyDescent="0.3">
      <c r="A747" s="6"/>
      <c r="B747" s="7"/>
      <c r="C747" s="6"/>
      <c r="D747" s="6"/>
      <c r="E747" s="6"/>
      <c r="F747" s="6"/>
      <c r="G747" s="12"/>
      <c r="H747" s="12"/>
      <c r="I747" s="9" t="str">
        <f t="shared" si="11"/>
        <v/>
      </c>
      <c r="J747" s="7"/>
      <c r="K747" s="6"/>
    </row>
    <row r="748" spans="1:11" x14ac:dyDescent="0.3">
      <c r="A748" s="6"/>
      <c r="B748" s="7"/>
      <c r="C748" s="6"/>
      <c r="D748" s="6"/>
      <c r="E748" s="6"/>
      <c r="F748" s="6"/>
      <c r="G748" s="12"/>
      <c r="H748" s="12"/>
      <c r="I748" s="9" t="str">
        <f t="shared" si="11"/>
        <v/>
      </c>
      <c r="J748" s="7"/>
      <c r="K748" s="6"/>
    </row>
    <row r="749" spans="1:11" x14ac:dyDescent="0.3">
      <c r="A749" s="6"/>
      <c r="B749" s="7"/>
      <c r="C749" s="6"/>
      <c r="D749" s="6"/>
      <c r="E749" s="6"/>
      <c r="F749" s="6"/>
      <c r="G749" s="12"/>
      <c r="H749" s="12"/>
      <c r="I749" s="9" t="str">
        <f t="shared" si="11"/>
        <v/>
      </c>
      <c r="J749" s="7"/>
      <c r="K749" s="6"/>
    </row>
    <row r="750" spans="1:11" x14ac:dyDescent="0.3">
      <c r="A750" s="6"/>
      <c r="B750" s="7"/>
      <c r="C750" s="6"/>
      <c r="D750" s="6"/>
      <c r="E750" s="6"/>
      <c r="F750" s="6"/>
      <c r="G750" s="12"/>
      <c r="H750" s="12"/>
      <c r="I750" s="9" t="str">
        <f t="shared" si="11"/>
        <v/>
      </c>
      <c r="J750" s="7"/>
      <c r="K750" s="6"/>
    </row>
    <row r="751" spans="1:11" x14ac:dyDescent="0.3">
      <c r="A751" s="6"/>
      <c r="B751" s="7"/>
      <c r="C751" s="6"/>
      <c r="D751" s="6"/>
      <c r="E751" s="6"/>
      <c r="F751" s="6"/>
      <c r="G751" s="12"/>
      <c r="H751" s="12"/>
      <c r="I751" s="9" t="str">
        <f t="shared" si="11"/>
        <v/>
      </c>
      <c r="J751" s="7"/>
      <c r="K751" s="6"/>
    </row>
    <row r="752" spans="1:11" x14ac:dyDescent="0.3">
      <c r="A752" s="6"/>
      <c r="B752" s="7"/>
      <c r="C752" s="6"/>
      <c r="D752" s="6"/>
      <c r="E752" s="6"/>
      <c r="F752" s="6"/>
      <c r="G752" s="12"/>
      <c r="H752" s="12"/>
      <c r="I752" s="9" t="str">
        <f t="shared" si="11"/>
        <v/>
      </c>
      <c r="J752" s="7"/>
      <c r="K752" s="6"/>
    </row>
    <row r="753" spans="1:11" x14ac:dyDescent="0.3">
      <c r="A753" s="6"/>
      <c r="B753" s="7"/>
      <c r="C753" s="6"/>
      <c r="D753" s="6"/>
      <c r="E753" s="6"/>
      <c r="F753" s="6"/>
      <c r="G753" s="12"/>
      <c r="H753" s="12"/>
      <c r="I753" s="9" t="str">
        <f t="shared" si="11"/>
        <v/>
      </c>
      <c r="J753" s="7"/>
      <c r="K753" s="6"/>
    </row>
    <row r="754" spans="1:11" x14ac:dyDescent="0.3">
      <c r="A754" s="6"/>
      <c r="B754" s="7"/>
      <c r="C754" s="6"/>
      <c r="D754" s="6"/>
      <c r="E754" s="6"/>
      <c r="F754" s="6"/>
      <c r="G754" s="12"/>
      <c r="H754" s="12"/>
      <c r="I754" s="9" t="str">
        <f t="shared" si="11"/>
        <v/>
      </c>
      <c r="J754" s="7"/>
      <c r="K754" s="6"/>
    </row>
    <row r="755" spans="1:11" x14ac:dyDescent="0.3">
      <c r="A755" s="6"/>
      <c r="B755" s="7"/>
      <c r="C755" s="6"/>
      <c r="D755" s="6"/>
      <c r="E755" s="6"/>
      <c r="F755" s="6"/>
      <c r="G755" s="12"/>
      <c r="H755" s="12"/>
      <c r="I755" s="9" t="str">
        <f t="shared" si="11"/>
        <v/>
      </c>
      <c r="J755" s="7"/>
      <c r="K755" s="6"/>
    </row>
    <row r="756" spans="1:11" x14ac:dyDescent="0.3">
      <c r="A756" s="6"/>
      <c r="B756" s="7"/>
      <c r="C756" s="6"/>
      <c r="D756" s="6"/>
      <c r="E756" s="6"/>
      <c r="F756" s="6"/>
      <c r="G756" s="12"/>
      <c r="H756" s="12"/>
      <c r="I756" s="9" t="str">
        <f t="shared" si="11"/>
        <v/>
      </c>
      <c r="J756" s="7"/>
      <c r="K756" s="6"/>
    </row>
    <row r="757" spans="1:11" x14ac:dyDescent="0.3">
      <c r="A757" s="6"/>
      <c r="B757" s="7"/>
      <c r="C757" s="6"/>
      <c r="D757" s="6"/>
      <c r="E757" s="6"/>
      <c r="F757" s="6"/>
      <c r="G757" s="12"/>
      <c r="H757" s="12"/>
      <c r="I757" s="9" t="str">
        <f t="shared" ref="I757:I820" si="12">IF(AND(G757&lt;&gt;"",H757&lt;&gt;""),MOD(H757-G757,1)*24,"")</f>
        <v/>
      </c>
      <c r="J757" s="7"/>
      <c r="K757" s="6"/>
    </row>
    <row r="758" spans="1:11" x14ac:dyDescent="0.3">
      <c r="A758" s="6"/>
      <c r="B758" s="7"/>
      <c r="C758" s="6"/>
      <c r="D758" s="6"/>
      <c r="E758" s="6"/>
      <c r="F758" s="6"/>
      <c r="G758" s="12"/>
      <c r="H758" s="12"/>
      <c r="I758" s="9" t="str">
        <f t="shared" si="12"/>
        <v/>
      </c>
      <c r="J758" s="7"/>
      <c r="K758" s="6"/>
    </row>
    <row r="759" spans="1:11" x14ac:dyDescent="0.3">
      <c r="A759" s="6"/>
      <c r="B759" s="7"/>
      <c r="C759" s="6"/>
      <c r="D759" s="6"/>
      <c r="E759" s="6"/>
      <c r="F759" s="6"/>
      <c r="G759" s="12"/>
      <c r="H759" s="12"/>
      <c r="I759" s="9" t="str">
        <f t="shared" si="12"/>
        <v/>
      </c>
      <c r="J759" s="7"/>
      <c r="K759" s="6"/>
    </row>
    <row r="760" spans="1:11" x14ac:dyDescent="0.3">
      <c r="A760" s="6"/>
      <c r="B760" s="7"/>
      <c r="C760" s="6"/>
      <c r="D760" s="6"/>
      <c r="E760" s="6"/>
      <c r="F760" s="6"/>
      <c r="G760" s="12"/>
      <c r="H760" s="12"/>
      <c r="I760" s="9" t="str">
        <f t="shared" si="12"/>
        <v/>
      </c>
      <c r="J760" s="7"/>
      <c r="K760" s="6"/>
    </row>
    <row r="761" spans="1:11" x14ac:dyDescent="0.3">
      <c r="A761" s="6"/>
      <c r="B761" s="7"/>
      <c r="C761" s="6"/>
      <c r="D761" s="6"/>
      <c r="E761" s="6"/>
      <c r="F761" s="6"/>
      <c r="G761" s="12"/>
      <c r="H761" s="12"/>
      <c r="I761" s="9" t="str">
        <f t="shared" si="12"/>
        <v/>
      </c>
      <c r="J761" s="7"/>
      <c r="K761" s="6"/>
    </row>
    <row r="762" spans="1:11" x14ac:dyDescent="0.3">
      <c r="A762" s="6"/>
      <c r="B762" s="7"/>
      <c r="C762" s="6"/>
      <c r="D762" s="6"/>
      <c r="E762" s="6"/>
      <c r="F762" s="6"/>
      <c r="G762" s="12"/>
      <c r="H762" s="12"/>
      <c r="I762" s="9" t="str">
        <f t="shared" si="12"/>
        <v/>
      </c>
      <c r="J762" s="7"/>
      <c r="K762" s="6"/>
    </row>
    <row r="763" spans="1:11" x14ac:dyDescent="0.3">
      <c r="A763" s="6"/>
      <c r="B763" s="7"/>
      <c r="C763" s="6"/>
      <c r="D763" s="6"/>
      <c r="E763" s="6"/>
      <c r="F763" s="6"/>
      <c r="G763" s="12"/>
      <c r="H763" s="12"/>
      <c r="I763" s="9" t="str">
        <f t="shared" si="12"/>
        <v/>
      </c>
      <c r="J763" s="7"/>
      <c r="K763" s="6"/>
    </row>
    <row r="764" spans="1:11" x14ac:dyDescent="0.3">
      <c r="A764" s="6"/>
      <c r="B764" s="7"/>
      <c r="C764" s="6"/>
      <c r="D764" s="6"/>
      <c r="E764" s="6"/>
      <c r="F764" s="6"/>
      <c r="G764" s="12"/>
      <c r="H764" s="12"/>
      <c r="I764" s="9" t="str">
        <f t="shared" si="12"/>
        <v/>
      </c>
      <c r="J764" s="7"/>
      <c r="K764" s="6"/>
    </row>
    <row r="765" spans="1:11" x14ac:dyDescent="0.3">
      <c r="A765" s="6"/>
      <c r="B765" s="7"/>
      <c r="C765" s="6"/>
      <c r="D765" s="6"/>
      <c r="E765" s="6"/>
      <c r="F765" s="6"/>
      <c r="G765" s="12"/>
      <c r="H765" s="12"/>
      <c r="I765" s="9" t="str">
        <f t="shared" si="12"/>
        <v/>
      </c>
      <c r="J765" s="7"/>
      <c r="K765" s="6"/>
    </row>
    <row r="766" spans="1:11" x14ac:dyDescent="0.3">
      <c r="A766" s="6"/>
      <c r="B766" s="7"/>
      <c r="C766" s="6"/>
      <c r="D766" s="6"/>
      <c r="E766" s="6"/>
      <c r="F766" s="6"/>
      <c r="G766" s="12"/>
      <c r="H766" s="12"/>
      <c r="I766" s="9" t="str">
        <f t="shared" si="12"/>
        <v/>
      </c>
      <c r="J766" s="7"/>
      <c r="K766" s="6"/>
    </row>
    <row r="767" spans="1:11" x14ac:dyDescent="0.3">
      <c r="A767" s="6"/>
      <c r="B767" s="7"/>
      <c r="C767" s="6"/>
      <c r="D767" s="6"/>
      <c r="E767" s="6"/>
      <c r="F767" s="6"/>
      <c r="G767" s="12"/>
      <c r="H767" s="12"/>
      <c r="I767" s="9" t="str">
        <f t="shared" si="12"/>
        <v/>
      </c>
      <c r="J767" s="7"/>
      <c r="K767" s="6"/>
    </row>
    <row r="768" spans="1:11" x14ac:dyDescent="0.3">
      <c r="A768" s="6"/>
      <c r="B768" s="7"/>
      <c r="C768" s="6"/>
      <c r="D768" s="6"/>
      <c r="E768" s="6"/>
      <c r="F768" s="6"/>
      <c r="G768" s="12"/>
      <c r="H768" s="12"/>
      <c r="I768" s="9" t="str">
        <f t="shared" si="12"/>
        <v/>
      </c>
      <c r="J768" s="7"/>
      <c r="K768" s="6"/>
    </row>
    <row r="769" spans="1:11" x14ac:dyDescent="0.3">
      <c r="A769" s="6"/>
      <c r="B769" s="7"/>
      <c r="C769" s="6"/>
      <c r="D769" s="6"/>
      <c r="E769" s="6"/>
      <c r="F769" s="6"/>
      <c r="G769" s="12"/>
      <c r="H769" s="12"/>
      <c r="I769" s="9" t="str">
        <f t="shared" si="12"/>
        <v/>
      </c>
      <c r="J769" s="7"/>
      <c r="K769" s="6"/>
    </row>
    <row r="770" spans="1:11" x14ac:dyDescent="0.3">
      <c r="A770" s="6"/>
      <c r="B770" s="7"/>
      <c r="C770" s="6"/>
      <c r="D770" s="6"/>
      <c r="E770" s="6"/>
      <c r="F770" s="6"/>
      <c r="G770" s="12"/>
      <c r="H770" s="12"/>
      <c r="I770" s="9" t="str">
        <f t="shared" si="12"/>
        <v/>
      </c>
      <c r="J770" s="7"/>
      <c r="K770" s="6"/>
    </row>
    <row r="771" spans="1:11" x14ac:dyDescent="0.3">
      <c r="A771" s="6"/>
      <c r="B771" s="7"/>
      <c r="C771" s="6"/>
      <c r="D771" s="6"/>
      <c r="E771" s="6"/>
      <c r="F771" s="6"/>
      <c r="G771" s="12"/>
      <c r="H771" s="12"/>
      <c r="I771" s="9" t="str">
        <f t="shared" si="12"/>
        <v/>
      </c>
      <c r="J771" s="7"/>
      <c r="K771" s="6"/>
    </row>
    <row r="772" spans="1:11" x14ac:dyDescent="0.3">
      <c r="A772" s="6"/>
      <c r="B772" s="7"/>
      <c r="C772" s="6"/>
      <c r="D772" s="6"/>
      <c r="E772" s="6"/>
      <c r="F772" s="6"/>
      <c r="G772" s="12"/>
      <c r="H772" s="12"/>
      <c r="I772" s="9" t="str">
        <f t="shared" si="12"/>
        <v/>
      </c>
      <c r="J772" s="7"/>
      <c r="K772" s="6"/>
    </row>
    <row r="773" spans="1:11" x14ac:dyDescent="0.3">
      <c r="A773" s="6"/>
      <c r="B773" s="7"/>
      <c r="C773" s="6"/>
      <c r="D773" s="6"/>
      <c r="E773" s="6"/>
      <c r="F773" s="6"/>
      <c r="G773" s="12"/>
      <c r="H773" s="12"/>
      <c r="I773" s="9" t="str">
        <f t="shared" si="12"/>
        <v/>
      </c>
      <c r="J773" s="7"/>
      <c r="K773" s="6"/>
    </row>
    <row r="774" spans="1:11" x14ac:dyDescent="0.3">
      <c r="A774" s="6"/>
      <c r="B774" s="7"/>
      <c r="C774" s="6"/>
      <c r="D774" s="6"/>
      <c r="E774" s="6"/>
      <c r="F774" s="6"/>
      <c r="G774" s="12"/>
      <c r="H774" s="12"/>
      <c r="I774" s="9" t="str">
        <f t="shared" si="12"/>
        <v/>
      </c>
      <c r="J774" s="7"/>
      <c r="K774" s="6"/>
    </row>
    <row r="775" spans="1:11" x14ac:dyDescent="0.3">
      <c r="A775" s="6"/>
      <c r="B775" s="7"/>
      <c r="C775" s="6"/>
      <c r="D775" s="6"/>
      <c r="E775" s="6"/>
      <c r="F775" s="6"/>
      <c r="G775" s="12"/>
      <c r="H775" s="12"/>
      <c r="I775" s="9" t="str">
        <f t="shared" si="12"/>
        <v/>
      </c>
      <c r="J775" s="7"/>
      <c r="K775" s="6"/>
    </row>
    <row r="776" spans="1:11" x14ac:dyDescent="0.3">
      <c r="A776" s="6"/>
      <c r="B776" s="7"/>
      <c r="C776" s="6"/>
      <c r="D776" s="6"/>
      <c r="E776" s="6"/>
      <c r="F776" s="6"/>
      <c r="G776" s="12"/>
      <c r="H776" s="12"/>
      <c r="I776" s="9" t="str">
        <f t="shared" si="12"/>
        <v/>
      </c>
      <c r="J776" s="7"/>
      <c r="K776" s="6"/>
    </row>
    <row r="777" spans="1:11" x14ac:dyDescent="0.3">
      <c r="A777" s="6"/>
      <c r="B777" s="7"/>
      <c r="C777" s="6"/>
      <c r="D777" s="6"/>
      <c r="E777" s="6"/>
      <c r="F777" s="6"/>
      <c r="G777" s="12"/>
      <c r="H777" s="12"/>
      <c r="I777" s="9" t="str">
        <f t="shared" si="12"/>
        <v/>
      </c>
      <c r="J777" s="7"/>
      <c r="K777" s="6"/>
    </row>
    <row r="778" spans="1:11" x14ac:dyDescent="0.3">
      <c r="A778" s="6"/>
      <c r="B778" s="7"/>
      <c r="C778" s="6"/>
      <c r="D778" s="6"/>
      <c r="E778" s="6"/>
      <c r="F778" s="6"/>
      <c r="G778" s="12"/>
      <c r="H778" s="12"/>
      <c r="I778" s="9" t="str">
        <f t="shared" si="12"/>
        <v/>
      </c>
      <c r="J778" s="7"/>
      <c r="K778" s="6"/>
    </row>
    <row r="779" spans="1:11" x14ac:dyDescent="0.3">
      <c r="A779" s="6"/>
      <c r="B779" s="7"/>
      <c r="C779" s="6"/>
      <c r="D779" s="6"/>
      <c r="E779" s="6"/>
      <c r="F779" s="6"/>
      <c r="G779" s="12"/>
      <c r="H779" s="12"/>
      <c r="I779" s="9" t="str">
        <f t="shared" si="12"/>
        <v/>
      </c>
      <c r="J779" s="7"/>
      <c r="K779" s="6"/>
    </row>
    <row r="780" spans="1:11" x14ac:dyDescent="0.3">
      <c r="A780" s="6"/>
      <c r="B780" s="7"/>
      <c r="C780" s="6"/>
      <c r="D780" s="6"/>
      <c r="E780" s="6"/>
      <c r="F780" s="6"/>
      <c r="G780" s="12"/>
      <c r="H780" s="12"/>
      <c r="I780" s="9" t="str">
        <f t="shared" si="12"/>
        <v/>
      </c>
      <c r="J780" s="7"/>
      <c r="K780" s="6"/>
    </row>
    <row r="781" spans="1:11" x14ac:dyDescent="0.3">
      <c r="A781" s="6"/>
      <c r="B781" s="7"/>
      <c r="C781" s="6"/>
      <c r="D781" s="6"/>
      <c r="E781" s="6"/>
      <c r="F781" s="6"/>
      <c r="G781" s="12"/>
      <c r="H781" s="12"/>
      <c r="I781" s="9" t="str">
        <f t="shared" si="12"/>
        <v/>
      </c>
      <c r="J781" s="7"/>
      <c r="K781" s="6"/>
    </row>
    <row r="782" spans="1:11" x14ac:dyDescent="0.3">
      <c r="A782" s="6"/>
      <c r="B782" s="7"/>
      <c r="C782" s="6"/>
      <c r="D782" s="6"/>
      <c r="E782" s="6"/>
      <c r="F782" s="6"/>
      <c r="G782" s="12"/>
      <c r="H782" s="12"/>
      <c r="I782" s="9" t="str">
        <f t="shared" si="12"/>
        <v/>
      </c>
      <c r="J782" s="7"/>
      <c r="K782" s="6"/>
    </row>
    <row r="783" spans="1:11" x14ac:dyDescent="0.3">
      <c r="A783" s="6"/>
      <c r="B783" s="7"/>
      <c r="C783" s="6"/>
      <c r="D783" s="6"/>
      <c r="E783" s="6"/>
      <c r="F783" s="6"/>
      <c r="G783" s="12"/>
      <c r="H783" s="12"/>
      <c r="I783" s="9" t="str">
        <f t="shared" si="12"/>
        <v/>
      </c>
      <c r="J783" s="7"/>
      <c r="K783" s="6"/>
    </row>
    <row r="784" spans="1:11" x14ac:dyDescent="0.3">
      <c r="A784" s="6"/>
      <c r="B784" s="7"/>
      <c r="C784" s="6"/>
      <c r="D784" s="6"/>
      <c r="E784" s="6"/>
      <c r="F784" s="6"/>
      <c r="G784" s="12"/>
      <c r="H784" s="12"/>
      <c r="I784" s="9" t="str">
        <f t="shared" si="12"/>
        <v/>
      </c>
      <c r="J784" s="7"/>
      <c r="K784" s="6"/>
    </row>
    <row r="785" spans="1:11" x14ac:dyDescent="0.3">
      <c r="A785" s="6"/>
      <c r="B785" s="7"/>
      <c r="C785" s="6"/>
      <c r="D785" s="6"/>
      <c r="E785" s="6"/>
      <c r="F785" s="6"/>
      <c r="G785" s="12"/>
      <c r="H785" s="12"/>
      <c r="I785" s="9" t="str">
        <f t="shared" si="12"/>
        <v/>
      </c>
      <c r="J785" s="7"/>
      <c r="K785" s="6"/>
    </row>
    <row r="786" spans="1:11" x14ac:dyDescent="0.3">
      <c r="A786" s="6"/>
      <c r="B786" s="7"/>
      <c r="C786" s="6"/>
      <c r="D786" s="6"/>
      <c r="E786" s="6"/>
      <c r="F786" s="6"/>
      <c r="G786" s="12"/>
      <c r="H786" s="12"/>
      <c r="I786" s="9" t="str">
        <f t="shared" si="12"/>
        <v/>
      </c>
      <c r="J786" s="7"/>
      <c r="K786" s="6"/>
    </row>
    <row r="787" spans="1:11" x14ac:dyDescent="0.3">
      <c r="A787" s="6"/>
      <c r="B787" s="7"/>
      <c r="C787" s="6"/>
      <c r="D787" s="6"/>
      <c r="E787" s="6"/>
      <c r="F787" s="6"/>
      <c r="G787" s="12"/>
      <c r="H787" s="12"/>
      <c r="I787" s="9" t="str">
        <f t="shared" si="12"/>
        <v/>
      </c>
      <c r="J787" s="7"/>
      <c r="K787" s="6"/>
    </row>
    <row r="788" spans="1:11" x14ac:dyDescent="0.3">
      <c r="A788" s="6"/>
      <c r="B788" s="7"/>
      <c r="C788" s="6"/>
      <c r="D788" s="6"/>
      <c r="E788" s="6"/>
      <c r="F788" s="6"/>
      <c r="G788" s="12"/>
      <c r="H788" s="12"/>
      <c r="I788" s="9" t="str">
        <f t="shared" si="12"/>
        <v/>
      </c>
      <c r="J788" s="7"/>
      <c r="K788" s="6"/>
    </row>
    <row r="789" spans="1:11" x14ac:dyDescent="0.3">
      <c r="A789" s="6"/>
      <c r="B789" s="7"/>
      <c r="C789" s="6"/>
      <c r="D789" s="6"/>
      <c r="E789" s="6"/>
      <c r="F789" s="6"/>
      <c r="G789" s="12"/>
      <c r="H789" s="12"/>
      <c r="I789" s="9" t="str">
        <f t="shared" si="12"/>
        <v/>
      </c>
      <c r="J789" s="7"/>
      <c r="K789" s="6"/>
    </row>
    <row r="790" spans="1:11" x14ac:dyDescent="0.3">
      <c r="A790" s="6"/>
      <c r="B790" s="7"/>
      <c r="C790" s="6"/>
      <c r="D790" s="6"/>
      <c r="E790" s="6"/>
      <c r="F790" s="6"/>
      <c r="G790" s="12"/>
      <c r="H790" s="12"/>
      <c r="I790" s="9" t="str">
        <f t="shared" si="12"/>
        <v/>
      </c>
      <c r="J790" s="7"/>
      <c r="K790" s="6"/>
    </row>
    <row r="791" spans="1:11" x14ac:dyDescent="0.3">
      <c r="A791" s="6"/>
      <c r="B791" s="7"/>
      <c r="C791" s="6"/>
      <c r="D791" s="6"/>
      <c r="E791" s="6"/>
      <c r="F791" s="6"/>
      <c r="G791" s="12"/>
      <c r="H791" s="12"/>
      <c r="I791" s="9" t="str">
        <f t="shared" si="12"/>
        <v/>
      </c>
      <c r="J791" s="7"/>
      <c r="K791" s="6"/>
    </row>
    <row r="792" spans="1:11" x14ac:dyDescent="0.3">
      <c r="A792" s="6"/>
      <c r="B792" s="7"/>
      <c r="C792" s="6"/>
      <c r="D792" s="6"/>
      <c r="E792" s="6"/>
      <c r="F792" s="6"/>
      <c r="G792" s="12"/>
      <c r="H792" s="12"/>
      <c r="I792" s="9" t="str">
        <f t="shared" si="12"/>
        <v/>
      </c>
      <c r="J792" s="7"/>
      <c r="K792" s="6"/>
    </row>
    <row r="793" spans="1:11" x14ac:dyDescent="0.3">
      <c r="A793" s="6"/>
      <c r="B793" s="7"/>
      <c r="C793" s="6"/>
      <c r="D793" s="6"/>
      <c r="E793" s="6"/>
      <c r="F793" s="6"/>
      <c r="G793" s="12"/>
      <c r="H793" s="12"/>
      <c r="I793" s="9" t="str">
        <f t="shared" si="12"/>
        <v/>
      </c>
      <c r="J793" s="7"/>
      <c r="K793" s="6"/>
    </row>
    <row r="794" spans="1:11" x14ac:dyDescent="0.3">
      <c r="A794" s="6"/>
      <c r="B794" s="7"/>
      <c r="C794" s="6"/>
      <c r="D794" s="6"/>
      <c r="E794" s="6"/>
      <c r="F794" s="6"/>
      <c r="G794" s="12"/>
      <c r="H794" s="12"/>
      <c r="I794" s="9" t="str">
        <f t="shared" si="12"/>
        <v/>
      </c>
      <c r="J794" s="7"/>
      <c r="K794" s="6"/>
    </row>
    <row r="795" spans="1:11" x14ac:dyDescent="0.3">
      <c r="A795" s="6"/>
      <c r="B795" s="7"/>
      <c r="C795" s="6"/>
      <c r="D795" s="6"/>
      <c r="E795" s="6"/>
      <c r="F795" s="6"/>
      <c r="G795" s="12"/>
      <c r="H795" s="12"/>
      <c r="I795" s="9" t="str">
        <f t="shared" si="12"/>
        <v/>
      </c>
      <c r="J795" s="7"/>
      <c r="K795" s="6"/>
    </row>
    <row r="796" spans="1:11" x14ac:dyDescent="0.3">
      <c r="A796" s="6"/>
      <c r="B796" s="7"/>
      <c r="C796" s="6"/>
      <c r="D796" s="6"/>
      <c r="E796" s="6"/>
      <c r="F796" s="6"/>
      <c r="G796" s="12"/>
      <c r="H796" s="12"/>
      <c r="I796" s="9" t="str">
        <f t="shared" si="12"/>
        <v/>
      </c>
      <c r="J796" s="7"/>
      <c r="K796" s="6"/>
    </row>
    <row r="797" spans="1:11" x14ac:dyDescent="0.3">
      <c r="A797" s="6"/>
      <c r="B797" s="7"/>
      <c r="C797" s="6"/>
      <c r="D797" s="6"/>
      <c r="E797" s="6"/>
      <c r="F797" s="6"/>
      <c r="G797" s="12"/>
      <c r="H797" s="12"/>
      <c r="I797" s="9" t="str">
        <f t="shared" si="12"/>
        <v/>
      </c>
      <c r="J797" s="7"/>
      <c r="K797" s="6"/>
    </row>
    <row r="798" spans="1:11" x14ac:dyDescent="0.3">
      <c r="A798" s="6"/>
      <c r="B798" s="7"/>
      <c r="C798" s="6"/>
      <c r="D798" s="6"/>
      <c r="E798" s="6"/>
      <c r="F798" s="6"/>
      <c r="G798" s="12"/>
      <c r="H798" s="12"/>
      <c r="I798" s="9" t="str">
        <f t="shared" si="12"/>
        <v/>
      </c>
      <c r="J798" s="7"/>
      <c r="K798" s="6"/>
    </row>
    <row r="799" spans="1:11" x14ac:dyDescent="0.3">
      <c r="A799" s="6"/>
      <c r="B799" s="7"/>
      <c r="C799" s="6"/>
      <c r="D799" s="6"/>
      <c r="E799" s="6"/>
      <c r="F799" s="6"/>
      <c r="G799" s="12"/>
      <c r="H799" s="12"/>
      <c r="I799" s="9" t="str">
        <f t="shared" si="12"/>
        <v/>
      </c>
      <c r="J799" s="7"/>
      <c r="K799" s="6"/>
    </row>
    <row r="800" spans="1:11" x14ac:dyDescent="0.3">
      <c r="A800" s="6"/>
      <c r="B800" s="7"/>
      <c r="C800" s="6"/>
      <c r="D800" s="6"/>
      <c r="E800" s="6"/>
      <c r="F800" s="6"/>
      <c r="G800" s="12"/>
      <c r="H800" s="12"/>
      <c r="I800" s="9" t="str">
        <f t="shared" si="12"/>
        <v/>
      </c>
      <c r="J800" s="7"/>
      <c r="K800" s="6"/>
    </row>
    <row r="801" spans="1:11" x14ac:dyDescent="0.3">
      <c r="A801" s="6"/>
      <c r="B801" s="7"/>
      <c r="C801" s="6"/>
      <c r="D801" s="6"/>
      <c r="E801" s="6"/>
      <c r="F801" s="6"/>
      <c r="G801" s="12"/>
      <c r="H801" s="12"/>
      <c r="I801" s="9" t="str">
        <f t="shared" si="12"/>
        <v/>
      </c>
      <c r="J801" s="7"/>
      <c r="K801" s="6"/>
    </row>
    <row r="802" spans="1:11" x14ac:dyDescent="0.3">
      <c r="A802" s="6"/>
      <c r="B802" s="7"/>
      <c r="C802" s="6"/>
      <c r="D802" s="6"/>
      <c r="E802" s="6"/>
      <c r="F802" s="6"/>
      <c r="G802" s="12"/>
      <c r="H802" s="12"/>
      <c r="I802" s="9" t="str">
        <f t="shared" si="12"/>
        <v/>
      </c>
      <c r="J802" s="7"/>
      <c r="K802" s="6"/>
    </row>
    <row r="803" spans="1:11" x14ac:dyDescent="0.3">
      <c r="A803" s="6"/>
      <c r="B803" s="7"/>
      <c r="C803" s="6"/>
      <c r="D803" s="6"/>
      <c r="E803" s="6"/>
      <c r="F803" s="6"/>
      <c r="G803" s="12"/>
      <c r="H803" s="12"/>
      <c r="I803" s="9" t="str">
        <f t="shared" si="12"/>
        <v/>
      </c>
      <c r="J803" s="7"/>
      <c r="K803" s="6"/>
    </row>
    <row r="804" spans="1:11" x14ac:dyDescent="0.3">
      <c r="A804" s="6"/>
      <c r="B804" s="7"/>
      <c r="C804" s="6"/>
      <c r="D804" s="6"/>
      <c r="E804" s="6"/>
      <c r="F804" s="6"/>
      <c r="G804" s="12"/>
      <c r="H804" s="12"/>
      <c r="I804" s="9" t="str">
        <f t="shared" si="12"/>
        <v/>
      </c>
      <c r="J804" s="7"/>
      <c r="K804" s="6"/>
    </row>
    <row r="805" spans="1:11" x14ac:dyDescent="0.3">
      <c r="A805" s="6"/>
      <c r="B805" s="7"/>
      <c r="C805" s="6"/>
      <c r="D805" s="6"/>
      <c r="E805" s="6"/>
      <c r="F805" s="6"/>
      <c r="G805" s="12"/>
      <c r="H805" s="12"/>
      <c r="I805" s="9" t="str">
        <f t="shared" si="12"/>
        <v/>
      </c>
      <c r="J805" s="7"/>
      <c r="K805" s="6"/>
    </row>
    <row r="806" spans="1:11" x14ac:dyDescent="0.3">
      <c r="A806" s="6"/>
      <c r="B806" s="7"/>
      <c r="C806" s="6"/>
      <c r="D806" s="6"/>
      <c r="E806" s="6"/>
      <c r="F806" s="6"/>
      <c r="G806" s="12"/>
      <c r="H806" s="12"/>
      <c r="I806" s="9" t="str">
        <f t="shared" si="12"/>
        <v/>
      </c>
      <c r="J806" s="7"/>
      <c r="K806" s="6"/>
    </row>
    <row r="807" spans="1:11" x14ac:dyDescent="0.3">
      <c r="A807" s="6"/>
      <c r="B807" s="7"/>
      <c r="C807" s="6"/>
      <c r="D807" s="6"/>
      <c r="E807" s="6"/>
      <c r="F807" s="6"/>
      <c r="G807" s="12"/>
      <c r="H807" s="12"/>
      <c r="I807" s="9" t="str">
        <f t="shared" si="12"/>
        <v/>
      </c>
      <c r="J807" s="7"/>
      <c r="K807" s="6"/>
    </row>
    <row r="808" spans="1:11" x14ac:dyDescent="0.3">
      <c r="A808" s="6"/>
      <c r="B808" s="7"/>
      <c r="C808" s="6"/>
      <c r="D808" s="6"/>
      <c r="E808" s="6"/>
      <c r="F808" s="6"/>
      <c r="G808" s="12"/>
      <c r="H808" s="12"/>
      <c r="I808" s="9" t="str">
        <f t="shared" si="12"/>
        <v/>
      </c>
      <c r="J808" s="7"/>
      <c r="K808" s="6"/>
    </row>
    <row r="809" spans="1:11" x14ac:dyDescent="0.3">
      <c r="A809" s="6"/>
      <c r="B809" s="7"/>
      <c r="C809" s="6"/>
      <c r="D809" s="6"/>
      <c r="E809" s="6"/>
      <c r="F809" s="6"/>
      <c r="G809" s="12"/>
      <c r="H809" s="12"/>
      <c r="I809" s="9" t="str">
        <f t="shared" si="12"/>
        <v/>
      </c>
      <c r="J809" s="7"/>
      <c r="K809" s="6"/>
    </row>
    <row r="810" spans="1:11" x14ac:dyDescent="0.3">
      <c r="A810" s="6"/>
      <c r="B810" s="7"/>
      <c r="C810" s="6"/>
      <c r="D810" s="6"/>
      <c r="E810" s="6"/>
      <c r="F810" s="6"/>
      <c r="G810" s="12"/>
      <c r="H810" s="12"/>
      <c r="I810" s="9" t="str">
        <f t="shared" si="12"/>
        <v/>
      </c>
      <c r="J810" s="7"/>
      <c r="K810" s="6"/>
    </row>
    <row r="811" spans="1:11" x14ac:dyDescent="0.3">
      <c r="A811" s="6"/>
      <c r="B811" s="7"/>
      <c r="C811" s="6"/>
      <c r="D811" s="6"/>
      <c r="E811" s="6"/>
      <c r="F811" s="6"/>
      <c r="G811" s="12"/>
      <c r="H811" s="12"/>
      <c r="I811" s="9" t="str">
        <f t="shared" si="12"/>
        <v/>
      </c>
      <c r="J811" s="7"/>
      <c r="K811" s="6"/>
    </row>
    <row r="812" spans="1:11" x14ac:dyDescent="0.3">
      <c r="A812" s="6"/>
      <c r="B812" s="7"/>
      <c r="C812" s="6"/>
      <c r="D812" s="6"/>
      <c r="E812" s="6"/>
      <c r="F812" s="6"/>
      <c r="G812" s="12"/>
      <c r="H812" s="12"/>
      <c r="I812" s="9" t="str">
        <f t="shared" si="12"/>
        <v/>
      </c>
      <c r="J812" s="7"/>
      <c r="K812" s="6"/>
    </row>
    <row r="813" spans="1:11" x14ac:dyDescent="0.3">
      <c r="A813" s="6"/>
      <c r="B813" s="7"/>
      <c r="C813" s="6"/>
      <c r="D813" s="6"/>
      <c r="E813" s="6"/>
      <c r="F813" s="6"/>
      <c r="G813" s="12"/>
      <c r="H813" s="12"/>
      <c r="I813" s="9" t="str">
        <f t="shared" si="12"/>
        <v/>
      </c>
      <c r="J813" s="7"/>
      <c r="K813" s="6"/>
    </row>
    <row r="814" spans="1:11" x14ac:dyDescent="0.3">
      <c r="A814" s="6"/>
      <c r="B814" s="7"/>
      <c r="C814" s="6"/>
      <c r="D814" s="6"/>
      <c r="E814" s="6"/>
      <c r="F814" s="6"/>
      <c r="G814" s="12"/>
      <c r="H814" s="12"/>
      <c r="I814" s="9" t="str">
        <f t="shared" si="12"/>
        <v/>
      </c>
      <c r="J814" s="7"/>
      <c r="K814" s="6"/>
    </row>
    <row r="815" spans="1:11" x14ac:dyDescent="0.3">
      <c r="A815" s="6"/>
      <c r="B815" s="7"/>
      <c r="C815" s="6"/>
      <c r="D815" s="6"/>
      <c r="E815" s="6"/>
      <c r="F815" s="6"/>
      <c r="G815" s="12"/>
      <c r="H815" s="12"/>
      <c r="I815" s="9" t="str">
        <f t="shared" si="12"/>
        <v/>
      </c>
      <c r="J815" s="7"/>
      <c r="K815" s="6"/>
    </row>
    <row r="816" spans="1:11" x14ac:dyDescent="0.3">
      <c r="A816" s="6"/>
      <c r="B816" s="7"/>
      <c r="C816" s="6"/>
      <c r="D816" s="6"/>
      <c r="E816" s="6"/>
      <c r="F816" s="6"/>
      <c r="G816" s="12"/>
      <c r="H816" s="12"/>
      <c r="I816" s="9" t="str">
        <f t="shared" si="12"/>
        <v/>
      </c>
      <c r="J816" s="7"/>
      <c r="K816" s="6"/>
    </row>
    <row r="817" spans="1:11" x14ac:dyDescent="0.3">
      <c r="A817" s="6"/>
      <c r="B817" s="7"/>
      <c r="C817" s="6"/>
      <c r="D817" s="6"/>
      <c r="E817" s="6"/>
      <c r="F817" s="6"/>
      <c r="G817" s="12"/>
      <c r="H817" s="12"/>
      <c r="I817" s="9" t="str">
        <f t="shared" si="12"/>
        <v/>
      </c>
      <c r="J817" s="7"/>
      <c r="K817" s="6"/>
    </row>
    <row r="818" spans="1:11" x14ac:dyDescent="0.3">
      <c r="A818" s="6"/>
      <c r="B818" s="7"/>
      <c r="C818" s="6"/>
      <c r="D818" s="6"/>
      <c r="E818" s="6"/>
      <c r="F818" s="6"/>
      <c r="G818" s="12"/>
      <c r="H818" s="12"/>
      <c r="I818" s="9" t="str">
        <f t="shared" si="12"/>
        <v/>
      </c>
      <c r="J818" s="7"/>
      <c r="K818" s="6"/>
    </row>
    <row r="819" spans="1:11" x14ac:dyDescent="0.3">
      <c r="A819" s="6"/>
      <c r="B819" s="7"/>
      <c r="C819" s="6"/>
      <c r="D819" s="6"/>
      <c r="E819" s="6"/>
      <c r="F819" s="6"/>
      <c r="G819" s="12"/>
      <c r="H819" s="12"/>
      <c r="I819" s="9" t="str">
        <f t="shared" si="12"/>
        <v/>
      </c>
      <c r="J819" s="7"/>
      <c r="K819" s="6"/>
    </row>
    <row r="820" spans="1:11" x14ac:dyDescent="0.3">
      <c r="A820" s="6"/>
      <c r="B820" s="7"/>
      <c r="C820" s="6"/>
      <c r="D820" s="6"/>
      <c r="E820" s="6"/>
      <c r="F820" s="6"/>
      <c r="G820" s="12"/>
      <c r="H820" s="12"/>
      <c r="I820" s="9" t="str">
        <f t="shared" si="12"/>
        <v/>
      </c>
      <c r="J820" s="7"/>
      <c r="K820" s="6"/>
    </row>
    <row r="821" spans="1:11" x14ac:dyDescent="0.3">
      <c r="A821" s="6"/>
      <c r="B821" s="7"/>
      <c r="C821" s="6"/>
      <c r="D821" s="6"/>
      <c r="E821" s="6"/>
      <c r="F821" s="6"/>
      <c r="G821" s="12"/>
      <c r="H821" s="12"/>
      <c r="I821" s="9" t="str">
        <f t="shared" ref="I821:I884" si="13">IF(AND(G821&lt;&gt;"",H821&lt;&gt;""),MOD(H821-G821,1)*24,"")</f>
        <v/>
      </c>
      <c r="J821" s="7"/>
      <c r="K821" s="6"/>
    </row>
    <row r="822" spans="1:11" x14ac:dyDescent="0.3">
      <c r="A822" s="6"/>
      <c r="B822" s="7"/>
      <c r="C822" s="6"/>
      <c r="D822" s="6"/>
      <c r="E822" s="6"/>
      <c r="F822" s="6"/>
      <c r="G822" s="12"/>
      <c r="H822" s="12"/>
      <c r="I822" s="9" t="str">
        <f t="shared" si="13"/>
        <v/>
      </c>
      <c r="J822" s="7"/>
      <c r="K822" s="6"/>
    </row>
    <row r="823" spans="1:11" x14ac:dyDescent="0.3">
      <c r="A823" s="6"/>
      <c r="B823" s="7"/>
      <c r="C823" s="6"/>
      <c r="D823" s="6"/>
      <c r="E823" s="6"/>
      <c r="F823" s="6"/>
      <c r="G823" s="12"/>
      <c r="H823" s="12"/>
      <c r="I823" s="9" t="str">
        <f t="shared" si="13"/>
        <v/>
      </c>
      <c r="J823" s="7"/>
      <c r="K823" s="6"/>
    </row>
    <row r="824" spans="1:11" x14ac:dyDescent="0.3">
      <c r="A824" s="6"/>
      <c r="B824" s="7"/>
      <c r="C824" s="6"/>
      <c r="D824" s="6"/>
      <c r="E824" s="6"/>
      <c r="F824" s="6"/>
      <c r="G824" s="12"/>
      <c r="H824" s="12"/>
      <c r="I824" s="9" t="str">
        <f t="shared" si="13"/>
        <v/>
      </c>
      <c r="J824" s="7"/>
      <c r="K824" s="6"/>
    </row>
    <row r="825" spans="1:11" x14ac:dyDescent="0.3">
      <c r="A825" s="6"/>
      <c r="B825" s="7"/>
      <c r="C825" s="6"/>
      <c r="D825" s="6"/>
      <c r="E825" s="6"/>
      <c r="F825" s="6"/>
      <c r="G825" s="12"/>
      <c r="H825" s="12"/>
      <c r="I825" s="9" t="str">
        <f t="shared" si="13"/>
        <v/>
      </c>
      <c r="J825" s="7"/>
      <c r="K825" s="6"/>
    </row>
    <row r="826" spans="1:11" x14ac:dyDescent="0.3">
      <c r="A826" s="6"/>
      <c r="B826" s="7"/>
      <c r="C826" s="6"/>
      <c r="D826" s="6"/>
      <c r="E826" s="6"/>
      <c r="F826" s="6"/>
      <c r="G826" s="12"/>
      <c r="H826" s="12"/>
      <c r="I826" s="9" t="str">
        <f t="shared" si="13"/>
        <v/>
      </c>
      <c r="J826" s="7"/>
      <c r="K826" s="6"/>
    </row>
    <row r="827" spans="1:11" x14ac:dyDescent="0.3">
      <c r="A827" s="6"/>
      <c r="B827" s="7"/>
      <c r="C827" s="6"/>
      <c r="D827" s="6"/>
      <c r="E827" s="6"/>
      <c r="F827" s="6"/>
      <c r="G827" s="12"/>
      <c r="H827" s="12"/>
      <c r="I827" s="9" t="str">
        <f t="shared" si="13"/>
        <v/>
      </c>
      <c r="J827" s="7"/>
      <c r="K827" s="6"/>
    </row>
    <row r="828" spans="1:11" x14ac:dyDescent="0.3">
      <c r="A828" s="6"/>
      <c r="B828" s="7"/>
      <c r="C828" s="6"/>
      <c r="D828" s="6"/>
      <c r="E828" s="6"/>
      <c r="F828" s="6"/>
      <c r="G828" s="12"/>
      <c r="H828" s="12"/>
      <c r="I828" s="9" t="str">
        <f t="shared" si="13"/>
        <v/>
      </c>
      <c r="J828" s="7"/>
      <c r="K828" s="6"/>
    </row>
    <row r="829" spans="1:11" x14ac:dyDescent="0.3">
      <c r="A829" s="6"/>
      <c r="B829" s="7"/>
      <c r="C829" s="6"/>
      <c r="D829" s="6"/>
      <c r="E829" s="6"/>
      <c r="F829" s="6"/>
      <c r="G829" s="12"/>
      <c r="H829" s="12"/>
      <c r="I829" s="9" t="str">
        <f t="shared" si="13"/>
        <v/>
      </c>
      <c r="J829" s="7"/>
      <c r="K829" s="6"/>
    </row>
    <row r="830" spans="1:11" x14ac:dyDescent="0.3">
      <c r="A830" s="6"/>
      <c r="B830" s="7"/>
      <c r="C830" s="6"/>
      <c r="D830" s="6"/>
      <c r="E830" s="6"/>
      <c r="F830" s="6"/>
      <c r="G830" s="12"/>
      <c r="H830" s="12"/>
      <c r="I830" s="9" t="str">
        <f t="shared" si="13"/>
        <v/>
      </c>
      <c r="J830" s="7"/>
      <c r="K830" s="6"/>
    </row>
    <row r="831" spans="1:11" x14ac:dyDescent="0.3">
      <c r="A831" s="6"/>
      <c r="B831" s="7"/>
      <c r="C831" s="6"/>
      <c r="D831" s="6"/>
      <c r="E831" s="6"/>
      <c r="F831" s="6"/>
      <c r="G831" s="12"/>
      <c r="H831" s="12"/>
      <c r="I831" s="9" t="str">
        <f t="shared" si="13"/>
        <v/>
      </c>
      <c r="J831" s="7"/>
      <c r="K831" s="6"/>
    </row>
    <row r="832" spans="1:11" x14ac:dyDescent="0.3">
      <c r="A832" s="6"/>
      <c r="B832" s="7"/>
      <c r="C832" s="6"/>
      <c r="D832" s="6"/>
      <c r="E832" s="6"/>
      <c r="F832" s="6"/>
      <c r="G832" s="12"/>
      <c r="H832" s="12"/>
      <c r="I832" s="9" t="str">
        <f t="shared" si="13"/>
        <v/>
      </c>
      <c r="J832" s="7"/>
      <c r="K832" s="6"/>
    </row>
    <row r="833" spans="1:11" x14ac:dyDescent="0.3">
      <c r="A833" s="6"/>
      <c r="B833" s="7"/>
      <c r="C833" s="6"/>
      <c r="D833" s="6"/>
      <c r="E833" s="6"/>
      <c r="F833" s="6"/>
      <c r="G833" s="12"/>
      <c r="H833" s="12"/>
      <c r="I833" s="9" t="str">
        <f t="shared" si="13"/>
        <v/>
      </c>
      <c r="J833" s="7"/>
      <c r="K833" s="6"/>
    </row>
    <row r="834" spans="1:11" x14ac:dyDescent="0.3">
      <c r="A834" s="6"/>
      <c r="B834" s="7"/>
      <c r="C834" s="6"/>
      <c r="D834" s="6"/>
      <c r="E834" s="6"/>
      <c r="F834" s="6"/>
      <c r="G834" s="12"/>
      <c r="H834" s="12"/>
      <c r="I834" s="9" t="str">
        <f t="shared" si="13"/>
        <v/>
      </c>
      <c r="J834" s="7"/>
      <c r="K834" s="6"/>
    </row>
    <row r="835" spans="1:11" x14ac:dyDescent="0.3">
      <c r="A835" s="6"/>
      <c r="B835" s="7"/>
      <c r="C835" s="6"/>
      <c r="D835" s="6"/>
      <c r="E835" s="6"/>
      <c r="F835" s="6"/>
      <c r="G835" s="12"/>
      <c r="H835" s="12"/>
      <c r="I835" s="9" t="str">
        <f t="shared" si="13"/>
        <v/>
      </c>
      <c r="J835" s="7"/>
      <c r="K835" s="6"/>
    </row>
    <row r="836" spans="1:11" x14ac:dyDescent="0.3">
      <c r="A836" s="6"/>
      <c r="B836" s="7"/>
      <c r="C836" s="6"/>
      <c r="D836" s="6"/>
      <c r="E836" s="6"/>
      <c r="F836" s="6"/>
      <c r="G836" s="12"/>
      <c r="H836" s="12"/>
      <c r="I836" s="9" t="str">
        <f t="shared" si="13"/>
        <v/>
      </c>
      <c r="J836" s="7"/>
      <c r="K836" s="6"/>
    </row>
    <row r="837" spans="1:11" x14ac:dyDescent="0.3">
      <c r="A837" s="6"/>
      <c r="B837" s="7"/>
      <c r="C837" s="6"/>
      <c r="D837" s="6"/>
      <c r="E837" s="6"/>
      <c r="F837" s="6"/>
      <c r="G837" s="12"/>
      <c r="H837" s="12"/>
      <c r="I837" s="9" t="str">
        <f t="shared" si="13"/>
        <v/>
      </c>
      <c r="J837" s="7"/>
      <c r="K837" s="6"/>
    </row>
    <row r="838" spans="1:11" x14ac:dyDescent="0.3">
      <c r="A838" s="6"/>
      <c r="B838" s="7"/>
      <c r="C838" s="6"/>
      <c r="D838" s="6"/>
      <c r="E838" s="6"/>
      <c r="F838" s="6"/>
      <c r="G838" s="12"/>
      <c r="H838" s="12"/>
      <c r="I838" s="9" t="str">
        <f t="shared" si="13"/>
        <v/>
      </c>
      <c r="J838" s="7"/>
      <c r="K838" s="6"/>
    </row>
    <row r="839" spans="1:11" x14ac:dyDescent="0.3">
      <c r="A839" s="6"/>
      <c r="B839" s="7"/>
      <c r="C839" s="6"/>
      <c r="D839" s="6"/>
      <c r="E839" s="6"/>
      <c r="F839" s="6"/>
      <c r="G839" s="12"/>
      <c r="H839" s="12"/>
      <c r="I839" s="9" t="str">
        <f t="shared" si="13"/>
        <v/>
      </c>
      <c r="J839" s="7"/>
      <c r="K839" s="6"/>
    </row>
    <row r="840" spans="1:11" x14ac:dyDescent="0.3">
      <c r="A840" s="6"/>
      <c r="B840" s="7"/>
      <c r="C840" s="6"/>
      <c r="D840" s="6"/>
      <c r="E840" s="6"/>
      <c r="F840" s="6"/>
      <c r="G840" s="12"/>
      <c r="H840" s="12"/>
      <c r="I840" s="9" t="str">
        <f t="shared" si="13"/>
        <v/>
      </c>
      <c r="J840" s="7"/>
      <c r="K840" s="6"/>
    </row>
    <row r="841" spans="1:11" x14ac:dyDescent="0.3">
      <c r="A841" s="6"/>
      <c r="B841" s="7"/>
      <c r="C841" s="6"/>
      <c r="D841" s="6"/>
      <c r="E841" s="6"/>
      <c r="F841" s="6"/>
      <c r="G841" s="12"/>
      <c r="H841" s="12"/>
      <c r="I841" s="9" t="str">
        <f t="shared" si="13"/>
        <v/>
      </c>
      <c r="J841" s="7"/>
      <c r="K841" s="6"/>
    </row>
    <row r="842" spans="1:11" x14ac:dyDescent="0.3">
      <c r="A842" s="6"/>
      <c r="B842" s="7"/>
      <c r="C842" s="6"/>
      <c r="D842" s="6"/>
      <c r="E842" s="6"/>
      <c r="F842" s="6"/>
      <c r="G842" s="12"/>
      <c r="H842" s="12"/>
      <c r="I842" s="9" t="str">
        <f t="shared" si="13"/>
        <v/>
      </c>
      <c r="J842" s="7"/>
      <c r="K842" s="6"/>
    </row>
    <row r="843" spans="1:11" x14ac:dyDescent="0.3">
      <c r="A843" s="6"/>
      <c r="B843" s="7"/>
      <c r="C843" s="6"/>
      <c r="D843" s="6"/>
      <c r="E843" s="6"/>
      <c r="F843" s="6"/>
      <c r="G843" s="12"/>
      <c r="H843" s="12"/>
      <c r="I843" s="9" t="str">
        <f t="shared" si="13"/>
        <v/>
      </c>
      <c r="J843" s="7"/>
      <c r="K843" s="6"/>
    </row>
    <row r="844" spans="1:11" x14ac:dyDescent="0.3">
      <c r="A844" s="6"/>
      <c r="B844" s="7"/>
      <c r="C844" s="6"/>
      <c r="D844" s="6"/>
      <c r="E844" s="6"/>
      <c r="F844" s="6"/>
      <c r="G844" s="12"/>
      <c r="H844" s="12"/>
      <c r="I844" s="9" t="str">
        <f t="shared" si="13"/>
        <v/>
      </c>
      <c r="J844" s="7"/>
      <c r="K844" s="6"/>
    </row>
    <row r="845" spans="1:11" x14ac:dyDescent="0.3">
      <c r="A845" s="6"/>
      <c r="B845" s="7"/>
      <c r="C845" s="6"/>
      <c r="D845" s="6"/>
      <c r="E845" s="6"/>
      <c r="F845" s="6"/>
      <c r="G845" s="12"/>
      <c r="H845" s="12"/>
      <c r="I845" s="9" t="str">
        <f t="shared" si="13"/>
        <v/>
      </c>
      <c r="J845" s="7"/>
      <c r="K845" s="6"/>
    </row>
    <row r="846" spans="1:11" x14ac:dyDescent="0.3">
      <c r="A846" s="6"/>
      <c r="B846" s="7"/>
      <c r="C846" s="6"/>
      <c r="D846" s="6"/>
      <c r="E846" s="6"/>
      <c r="F846" s="6"/>
      <c r="G846" s="12"/>
      <c r="H846" s="12"/>
      <c r="I846" s="9" t="str">
        <f t="shared" si="13"/>
        <v/>
      </c>
      <c r="J846" s="7"/>
      <c r="K846" s="6"/>
    </row>
    <row r="847" spans="1:11" x14ac:dyDescent="0.3">
      <c r="A847" s="6"/>
      <c r="B847" s="7"/>
      <c r="C847" s="6"/>
      <c r="D847" s="6"/>
      <c r="E847" s="6"/>
      <c r="F847" s="6"/>
      <c r="G847" s="12"/>
      <c r="H847" s="12"/>
      <c r="I847" s="9" t="str">
        <f t="shared" si="13"/>
        <v/>
      </c>
      <c r="J847" s="7"/>
      <c r="K847" s="6"/>
    </row>
    <row r="848" spans="1:11" x14ac:dyDescent="0.3">
      <c r="A848" s="6"/>
      <c r="B848" s="7"/>
      <c r="C848" s="6"/>
      <c r="D848" s="6"/>
      <c r="E848" s="6"/>
      <c r="F848" s="6"/>
      <c r="G848" s="12"/>
      <c r="H848" s="12"/>
      <c r="I848" s="9" t="str">
        <f t="shared" si="13"/>
        <v/>
      </c>
      <c r="J848" s="7"/>
      <c r="K848" s="6"/>
    </row>
    <row r="849" spans="1:11" x14ac:dyDescent="0.3">
      <c r="A849" s="6"/>
      <c r="B849" s="7"/>
      <c r="C849" s="6"/>
      <c r="D849" s="6"/>
      <c r="E849" s="6"/>
      <c r="F849" s="6"/>
      <c r="G849" s="12"/>
      <c r="H849" s="12"/>
      <c r="I849" s="9" t="str">
        <f t="shared" si="13"/>
        <v/>
      </c>
      <c r="J849" s="7"/>
      <c r="K849" s="6"/>
    </row>
    <row r="850" spans="1:11" x14ac:dyDescent="0.3">
      <c r="A850" s="6"/>
      <c r="B850" s="7"/>
      <c r="C850" s="6"/>
      <c r="D850" s="6"/>
      <c r="E850" s="6"/>
      <c r="F850" s="6"/>
      <c r="G850" s="12"/>
      <c r="H850" s="12"/>
      <c r="I850" s="9" t="str">
        <f t="shared" si="13"/>
        <v/>
      </c>
      <c r="J850" s="7"/>
      <c r="K850" s="6"/>
    </row>
    <row r="851" spans="1:11" x14ac:dyDescent="0.3">
      <c r="A851" s="6"/>
      <c r="B851" s="7"/>
      <c r="C851" s="6"/>
      <c r="D851" s="6"/>
      <c r="E851" s="6"/>
      <c r="F851" s="6"/>
      <c r="G851" s="12"/>
      <c r="H851" s="12"/>
      <c r="I851" s="9" t="str">
        <f t="shared" si="13"/>
        <v/>
      </c>
      <c r="J851" s="7"/>
      <c r="K851" s="6"/>
    </row>
    <row r="852" spans="1:11" x14ac:dyDescent="0.3">
      <c r="A852" s="6"/>
      <c r="B852" s="7"/>
      <c r="C852" s="6"/>
      <c r="D852" s="6"/>
      <c r="E852" s="6"/>
      <c r="F852" s="6"/>
      <c r="G852" s="12"/>
      <c r="H852" s="12"/>
      <c r="I852" s="9" t="str">
        <f t="shared" si="13"/>
        <v/>
      </c>
      <c r="J852" s="7"/>
      <c r="K852" s="6"/>
    </row>
    <row r="853" spans="1:11" x14ac:dyDescent="0.3">
      <c r="A853" s="6"/>
      <c r="B853" s="7"/>
      <c r="C853" s="6"/>
      <c r="D853" s="6"/>
      <c r="E853" s="6"/>
      <c r="F853" s="6"/>
      <c r="G853" s="12"/>
      <c r="H853" s="12"/>
      <c r="I853" s="9" t="str">
        <f t="shared" si="13"/>
        <v/>
      </c>
      <c r="J853" s="7"/>
      <c r="K853" s="6"/>
    </row>
    <row r="854" spans="1:11" x14ac:dyDescent="0.3">
      <c r="A854" s="6"/>
      <c r="B854" s="7"/>
      <c r="C854" s="6"/>
      <c r="D854" s="6"/>
      <c r="E854" s="6"/>
      <c r="F854" s="6"/>
      <c r="G854" s="12"/>
      <c r="H854" s="12"/>
      <c r="I854" s="9" t="str">
        <f t="shared" si="13"/>
        <v/>
      </c>
      <c r="J854" s="7"/>
      <c r="K854" s="6"/>
    </row>
    <row r="855" spans="1:11" x14ac:dyDescent="0.3">
      <c r="A855" s="6"/>
      <c r="B855" s="7"/>
      <c r="C855" s="6"/>
      <c r="D855" s="6"/>
      <c r="E855" s="6"/>
      <c r="F855" s="6"/>
      <c r="G855" s="12"/>
      <c r="H855" s="12"/>
      <c r="I855" s="9" t="str">
        <f t="shared" si="13"/>
        <v/>
      </c>
      <c r="J855" s="7"/>
      <c r="K855" s="6"/>
    </row>
    <row r="856" spans="1:11" x14ac:dyDescent="0.3">
      <c r="A856" s="6"/>
      <c r="B856" s="7"/>
      <c r="C856" s="6"/>
      <c r="D856" s="6"/>
      <c r="E856" s="6"/>
      <c r="F856" s="6"/>
      <c r="G856" s="12"/>
      <c r="H856" s="12"/>
      <c r="I856" s="9" t="str">
        <f t="shared" si="13"/>
        <v/>
      </c>
      <c r="J856" s="7"/>
      <c r="K856" s="6"/>
    </row>
    <row r="857" spans="1:11" x14ac:dyDescent="0.3">
      <c r="A857" s="6"/>
      <c r="B857" s="7"/>
      <c r="C857" s="6"/>
      <c r="D857" s="6"/>
      <c r="E857" s="6"/>
      <c r="F857" s="6"/>
      <c r="G857" s="12"/>
      <c r="H857" s="12"/>
      <c r="I857" s="9" t="str">
        <f t="shared" si="13"/>
        <v/>
      </c>
      <c r="J857" s="7"/>
      <c r="K857" s="6"/>
    </row>
    <row r="858" spans="1:11" x14ac:dyDescent="0.3">
      <c r="A858" s="6"/>
      <c r="B858" s="7"/>
      <c r="C858" s="6"/>
      <c r="D858" s="6"/>
      <c r="E858" s="6"/>
      <c r="F858" s="6"/>
      <c r="G858" s="12"/>
      <c r="H858" s="12"/>
      <c r="I858" s="9" t="str">
        <f t="shared" si="13"/>
        <v/>
      </c>
      <c r="J858" s="7"/>
      <c r="K858" s="6"/>
    </row>
    <row r="859" spans="1:11" x14ac:dyDescent="0.3">
      <c r="A859" s="6"/>
      <c r="B859" s="7"/>
      <c r="C859" s="6"/>
      <c r="D859" s="6"/>
      <c r="E859" s="6"/>
      <c r="F859" s="6"/>
      <c r="G859" s="12"/>
      <c r="H859" s="12"/>
      <c r="I859" s="9" t="str">
        <f t="shared" si="13"/>
        <v/>
      </c>
      <c r="J859" s="7"/>
      <c r="K859" s="6"/>
    </row>
    <row r="860" spans="1:11" x14ac:dyDescent="0.3">
      <c r="A860" s="6"/>
      <c r="B860" s="7"/>
      <c r="C860" s="6"/>
      <c r="D860" s="6"/>
      <c r="E860" s="6"/>
      <c r="F860" s="6"/>
      <c r="G860" s="12"/>
      <c r="H860" s="12"/>
      <c r="I860" s="9" t="str">
        <f t="shared" si="13"/>
        <v/>
      </c>
      <c r="J860" s="7"/>
      <c r="K860" s="6"/>
    </row>
    <row r="861" spans="1:11" x14ac:dyDescent="0.3">
      <c r="A861" s="6"/>
      <c r="B861" s="7"/>
      <c r="C861" s="6"/>
      <c r="D861" s="6"/>
      <c r="E861" s="6"/>
      <c r="F861" s="6"/>
      <c r="G861" s="12"/>
      <c r="H861" s="12"/>
      <c r="I861" s="9" t="str">
        <f t="shared" si="13"/>
        <v/>
      </c>
      <c r="J861" s="7"/>
      <c r="K861" s="6"/>
    </row>
    <row r="862" spans="1:11" x14ac:dyDescent="0.3">
      <c r="A862" s="6"/>
      <c r="B862" s="7"/>
      <c r="C862" s="6"/>
      <c r="D862" s="6"/>
      <c r="E862" s="6"/>
      <c r="F862" s="6"/>
      <c r="G862" s="12"/>
      <c r="H862" s="12"/>
      <c r="I862" s="9" t="str">
        <f t="shared" si="13"/>
        <v/>
      </c>
      <c r="J862" s="7"/>
      <c r="K862" s="6"/>
    </row>
    <row r="863" spans="1:11" x14ac:dyDescent="0.3">
      <c r="A863" s="6"/>
      <c r="B863" s="7"/>
      <c r="C863" s="6"/>
      <c r="D863" s="6"/>
      <c r="E863" s="6"/>
      <c r="F863" s="6"/>
      <c r="G863" s="12"/>
      <c r="H863" s="12"/>
      <c r="I863" s="9" t="str">
        <f t="shared" si="13"/>
        <v/>
      </c>
      <c r="J863" s="7"/>
      <c r="K863" s="6"/>
    </row>
    <row r="864" spans="1:11" x14ac:dyDescent="0.3">
      <c r="A864" s="6"/>
      <c r="B864" s="7"/>
      <c r="C864" s="6"/>
      <c r="D864" s="6"/>
      <c r="E864" s="6"/>
      <c r="F864" s="6"/>
      <c r="G864" s="12"/>
      <c r="H864" s="12"/>
      <c r="I864" s="9" t="str">
        <f t="shared" si="13"/>
        <v/>
      </c>
      <c r="J864" s="7"/>
      <c r="K864" s="6"/>
    </row>
    <row r="865" spans="1:11" x14ac:dyDescent="0.3">
      <c r="A865" s="6"/>
      <c r="B865" s="7"/>
      <c r="C865" s="6"/>
      <c r="D865" s="6"/>
      <c r="E865" s="6"/>
      <c r="F865" s="6"/>
      <c r="G865" s="12"/>
      <c r="H865" s="12"/>
      <c r="I865" s="9" t="str">
        <f t="shared" si="13"/>
        <v/>
      </c>
      <c r="J865" s="7"/>
      <c r="K865" s="6"/>
    </row>
    <row r="866" spans="1:11" x14ac:dyDescent="0.3">
      <c r="A866" s="6"/>
      <c r="B866" s="7"/>
      <c r="C866" s="6"/>
      <c r="D866" s="6"/>
      <c r="E866" s="6"/>
      <c r="F866" s="6"/>
      <c r="G866" s="12"/>
      <c r="H866" s="12"/>
      <c r="I866" s="9" t="str">
        <f t="shared" si="13"/>
        <v/>
      </c>
      <c r="J866" s="7"/>
      <c r="K866" s="6"/>
    </row>
    <row r="867" spans="1:11" x14ac:dyDescent="0.3">
      <c r="A867" s="6"/>
      <c r="B867" s="7"/>
      <c r="C867" s="6"/>
      <c r="D867" s="6"/>
      <c r="E867" s="6"/>
      <c r="F867" s="6"/>
      <c r="G867" s="12"/>
      <c r="H867" s="12"/>
      <c r="I867" s="9" t="str">
        <f t="shared" si="13"/>
        <v/>
      </c>
      <c r="J867" s="7"/>
      <c r="K867" s="6"/>
    </row>
    <row r="868" spans="1:11" x14ac:dyDescent="0.3">
      <c r="A868" s="6"/>
      <c r="B868" s="7"/>
      <c r="C868" s="6"/>
      <c r="D868" s="6"/>
      <c r="E868" s="6"/>
      <c r="F868" s="6"/>
      <c r="G868" s="12"/>
      <c r="H868" s="12"/>
      <c r="I868" s="9" t="str">
        <f t="shared" si="13"/>
        <v/>
      </c>
      <c r="J868" s="7"/>
      <c r="K868" s="6"/>
    </row>
    <row r="869" spans="1:11" x14ac:dyDescent="0.3">
      <c r="A869" s="6"/>
      <c r="B869" s="7"/>
      <c r="C869" s="6"/>
      <c r="D869" s="6"/>
      <c r="E869" s="6"/>
      <c r="F869" s="6"/>
      <c r="G869" s="12"/>
      <c r="H869" s="12"/>
      <c r="I869" s="9" t="str">
        <f t="shared" si="13"/>
        <v/>
      </c>
      <c r="J869" s="7"/>
      <c r="K869" s="6"/>
    </row>
    <row r="870" spans="1:11" x14ac:dyDescent="0.3">
      <c r="A870" s="6"/>
      <c r="B870" s="7"/>
      <c r="C870" s="6"/>
      <c r="D870" s="6"/>
      <c r="E870" s="6"/>
      <c r="F870" s="6"/>
      <c r="G870" s="12"/>
      <c r="H870" s="12"/>
      <c r="I870" s="9" t="str">
        <f t="shared" si="13"/>
        <v/>
      </c>
      <c r="J870" s="7"/>
      <c r="K870" s="6"/>
    </row>
    <row r="871" spans="1:11" x14ac:dyDescent="0.3">
      <c r="A871" s="6"/>
      <c r="B871" s="7"/>
      <c r="C871" s="6"/>
      <c r="D871" s="6"/>
      <c r="E871" s="6"/>
      <c r="F871" s="6"/>
      <c r="G871" s="12"/>
      <c r="H871" s="12"/>
      <c r="I871" s="9" t="str">
        <f t="shared" si="13"/>
        <v/>
      </c>
      <c r="J871" s="7"/>
      <c r="K871" s="6"/>
    </row>
    <row r="872" spans="1:11" x14ac:dyDescent="0.3">
      <c r="A872" s="6"/>
      <c r="B872" s="7"/>
      <c r="C872" s="6"/>
      <c r="D872" s="6"/>
      <c r="E872" s="6"/>
      <c r="F872" s="6"/>
      <c r="G872" s="12"/>
      <c r="H872" s="12"/>
      <c r="I872" s="9" t="str">
        <f t="shared" si="13"/>
        <v/>
      </c>
      <c r="J872" s="7"/>
      <c r="K872" s="6"/>
    </row>
    <row r="873" spans="1:11" x14ac:dyDescent="0.3">
      <c r="A873" s="6"/>
      <c r="B873" s="7"/>
      <c r="C873" s="6"/>
      <c r="D873" s="6"/>
      <c r="E873" s="6"/>
      <c r="F873" s="6"/>
      <c r="G873" s="12"/>
      <c r="H873" s="12"/>
      <c r="I873" s="9" t="str">
        <f t="shared" si="13"/>
        <v/>
      </c>
      <c r="J873" s="7"/>
      <c r="K873" s="6"/>
    </row>
    <row r="874" spans="1:11" x14ac:dyDescent="0.3">
      <c r="A874" s="6"/>
      <c r="B874" s="7"/>
      <c r="C874" s="6"/>
      <c r="D874" s="6"/>
      <c r="E874" s="6"/>
      <c r="F874" s="6"/>
      <c r="G874" s="12"/>
      <c r="H874" s="12"/>
      <c r="I874" s="9" t="str">
        <f t="shared" si="13"/>
        <v/>
      </c>
      <c r="J874" s="7"/>
      <c r="K874" s="6"/>
    </row>
    <row r="875" spans="1:11" x14ac:dyDescent="0.3">
      <c r="A875" s="6"/>
      <c r="B875" s="7"/>
      <c r="C875" s="6"/>
      <c r="D875" s="6"/>
      <c r="E875" s="6"/>
      <c r="F875" s="6"/>
      <c r="G875" s="12"/>
      <c r="H875" s="12"/>
      <c r="I875" s="9" t="str">
        <f t="shared" si="13"/>
        <v/>
      </c>
      <c r="J875" s="7"/>
      <c r="K875" s="6"/>
    </row>
    <row r="876" spans="1:11" x14ac:dyDescent="0.3">
      <c r="A876" s="6"/>
      <c r="B876" s="7"/>
      <c r="C876" s="6"/>
      <c r="D876" s="6"/>
      <c r="E876" s="6"/>
      <c r="F876" s="6"/>
      <c r="G876" s="12"/>
      <c r="H876" s="12"/>
      <c r="I876" s="9" t="str">
        <f t="shared" si="13"/>
        <v/>
      </c>
      <c r="J876" s="7"/>
      <c r="K876" s="6"/>
    </row>
    <row r="877" spans="1:11" x14ac:dyDescent="0.3">
      <c r="A877" s="6"/>
      <c r="B877" s="7"/>
      <c r="C877" s="6"/>
      <c r="D877" s="6"/>
      <c r="E877" s="6"/>
      <c r="F877" s="6"/>
      <c r="G877" s="12"/>
      <c r="H877" s="12"/>
      <c r="I877" s="9" t="str">
        <f t="shared" si="13"/>
        <v/>
      </c>
      <c r="J877" s="7"/>
      <c r="K877" s="6"/>
    </row>
    <row r="878" spans="1:11" x14ac:dyDescent="0.3">
      <c r="A878" s="6"/>
      <c r="B878" s="7"/>
      <c r="C878" s="6"/>
      <c r="D878" s="6"/>
      <c r="E878" s="6"/>
      <c r="F878" s="6"/>
      <c r="G878" s="12"/>
      <c r="H878" s="12"/>
      <c r="I878" s="9" t="str">
        <f t="shared" si="13"/>
        <v/>
      </c>
      <c r="J878" s="7"/>
      <c r="K878" s="6"/>
    </row>
    <row r="879" spans="1:11" x14ac:dyDescent="0.3">
      <c r="A879" s="6"/>
      <c r="B879" s="7"/>
      <c r="C879" s="6"/>
      <c r="D879" s="6"/>
      <c r="E879" s="6"/>
      <c r="F879" s="6"/>
      <c r="G879" s="12"/>
      <c r="H879" s="12"/>
      <c r="I879" s="9" t="str">
        <f t="shared" si="13"/>
        <v/>
      </c>
      <c r="J879" s="7"/>
      <c r="K879" s="6"/>
    </row>
    <row r="880" spans="1:11" x14ac:dyDescent="0.3">
      <c r="A880" s="6"/>
      <c r="B880" s="7"/>
      <c r="C880" s="6"/>
      <c r="D880" s="6"/>
      <c r="E880" s="6"/>
      <c r="F880" s="6"/>
      <c r="G880" s="12"/>
      <c r="H880" s="12"/>
      <c r="I880" s="9" t="str">
        <f t="shared" si="13"/>
        <v/>
      </c>
      <c r="J880" s="7"/>
      <c r="K880" s="6"/>
    </row>
    <row r="881" spans="1:11" x14ac:dyDescent="0.3">
      <c r="A881" s="6"/>
      <c r="B881" s="7"/>
      <c r="C881" s="6"/>
      <c r="D881" s="6"/>
      <c r="E881" s="6"/>
      <c r="F881" s="6"/>
      <c r="G881" s="12"/>
      <c r="H881" s="12"/>
      <c r="I881" s="9" t="str">
        <f t="shared" si="13"/>
        <v/>
      </c>
      <c r="J881" s="7"/>
      <c r="K881" s="6"/>
    </row>
    <row r="882" spans="1:11" x14ac:dyDescent="0.3">
      <c r="A882" s="6"/>
      <c r="B882" s="7"/>
      <c r="C882" s="6"/>
      <c r="D882" s="6"/>
      <c r="E882" s="6"/>
      <c r="F882" s="6"/>
      <c r="G882" s="12"/>
      <c r="H882" s="12"/>
      <c r="I882" s="9" t="str">
        <f t="shared" si="13"/>
        <v/>
      </c>
      <c r="J882" s="7"/>
      <c r="K882" s="6"/>
    </row>
    <row r="883" spans="1:11" x14ac:dyDescent="0.3">
      <c r="A883" s="6"/>
      <c r="B883" s="7"/>
      <c r="C883" s="6"/>
      <c r="D883" s="6"/>
      <c r="E883" s="6"/>
      <c r="F883" s="6"/>
      <c r="G883" s="12"/>
      <c r="H883" s="12"/>
      <c r="I883" s="9" t="str">
        <f t="shared" si="13"/>
        <v/>
      </c>
      <c r="J883" s="7"/>
      <c r="K883" s="6"/>
    </row>
    <row r="884" spans="1:11" x14ac:dyDescent="0.3">
      <c r="A884" s="6"/>
      <c r="B884" s="7"/>
      <c r="C884" s="6"/>
      <c r="D884" s="6"/>
      <c r="E884" s="6"/>
      <c r="F884" s="6"/>
      <c r="G884" s="12"/>
      <c r="H884" s="12"/>
      <c r="I884" s="9" t="str">
        <f t="shared" si="13"/>
        <v/>
      </c>
      <c r="J884" s="7"/>
      <c r="K884" s="6"/>
    </row>
    <row r="885" spans="1:11" x14ac:dyDescent="0.3">
      <c r="A885" s="6"/>
      <c r="B885" s="7"/>
      <c r="C885" s="6"/>
      <c r="D885" s="6"/>
      <c r="E885" s="6"/>
      <c r="F885" s="6"/>
      <c r="G885" s="12"/>
      <c r="H885" s="12"/>
      <c r="I885" s="9" t="str">
        <f t="shared" ref="I885:I948" si="14">IF(AND(G885&lt;&gt;"",H885&lt;&gt;""),MOD(H885-G885,1)*24,"")</f>
        <v/>
      </c>
      <c r="J885" s="7"/>
      <c r="K885" s="6"/>
    </row>
    <row r="886" spans="1:11" x14ac:dyDescent="0.3">
      <c r="A886" s="6"/>
      <c r="B886" s="7"/>
      <c r="C886" s="6"/>
      <c r="D886" s="6"/>
      <c r="E886" s="6"/>
      <c r="F886" s="6"/>
      <c r="G886" s="12"/>
      <c r="H886" s="12"/>
      <c r="I886" s="9" t="str">
        <f t="shared" si="14"/>
        <v/>
      </c>
      <c r="J886" s="7"/>
      <c r="K886" s="6"/>
    </row>
    <row r="887" spans="1:11" x14ac:dyDescent="0.3">
      <c r="A887" s="6"/>
      <c r="B887" s="7"/>
      <c r="C887" s="6"/>
      <c r="D887" s="6"/>
      <c r="E887" s="6"/>
      <c r="F887" s="6"/>
      <c r="G887" s="12"/>
      <c r="H887" s="12"/>
      <c r="I887" s="9" t="str">
        <f t="shared" si="14"/>
        <v/>
      </c>
      <c r="J887" s="7"/>
      <c r="K887" s="6"/>
    </row>
    <row r="888" spans="1:11" x14ac:dyDescent="0.3">
      <c r="A888" s="6"/>
      <c r="B888" s="7"/>
      <c r="C888" s="6"/>
      <c r="D888" s="6"/>
      <c r="E888" s="6"/>
      <c r="F888" s="6"/>
      <c r="G888" s="12"/>
      <c r="H888" s="12"/>
      <c r="I888" s="9" t="str">
        <f t="shared" si="14"/>
        <v/>
      </c>
      <c r="J888" s="7"/>
      <c r="K888" s="6"/>
    </row>
    <row r="889" spans="1:11" x14ac:dyDescent="0.3">
      <c r="A889" s="6"/>
      <c r="B889" s="7"/>
      <c r="C889" s="6"/>
      <c r="D889" s="6"/>
      <c r="E889" s="6"/>
      <c r="F889" s="6"/>
      <c r="G889" s="12"/>
      <c r="H889" s="12"/>
      <c r="I889" s="9" t="str">
        <f t="shared" si="14"/>
        <v/>
      </c>
      <c r="J889" s="7"/>
      <c r="K889" s="6"/>
    </row>
    <row r="890" spans="1:11" x14ac:dyDescent="0.3">
      <c r="A890" s="6"/>
      <c r="B890" s="7"/>
      <c r="C890" s="6"/>
      <c r="D890" s="6"/>
      <c r="E890" s="6"/>
      <c r="F890" s="6"/>
      <c r="G890" s="12"/>
      <c r="H890" s="12"/>
      <c r="I890" s="9" t="str">
        <f t="shared" si="14"/>
        <v/>
      </c>
      <c r="J890" s="7"/>
      <c r="K890" s="6"/>
    </row>
    <row r="891" spans="1:11" x14ac:dyDescent="0.3">
      <c r="A891" s="6"/>
      <c r="B891" s="7"/>
      <c r="C891" s="6"/>
      <c r="D891" s="6"/>
      <c r="E891" s="6"/>
      <c r="F891" s="6"/>
      <c r="G891" s="12"/>
      <c r="H891" s="12"/>
      <c r="I891" s="9" t="str">
        <f t="shared" si="14"/>
        <v/>
      </c>
      <c r="J891" s="7"/>
      <c r="K891" s="6"/>
    </row>
    <row r="892" spans="1:11" x14ac:dyDescent="0.3">
      <c r="A892" s="6"/>
      <c r="B892" s="7"/>
      <c r="C892" s="6"/>
      <c r="D892" s="6"/>
      <c r="E892" s="6"/>
      <c r="F892" s="6"/>
      <c r="G892" s="12"/>
      <c r="H892" s="12"/>
      <c r="I892" s="9" t="str">
        <f t="shared" si="14"/>
        <v/>
      </c>
      <c r="J892" s="7"/>
      <c r="K892" s="6"/>
    </row>
    <row r="893" spans="1:11" x14ac:dyDescent="0.3">
      <c r="A893" s="6"/>
      <c r="B893" s="7"/>
      <c r="C893" s="6"/>
      <c r="D893" s="6"/>
      <c r="E893" s="6"/>
      <c r="F893" s="6"/>
      <c r="G893" s="12"/>
      <c r="H893" s="12"/>
      <c r="I893" s="9" t="str">
        <f t="shared" si="14"/>
        <v/>
      </c>
      <c r="J893" s="7"/>
      <c r="K893" s="6"/>
    </row>
    <row r="894" spans="1:11" x14ac:dyDescent="0.3">
      <c r="A894" s="6"/>
      <c r="B894" s="7"/>
      <c r="C894" s="6"/>
      <c r="D894" s="6"/>
      <c r="E894" s="6"/>
      <c r="F894" s="6"/>
      <c r="G894" s="12"/>
      <c r="H894" s="12"/>
      <c r="I894" s="9" t="str">
        <f t="shared" si="14"/>
        <v/>
      </c>
      <c r="J894" s="7"/>
      <c r="K894" s="6"/>
    </row>
    <row r="895" spans="1:11" x14ac:dyDescent="0.3">
      <c r="A895" s="6"/>
      <c r="B895" s="7"/>
      <c r="C895" s="6"/>
      <c r="D895" s="6"/>
      <c r="E895" s="6"/>
      <c r="F895" s="6"/>
      <c r="G895" s="12"/>
      <c r="H895" s="12"/>
      <c r="I895" s="9" t="str">
        <f t="shared" si="14"/>
        <v/>
      </c>
      <c r="J895" s="7"/>
      <c r="K895" s="6"/>
    </row>
    <row r="896" spans="1:11" x14ac:dyDescent="0.3">
      <c r="A896" s="6"/>
      <c r="B896" s="7"/>
      <c r="C896" s="6"/>
      <c r="D896" s="6"/>
      <c r="E896" s="6"/>
      <c r="F896" s="6"/>
      <c r="G896" s="12"/>
      <c r="H896" s="12"/>
      <c r="I896" s="9" t="str">
        <f t="shared" si="14"/>
        <v/>
      </c>
      <c r="J896" s="7"/>
      <c r="K896" s="6"/>
    </row>
    <row r="897" spans="1:11" x14ac:dyDescent="0.3">
      <c r="A897" s="6"/>
      <c r="B897" s="7"/>
      <c r="C897" s="6"/>
      <c r="D897" s="6"/>
      <c r="E897" s="6"/>
      <c r="F897" s="6"/>
      <c r="G897" s="12"/>
      <c r="H897" s="12"/>
      <c r="I897" s="9" t="str">
        <f t="shared" si="14"/>
        <v/>
      </c>
      <c r="J897" s="7"/>
      <c r="K897" s="6"/>
    </row>
    <row r="898" spans="1:11" x14ac:dyDescent="0.3">
      <c r="A898" s="6"/>
      <c r="B898" s="7"/>
      <c r="C898" s="6"/>
      <c r="D898" s="6"/>
      <c r="E898" s="6"/>
      <c r="F898" s="6"/>
      <c r="G898" s="12"/>
      <c r="H898" s="12"/>
      <c r="I898" s="9" t="str">
        <f t="shared" si="14"/>
        <v/>
      </c>
      <c r="J898" s="7"/>
      <c r="K898" s="6"/>
    </row>
    <row r="899" spans="1:11" x14ac:dyDescent="0.3">
      <c r="A899" s="6"/>
      <c r="B899" s="7"/>
      <c r="C899" s="6"/>
      <c r="D899" s="6"/>
      <c r="E899" s="6"/>
      <c r="F899" s="6"/>
      <c r="G899" s="12"/>
      <c r="H899" s="12"/>
      <c r="I899" s="9" t="str">
        <f t="shared" si="14"/>
        <v/>
      </c>
      <c r="J899" s="7"/>
      <c r="K899" s="6"/>
    </row>
    <row r="900" spans="1:11" x14ac:dyDescent="0.3">
      <c r="A900" s="6"/>
      <c r="B900" s="7"/>
      <c r="C900" s="6"/>
      <c r="D900" s="6"/>
      <c r="E900" s="6"/>
      <c r="F900" s="6"/>
      <c r="G900" s="12"/>
      <c r="H900" s="12"/>
      <c r="I900" s="9" t="str">
        <f t="shared" si="14"/>
        <v/>
      </c>
      <c r="J900" s="7"/>
      <c r="K900" s="6"/>
    </row>
    <row r="901" spans="1:11" x14ac:dyDescent="0.3">
      <c r="A901" s="6"/>
      <c r="B901" s="7"/>
      <c r="C901" s="6"/>
      <c r="D901" s="6"/>
      <c r="E901" s="6"/>
      <c r="F901" s="6"/>
      <c r="G901" s="12"/>
      <c r="H901" s="12"/>
      <c r="I901" s="9" t="str">
        <f t="shared" si="14"/>
        <v/>
      </c>
      <c r="J901" s="7"/>
      <c r="K901" s="6"/>
    </row>
    <row r="902" spans="1:11" x14ac:dyDescent="0.3">
      <c r="A902" s="6"/>
      <c r="B902" s="7"/>
      <c r="C902" s="6"/>
      <c r="D902" s="6"/>
      <c r="E902" s="6"/>
      <c r="F902" s="6"/>
      <c r="G902" s="12"/>
      <c r="H902" s="12"/>
      <c r="I902" s="9" t="str">
        <f t="shared" si="14"/>
        <v/>
      </c>
      <c r="J902" s="7"/>
      <c r="K902" s="6"/>
    </row>
    <row r="903" spans="1:11" x14ac:dyDescent="0.3">
      <c r="A903" s="6"/>
      <c r="B903" s="7"/>
      <c r="C903" s="6"/>
      <c r="D903" s="6"/>
      <c r="E903" s="6"/>
      <c r="F903" s="6"/>
      <c r="G903" s="12"/>
      <c r="H903" s="12"/>
      <c r="I903" s="9" t="str">
        <f t="shared" si="14"/>
        <v/>
      </c>
      <c r="J903" s="7"/>
      <c r="K903" s="6"/>
    </row>
    <row r="904" spans="1:11" x14ac:dyDescent="0.3">
      <c r="A904" s="6"/>
      <c r="B904" s="7"/>
      <c r="C904" s="6"/>
      <c r="D904" s="6"/>
      <c r="E904" s="6"/>
      <c r="F904" s="6"/>
      <c r="G904" s="12"/>
      <c r="H904" s="12"/>
      <c r="I904" s="9" t="str">
        <f t="shared" si="14"/>
        <v/>
      </c>
      <c r="J904" s="7"/>
      <c r="K904" s="6"/>
    </row>
    <row r="905" spans="1:11" x14ac:dyDescent="0.3">
      <c r="A905" s="6"/>
      <c r="B905" s="7"/>
      <c r="C905" s="6"/>
      <c r="D905" s="6"/>
      <c r="E905" s="6"/>
      <c r="F905" s="6"/>
      <c r="G905" s="12"/>
      <c r="H905" s="12"/>
      <c r="I905" s="9" t="str">
        <f t="shared" si="14"/>
        <v/>
      </c>
      <c r="J905" s="7"/>
      <c r="K905" s="6"/>
    </row>
    <row r="906" spans="1:11" x14ac:dyDescent="0.3">
      <c r="A906" s="6"/>
      <c r="B906" s="7"/>
      <c r="C906" s="6"/>
      <c r="D906" s="6"/>
      <c r="E906" s="6"/>
      <c r="F906" s="6"/>
      <c r="G906" s="12"/>
      <c r="H906" s="12"/>
      <c r="I906" s="9" t="str">
        <f t="shared" si="14"/>
        <v/>
      </c>
      <c r="J906" s="7"/>
      <c r="K906" s="6"/>
    </row>
    <row r="907" spans="1:11" x14ac:dyDescent="0.3">
      <c r="A907" s="6"/>
      <c r="B907" s="7"/>
      <c r="C907" s="6"/>
      <c r="D907" s="6"/>
      <c r="E907" s="6"/>
      <c r="F907" s="6"/>
      <c r="G907" s="12"/>
      <c r="H907" s="12"/>
      <c r="I907" s="9" t="str">
        <f t="shared" si="14"/>
        <v/>
      </c>
      <c r="J907" s="7"/>
      <c r="K907" s="6"/>
    </row>
    <row r="908" spans="1:11" x14ac:dyDescent="0.3">
      <c r="A908" s="6"/>
      <c r="B908" s="7"/>
      <c r="C908" s="6"/>
      <c r="D908" s="6"/>
      <c r="E908" s="6"/>
      <c r="F908" s="6"/>
      <c r="G908" s="12"/>
      <c r="H908" s="12"/>
      <c r="I908" s="9" t="str">
        <f t="shared" si="14"/>
        <v/>
      </c>
      <c r="J908" s="7"/>
      <c r="K908" s="6"/>
    </row>
    <row r="909" spans="1:11" x14ac:dyDescent="0.3">
      <c r="A909" s="6"/>
      <c r="B909" s="7"/>
      <c r="C909" s="6"/>
      <c r="D909" s="6"/>
      <c r="E909" s="6"/>
      <c r="F909" s="6"/>
      <c r="G909" s="12"/>
      <c r="H909" s="12"/>
      <c r="I909" s="9" t="str">
        <f t="shared" si="14"/>
        <v/>
      </c>
      <c r="J909" s="7"/>
      <c r="K909" s="6"/>
    </row>
    <row r="910" spans="1:11" x14ac:dyDescent="0.3">
      <c r="A910" s="6"/>
      <c r="B910" s="7"/>
      <c r="C910" s="6"/>
      <c r="D910" s="6"/>
      <c r="E910" s="6"/>
      <c r="F910" s="6"/>
      <c r="G910" s="12"/>
      <c r="H910" s="12"/>
      <c r="I910" s="9" t="str">
        <f t="shared" si="14"/>
        <v/>
      </c>
      <c r="J910" s="7"/>
      <c r="K910" s="6"/>
    </row>
    <row r="911" spans="1:11" x14ac:dyDescent="0.3">
      <c r="A911" s="6"/>
      <c r="B911" s="7"/>
      <c r="C911" s="6"/>
      <c r="D911" s="6"/>
      <c r="E911" s="6"/>
      <c r="F911" s="6"/>
      <c r="G911" s="12"/>
      <c r="H911" s="12"/>
      <c r="I911" s="9" t="str">
        <f t="shared" si="14"/>
        <v/>
      </c>
      <c r="J911" s="7"/>
      <c r="K911" s="6"/>
    </row>
    <row r="912" spans="1:11" x14ac:dyDescent="0.3">
      <c r="A912" s="6"/>
      <c r="B912" s="7"/>
      <c r="C912" s="6"/>
      <c r="D912" s="6"/>
      <c r="E912" s="6"/>
      <c r="F912" s="6"/>
      <c r="G912" s="12"/>
      <c r="H912" s="12"/>
      <c r="I912" s="9" t="str">
        <f t="shared" si="14"/>
        <v/>
      </c>
      <c r="J912" s="7"/>
      <c r="K912" s="6"/>
    </row>
    <row r="913" spans="1:11" x14ac:dyDescent="0.3">
      <c r="A913" s="6"/>
      <c r="B913" s="7"/>
      <c r="C913" s="6"/>
      <c r="D913" s="6"/>
      <c r="E913" s="6"/>
      <c r="F913" s="6"/>
      <c r="G913" s="12"/>
      <c r="H913" s="12"/>
      <c r="I913" s="9" t="str">
        <f t="shared" si="14"/>
        <v/>
      </c>
      <c r="J913" s="7"/>
      <c r="K913" s="6"/>
    </row>
    <row r="914" spans="1:11" x14ac:dyDescent="0.3">
      <c r="A914" s="6"/>
      <c r="B914" s="7"/>
      <c r="C914" s="6"/>
      <c r="D914" s="6"/>
      <c r="E914" s="6"/>
      <c r="F914" s="6"/>
      <c r="G914" s="12"/>
      <c r="H914" s="12"/>
      <c r="I914" s="9" t="str">
        <f t="shared" si="14"/>
        <v/>
      </c>
      <c r="J914" s="7"/>
      <c r="K914" s="6"/>
    </row>
    <row r="915" spans="1:11" x14ac:dyDescent="0.3">
      <c r="A915" s="6"/>
      <c r="B915" s="7"/>
      <c r="C915" s="6"/>
      <c r="D915" s="6"/>
      <c r="E915" s="6"/>
      <c r="F915" s="6"/>
      <c r="G915" s="12"/>
      <c r="H915" s="12"/>
      <c r="I915" s="9" t="str">
        <f t="shared" si="14"/>
        <v/>
      </c>
      <c r="J915" s="7"/>
      <c r="K915" s="6"/>
    </row>
    <row r="916" spans="1:11" x14ac:dyDescent="0.3">
      <c r="A916" s="6"/>
      <c r="B916" s="7"/>
      <c r="C916" s="6"/>
      <c r="D916" s="6"/>
      <c r="E916" s="6"/>
      <c r="F916" s="6"/>
      <c r="G916" s="12"/>
      <c r="H916" s="12"/>
      <c r="I916" s="9" t="str">
        <f t="shared" si="14"/>
        <v/>
      </c>
      <c r="J916" s="7"/>
      <c r="K916" s="6"/>
    </row>
    <row r="917" spans="1:11" x14ac:dyDescent="0.3">
      <c r="A917" s="6"/>
      <c r="B917" s="7"/>
      <c r="C917" s="6"/>
      <c r="D917" s="6"/>
      <c r="E917" s="6"/>
      <c r="F917" s="6"/>
      <c r="G917" s="12"/>
      <c r="H917" s="12"/>
      <c r="I917" s="9" t="str">
        <f t="shared" si="14"/>
        <v/>
      </c>
      <c r="J917" s="7"/>
      <c r="K917" s="6"/>
    </row>
    <row r="918" spans="1:11" x14ac:dyDescent="0.3">
      <c r="A918" s="6"/>
      <c r="B918" s="7"/>
      <c r="C918" s="6"/>
      <c r="D918" s="6"/>
      <c r="E918" s="6"/>
      <c r="F918" s="6"/>
      <c r="G918" s="12"/>
      <c r="H918" s="12"/>
      <c r="I918" s="9" t="str">
        <f t="shared" si="14"/>
        <v/>
      </c>
      <c r="J918" s="7"/>
      <c r="K918" s="6"/>
    </row>
    <row r="919" spans="1:11" x14ac:dyDescent="0.3">
      <c r="A919" s="6"/>
      <c r="B919" s="7"/>
      <c r="C919" s="6"/>
      <c r="D919" s="6"/>
      <c r="E919" s="6"/>
      <c r="F919" s="6"/>
      <c r="G919" s="12"/>
      <c r="H919" s="12"/>
      <c r="I919" s="9" t="str">
        <f t="shared" si="14"/>
        <v/>
      </c>
      <c r="J919" s="7"/>
      <c r="K919" s="6"/>
    </row>
    <row r="920" spans="1:11" x14ac:dyDescent="0.3">
      <c r="A920" s="6"/>
      <c r="B920" s="7"/>
      <c r="C920" s="6"/>
      <c r="D920" s="6"/>
      <c r="E920" s="6"/>
      <c r="F920" s="6"/>
      <c r="G920" s="12"/>
      <c r="H920" s="12"/>
      <c r="I920" s="9" t="str">
        <f t="shared" si="14"/>
        <v/>
      </c>
      <c r="J920" s="7"/>
      <c r="K920" s="6"/>
    </row>
    <row r="921" spans="1:11" x14ac:dyDescent="0.3">
      <c r="A921" s="6"/>
      <c r="B921" s="7"/>
      <c r="C921" s="6"/>
      <c r="D921" s="6"/>
      <c r="E921" s="6"/>
      <c r="F921" s="6"/>
      <c r="G921" s="12"/>
      <c r="H921" s="12"/>
      <c r="I921" s="9" t="str">
        <f t="shared" si="14"/>
        <v/>
      </c>
      <c r="J921" s="7"/>
      <c r="K921" s="6"/>
    </row>
    <row r="922" spans="1:11" x14ac:dyDescent="0.3">
      <c r="A922" s="6"/>
      <c r="B922" s="7"/>
      <c r="C922" s="6"/>
      <c r="D922" s="6"/>
      <c r="E922" s="6"/>
      <c r="F922" s="6"/>
      <c r="G922" s="12"/>
      <c r="H922" s="12"/>
      <c r="I922" s="9" t="str">
        <f t="shared" si="14"/>
        <v/>
      </c>
      <c r="J922" s="7"/>
      <c r="K922" s="6"/>
    </row>
    <row r="923" spans="1:11" x14ac:dyDescent="0.3">
      <c r="A923" s="6"/>
      <c r="B923" s="7"/>
      <c r="C923" s="6"/>
      <c r="D923" s="6"/>
      <c r="E923" s="6"/>
      <c r="F923" s="6"/>
      <c r="G923" s="12"/>
      <c r="H923" s="12"/>
      <c r="I923" s="9" t="str">
        <f t="shared" si="14"/>
        <v/>
      </c>
      <c r="J923" s="7"/>
      <c r="K923" s="6"/>
    </row>
    <row r="924" spans="1:11" x14ac:dyDescent="0.3">
      <c r="A924" s="6"/>
      <c r="B924" s="7"/>
      <c r="C924" s="6"/>
      <c r="D924" s="6"/>
      <c r="E924" s="6"/>
      <c r="F924" s="6"/>
      <c r="G924" s="12"/>
      <c r="H924" s="12"/>
      <c r="I924" s="9" t="str">
        <f t="shared" si="14"/>
        <v/>
      </c>
      <c r="J924" s="7"/>
      <c r="K924" s="6"/>
    </row>
    <row r="925" spans="1:11" x14ac:dyDescent="0.3">
      <c r="A925" s="6"/>
      <c r="B925" s="7"/>
      <c r="C925" s="6"/>
      <c r="D925" s="6"/>
      <c r="E925" s="6"/>
      <c r="F925" s="6"/>
      <c r="G925" s="12"/>
      <c r="H925" s="12"/>
      <c r="I925" s="9" t="str">
        <f t="shared" si="14"/>
        <v/>
      </c>
      <c r="J925" s="7"/>
      <c r="K925" s="6"/>
    </row>
    <row r="926" spans="1:11" x14ac:dyDescent="0.3">
      <c r="A926" s="6"/>
      <c r="B926" s="7"/>
      <c r="C926" s="6"/>
      <c r="D926" s="6"/>
      <c r="E926" s="6"/>
      <c r="F926" s="6"/>
      <c r="G926" s="12"/>
      <c r="H926" s="12"/>
      <c r="I926" s="9" t="str">
        <f t="shared" si="14"/>
        <v/>
      </c>
      <c r="J926" s="7"/>
      <c r="K926" s="6"/>
    </row>
    <row r="927" spans="1:11" x14ac:dyDescent="0.3">
      <c r="A927" s="6"/>
      <c r="B927" s="7"/>
      <c r="C927" s="6"/>
      <c r="D927" s="6"/>
      <c r="E927" s="6"/>
      <c r="F927" s="6"/>
      <c r="G927" s="12"/>
      <c r="H927" s="12"/>
      <c r="I927" s="9" t="str">
        <f t="shared" si="14"/>
        <v/>
      </c>
      <c r="J927" s="7"/>
      <c r="K927" s="6"/>
    </row>
    <row r="928" spans="1:11" x14ac:dyDescent="0.3">
      <c r="A928" s="6"/>
      <c r="B928" s="7"/>
      <c r="C928" s="6"/>
      <c r="D928" s="6"/>
      <c r="E928" s="6"/>
      <c r="F928" s="6"/>
      <c r="G928" s="12"/>
      <c r="H928" s="12"/>
      <c r="I928" s="9" t="str">
        <f t="shared" si="14"/>
        <v/>
      </c>
      <c r="J928" s="7"/>
      <c r="K928" s="6"/>
    </row>
    <row r="929" spans="1:11" x14ac:dyDescent="0.3">
      <c r="A929" s="6"/>
      <c r="B929" s="7"/>
      <c r="C929" s="6"/>
      <c r="D929" s="6"/>
      <c r="E929" s="6"/>
      <c r="F929" s="6"/>
      <c r="G929" s="12"/>
      <c r="H929" s="12"/>
      <c r="I929" s="9" t="str">
        <f t="shared" si="14"/>
        <v/>
      </c>
      <c r="J929" s="7"/>
      <c r="K929" s="6"/>
    </row>
    <row r="930" spans="1:11" x14ac:dyDescent="0.3">
      <c r="A930" s="6"/>
      <c r="B930" s="7"/>
      <c r="C930" s="6"/>
      <c r="D930" s="6"/>
      <c r="E930" s="6"/>
      <c r="F930" s="6"/>
      <c r="G930" s="12"/>
      <c r="H930" s="12"/>
      <c r="I930" s="9" t="str">
        <f t="shared" si="14"/>
        <v/>
      </c>
      <c r="J930" s="7"/>
      <c r="K930" s="6"/>
    </row>
    <row r="931" spans="1:11" x14ac:dyDescent="0.3">
      <c r="A931" s="6"/>
      <c r="B931" s="7"/>
      <c r="C931" s="6"/>
      <c r="D931" s="6"/>
      <c r="E931" s="6"/>
      <c r="F931" s="6"/>
      <c r="G931" s="12"/>
      <c r="H931" s="12"/>
      <c r="I931" s="9" t="str">
        <f t="shared" si="14"/>
        <v/>
      </c>
      <c r="J931" s="7"/>
      <c r="K931" s="6"/>
    </row>
    <row r="932" spans="1:11" x14ac:dyDescent="0.3">
      <c r="A932" s="6"/>
      <c r="B932" s="7"/>
      <c r="C932" s="6"/>
      <c r="D932" s="6"/>
      <c r="E932" s="6"/>
      <c r="F932" s="6"/>
      <c r="G932" s="12"/>
      <c r="H932" s="12"/>
      <c r="I932" s="9" t="str">
        <f t="shared" si="14"/>
        <v/>
      </c>
      <c r="J932" s="7"/>
      <c r="K932" s="6"/>
    </row>
    <row r="933" spans="1:11" x14ac:dyDescent="0.3">
      <c r="A933" s="6"/>
      <c r="B933" s="7"/>
      <c r="C933" s="6"/>
      <c r="D933" s="6"/>
      <c r="E933" s="6"/>
      <c r="F933" s="6"/>
      <c r="G933" s="12"/>
      <c r="H933" s="12"/>
      <c r="I933" s="9" t="str">
        <f t="shared" si="14"/>
        <v/>
      </c>
      <c r="J933" s="7"/>
      <c r="K933" s="6"/>
    </row>
    <row r="934" spans="1:11" x14ac:dyDescent="0.3">
      <c r="A934" s="6"/>
      <c r="B934" s="7"/>
      <c r="C934" s="6"/>
      <c r="D934" s="6"/>
      <c r="E934" s="6"/>
      <c r="F934" s="6"/>
      <c r="G934" s="12"/>
      <c r="H934" s="12"/>
      <c r="I934" s="9" t="str">
        <f t="shared" si="14"/>
        <v/>
      </c>
      <c r="J934" s="7"/>
      <c r="K934" s="6"/>
    </row>
    <row r="935" spans="1:11" x14ac:dyDescent="0.3">
      <c r="A935" s="6"/>
      <c r="B935" s="7"/>
      <c r="C935" s="6"/>
      <c r="D935" s="6"/>
      <c r="E935" s="6"/>
      <c r="F935" s="6"/>
      <c r="G935" s="12"/>
      <c r="H935" s="12"/>
      <c r="I935" s="9" t="str">
        <f t="shared" si="14"/>
        <v/>
      </c>
      <c r="J935" s="7"/>
      <c r="K935" s="6"/>
    </row>
    <row r="936" spans="1:11" x14ac:dyDescent="0.3">
      <c r="A936" s="6"/>
      <c r="B936" s="7"/>
      <c r="C936" s="6"/>
      <c r="D936" s="6"/>
      <c r="E936" s="6"/>
      <c r="F936" s="6"/>
      <c r="G936" s="12"/>
      <c r="H936" s="12"/>
      <c r="I936" s="9" t="str">
        <f t="shared" si="14"/>
        <v/>
      </c>
      <c r="J936" s="7"/>
      <c r="K936" s="6"/>
    </row>
    <row r="937" spans="1:11" x14ac:dyDescent="0.3">
      <c r="A937" s="6"/>
      <c r="B937" s="7"/>
      <c r="C937" s="6"/>
      <c r="D937" s="6"/>
      <c r="E937" s="6"/>
      <c r="F937" s="6"/>
      <c r="G937" s="12"/>
      <c r="H937" s="12"/>
      <c r="I937" s="9" t="str">
        <f t="shared" si="14"/>
        <v/>
      </c>
      <c r="J937" s="7"/>
      <c r="K937" s="6"/>
    </row>
    <row r="938" spans="1:11" x14ac:dyDescent="0.3">
      <c r="A938" s="6"/>
      <c r="B938" s="7"/>
      <c r="C938" s="6"/>
      <c r="D938" s="6"/>
      <c r="E938" s="6"/>
      <c r="F938" s="6"/>
      <c r="G938" s="12"/>
      <c r="H938" s="12"/>
      <c r="I938" s="9" t="str">
        <f t="shared" si="14"/>
        <v/>
      </c>
      <c r="J938" s="7"/>
      <c r="K938" s="6"/>
    </row>
    <row r="939" spans="1:11" x14ac:dyDescent="0.3">
      <c r="A939" s="6"/>
      <c r="B939" s="7"/>
      <c r="C939" s="6"/>
      <c r="D939" s="6"/>
      <c r="E939" s="6"/>
      <c r="F939" s="6"/>
      <c r="G939" s="12"/>
      <c r="H939" s="12"/>
      <c r="I939" s="9" t="str">
        <f t="shared" si="14"/>
        <v/>
      </c>
      <c r="J939" s="7"/>
      <c r="K939" s="6"/>
    </row>
    <row r="940" spans="1:11" x14ac:dyDescent="0.3">
      <c r="A940" s="6"/>
      <c r="B940" s="7"/>
      <c r="C940" s="6"/>
      <c r="D940" s="6"/>
      <c r="E940" s="6"/>
      <c r="F940" s="6"/>
      <c r="G940" s="12"/>
      <c r="H940" s="12"/>
      <c r="I940" s="9" t="str">
        <f t="shared" si="14"/>
        <v/>
      </c>
      <c r="J940" s="7"/>
      <c r="K940" s="6"/>
    </row>
    <row r="941" spans="1:11" x14ac:dyDescent="0.3">
      <c r="A941" s="6"/>
      <c r="B941" s="7"/>
      <c r="C941" s="6"/>
      <c r="D941" s="6"/>
      <c r="E941" s="6"/>
      <c r="F941" s="6"/>
      <c r="G941" s="12"/>
      <c r="H941" s="12"/>
      <c r="I941" s="9" t="str">
        <f t="shared" si="14"/>
        <v/>
      </c>
      <c r="J941" s="7"/>
      <c r="K941" s="6"/>
    </row>
    <row r="942" spans="1:11" x14ac:dyDescent="0.3">
      <c r="A942" s="6"/>
      <c r="B942" s="7"/>
      <c r="C942" s="6"/>
      <c r="D942" s="6"/>
      <c r="E942" s="6"/>
      <c r="F942" s="6"/>
      <c r="G942" s="12"/>
      <c r="H942" s="12"/>
      <c r="I942" s="9" t="str">
        <f t="shared" si="14"/>
        <v/>
      </c>
      <c r="J942" s="7"/>
      <c r="K942" s="6"/>
    </row>
    <row r="943" spans="1:11" x14ac:dyDescent="0.3">
      <c r="A943" s="6"/>
      <c r="B943" s="7"/>
      <c r="C943" s="6"/>
      <c r="D943" s="6"/>
      <c r="E943" s="6"/>
      <c r="F943" s="6"/>
      <c r="G943" s="12"/>
      <c r="H943" s="12"/>
      <c r="I943" s="9" t="str">
        <f t="shared" si="14"/>
        <v/>
      </c>
      <c r="J943" s="7"/>
      <c r="K943" s="6"/>
    </row>
    <row r="944" spans="1:11" x14ac:dyDescent="0.3">
      <c r="A944" s="6"/>
      <c r="B944" s="7"/>
      <c r="C944" s="6"/>
      <c r="D944" s="6"/>
      <c r="E944" s="6"/>
      <c r="F944" s="6"/>
      <c r="G944" s="12"/>
      <c r="H944" s="12"/>
      <c r="I944" s="9" t="str">
        <f t="shared" si="14"/>
        <v/>
      </c>
      <c r="J944" s="7"/>
      <c r="K944" s="6"/>
    </row>
    <row r="945" spans="1:11" x14ac:dyDescent="0.3">
      <c r="A945" s="6"/>
      <c r="B945" s="7"/>
      <c r="C945" s="6"/>
      <c r="D945" s="6"/>
      <c r="E945" s="6"/>
      <c r="F945" s="6"/>
      <c r="G945" s="12"/>
      <c r="H945" s="12"/>
      <c r="I945" s="9" t="str">
        <f t="shared" si="14"/>
        <v/>
      </c>
      <c r="J945" s="7"/>
      <c r="K945" s="6"/>
    </row>
    <row r="946" spans="1:11" x14ac:dyDescent="0.3">
      <c r="A946" s="6"/>
      <c r="B946" s="7"/>
      <c r="C946" s="6"/>
      <c r="D946" s="6"/>
      <c r="E946" s="6"/>
      <c r="F946" s="6"/>
      <c r="G946" s="12"/>
      <c r="H946" s="12"/>
      <c r="I946" s="9" t="str">
        <f t="shared" si="14"/>
        <v/>
      </c>
      <c r="J946" s="7"/>
      <c r="K946" s="6"/>
    </row>
    <row r="947" spans="1:11" x14ac:dyDescent="0.3">
      <c r="A947" s="6"/>
      <c r="B947" s="7"/>
      <c r="C947" s="6"/>
      <c r="D947" s="6"/>
      <c r="E947" s="6"/>
      <c r="F947" s="6"/>
      <c r="G947" s="12"/>
      <c r="H947" s="12"/>
      <c r="I947" s="9" t="str">
        <f t="shared" si="14"/>
        <v/>
      </c>
      <c r="J947" s="7"/>
      <c r="K947" s="6"/>
    </row>
    <row r="948" spans="1:11" x14ac:dyDescent="0.3">
      <c r="A948" s="6"/>
      <c r="B948" s="7"/>
      <c r="C948" s="6"/>
      <c r="D948" s="6"/>
      <c r="E948" s="6"/>
      <c r="F948" s="6"/>
      <c r="G948" s="12"/>
      <c r="H948" s="12"/>
      <c r="I948" s="9" t="str">
        <f t="shared" si="14"/>
        <v/>
      </c>
      <c r="J948" s="7"/>
      <c r="K948" s="6"/>
    </row>
    <row r="949" spans="1:11" x14ac:dyDescent="0.3">
      <c r="A949" s="6"/>
      <c r="B949" s="7"/>
      <c r="C949" s="6"/>
      <c r="D949" s="6"/>
      <c r="E949" s="6"/>
      <c r="F949" s="6"/>
      <c r="G949" s="12"/>
      <c r="H949" s="12"/>
      <c r="I949" s="9" t="str">
        <f t="shared" ref="I949:I1012" si="15">IF(AND(G949&lt;&gt;"",H949&lt;&gt;""),MOD(H949-G949,1)*24,"")</f>
        <v/>
      </c>
      <c r="J949" s="7"/>
      <c r="K949" s="6"/>
    </row>
    <row r="950" spans="1:11" x14ac:dyDescent="0.3">
      <c r="A950" s="6"/>
      <c r="B950" s="7"/>
      <c r="C950" s="6"/>
      <c r="D950" s="6"/>
      <c r="E950" s="6"/>
      <c r="F950" s="6"/>
      <c r="G950" s="12"/>
      <c r="H950" s="12"/>
      <c r="I950" s="9" t="str">
        <f t="shared" si="15"/>
        <v/>
      </c>
      <c r="J950" s="7"/>
      <c r="K950" s="6"/>
    </row>
    <row r="951" spans="1:11" x14ac:dyDescent="0.3">
      <c r="A951" s="6"/>
      <c r="B951" s="7"/>
      <c r="C951" s="6"/>
      <c r="D951" s="6"/>
      <c r="E951" s="6"/>
      <c r="F951" s="6"/>
      <c r="G951" s="12"/>
      <c r="H951" s="12"/>
      <c r="I951" s="9" t="str">
        <f t="shared" si="15"/>
        <v/>
      </c>
      <c r="J951" s="7"/>
      <c r="K951" s="6"/>
    </row>
    <row r="952" spans="1:11" x14ac:dyDescent="0.3">
      <c r="A952" s="6"/>
      <c r="B952" s="7"/>
      <c r="C952" s="6"/>
      <c r="D952" s="6"/>
      <c r="E952" s="6"/>
      <c r="F952" s="6"/>
      <c r="G952" s="12"/>
      <c r="H952" s="12"/>
      <c r="I952" s="9" t="str">
        <f t="shared" si="15"/>
        <v/>
      </c>
      <c r="J952" s="7"/>
      <c r="K952" s="6"/>
    </row>
    <row r="953" spans="1:11" x14ac:dyDescent="0.3">
      <c r="A953" s="6"/>
      <c r="B953" s="7"/>
      <c r="C953" s="6"/>
      <c r="D953" s="6"/>
      <c r="E953" s="6"/>
      <c r="F953" s="6"/>
      <c r="G953" s="12"/>
      <c r="H953" s="12"/>
      <c r="I953" s="9" t="str">
        <f t="shared" si="15"/>
        <v/>
      </c>
      <c r="J953" s="7"/>
      <c r="K953" s="6"/>
    </row>
    <row r="954" spans="1:11" x14ac:dyDescent="0.3">
      <c r="A954" s="6"/>
      <c r="B954" s="7"/>
      <c r="C954" s="6"/>
      <c r="D954" s="6"/>
      <c r="E954" s="6"/>
      <c r="F954" s="6"/>
      <c r="G954" s="12"/>
      <c r="H954" s="12"/>
      <c r="I954" s="9" t="str">
        <f t="shared" si="15"/>
        <v/>
      </c>
      <c r="J954" s="7"/>
      <c r="K954" s="6"/>
    </row>
    <row r="955" spans="1:11" x14ac:dyDescent="0.3">
      <c r="A955" s="6"/>
      <c r="B955" s="7"/>
      <c r="C955" s="6"/>
      <c r="D955" s="6"/>
      <c r="E955" s="6"/>
      <c r="F955" s="6"/>
      <c r="G955" s="12"/>
      <c r="H955" s="12"/>
      <c r="I955" s="9" t="str">
        <f t="shared" si="15"/>
        <v/>
      </c>
      <c r="J955" s="7"/>
      <c r="K955" s="6"/>
    </row>
    <row r="956" spans="1:11" x14ac:dyDescent="0.3">
      <c r="A956" s="6"/>
      <c r="B956" s="7"/>
      <c r="C956" s="6"/>
      <c r="D956" s="6"/>
      <c r="E956" s="6"/>
      <c r="F956" s="6"/>
      <c r="G956" s="12"/>
      <c r="H956" s="12"/>
      <c r="I956" s="9" t="str">
        <f t="shared" si="15"/>
        <v/>
      </c>
      <c r="J956" s="7"/>
      <c r="K956" s="6"/>
    </row>
    <row r="957" spans="1:11" x14ac:dyDescent="0.3">
      <c r="A957" s="6"/>
      <c r="B957" s="7"/>
      <c r="C957" s="6"/>
      <c r="D957" s="6"/>
      <c r="E957" s="6"/>
      <c r="F957" s="6"/>
      <c r="G957" s="12"/>
      <c r="H957" s="12"/>
      <c r="I957" s="9" t="str">
        <f t="shared" si="15"/>
        <v/>
      </c>
      <c r="J957" s="7"/>
      <c r="K957" s="6"/>
    </row>
    <row r="958" spans="1:11" x14ac:dyDescent="0.3">
      <c r="A958" s="6"/>
      <c r="B958" s="7"/>
      <c r="C958" s="6"/>
      <c r="D958" s="6"/>
      <c r="E958" s="6"/>
      <c r="F958" s="6"/>
      <c r="G958" s="12"/>
      <c r="H958" s="12"/>
      <c r="I958" s="9" t="str">
        <f t="shared" si="15"/>
        <v/>
      </c>
      <c r="J958" s="7"/>
      <c r="K958" s="6"/>
    </row>
    <row r="959" spans="1:11" x14ac:dyDescent="0.3">
      <c r="A959" s="6"/>
      <c r="B959" s="7"/>
      <c r="C959" s="6"/>
      <c r="D959" s="6"/>
      <c r="E959" s="6"/>
      <c r="F959" s="6"/>
      <c r="G959" s="12"/>
      <c r="H959" s="12"/>
      <c r="I959" s="9" t="str">
        <f t="shared" si="15"/>
        <v/>
      </c>
      <c r="J959" s="7"/>
      <c r="K959" s="6"/>
    </row>
    <row r="960" spans="1:11" x14ac:dyDescent="0.3">
      <c r="A960" s="6"/>
      <c r="B960" s="7"/>
      <c r="C960" s="6"/>
      <c r="D960" s="6"/>
      <c r="E960" s="6"/>
      <c r="F960" s="6"/>
      <c r="G960" s="12"/>
      <c r="H960" s="12"/>
      <c r="I960" s="9" t="str">
        <f t="shared" si="15"/>
        <v/>
      </c>
      <c r="J960" s="7"/>
      <c r="K960" s="6"/>
    </row>
    <row r="961" spans="1:11" x14ac:dyDescent="0.3">
      <c r="A961" s="6"/>
      <c r="B961" s="7"/>
      <c r="C961" s="6"/>
      <c r="D961" s="6"/>
      <c r="E961" s="6"/>
      <c r="F961" s="6"/>
      <c r="G961" s="12"/>
      <c r="H961" s="12"/>
      <c r="I961" s="9" t="str">
        <f t="shared" si="15"/>
        <v/>
      </c>
      <c r="J961" s="7"/>
      <c r="K961" s="6"/>
    </row>
    <row r="962" spans="1:11" x14ac:dyDescent="0.3">
      <c r="A962" s="6"/>
      <c r="B962" s="7"/>
      <c r="C962" s="6"/>
      <c r="D962" s="6"/>
      <c r="E962" s="6"/>
      <c r="F962" s="6"/>
      <c r="G962" s="12"/>
      <c r="H962" s="12"/>
      <c r="I962" s="9" t="str">
        <f t="shared" si="15"/>
        <v/>
      </c>
      <c r="J962" s="7"/>
      <c r="K962" s="6"/>
    </row>
    <row r="963" spans="1:11" x14ac:dyDescent="0.3">
      <c r="A963" s="6"/>
      <c r="B963" s="7"/>
      <c r="C963" s="6"/>
      <c r="D963" s="6"/>
      <c r="E963" s="6"/>
      <c r="F963" s="6"/>
      <c r="G963" s="12"/>
      <c r="H963" s="12"/>
      <c r="I963" s="9" t="str">
        <f t="shared" si="15"/>
        <v/>
      </c>
      <c r="J963" s="7"/>
      <c r="K963" s="6"/>
    </row>
    <row r="964" spans="1:11" x14ac:dyDescent="0.3">
      <c r="A964" s="6"/>
      <c r="B964" s="7"/>
      <c r="C964" s="6"/>
      <c r="D964" s="6"/>
      <c r="E964" s="6"/>
      <c r="F964" s="6"/>
      <c r="G964" s="12"/>
      <c r="H964" s="12"/>
      <c r="I964" s="9" t="str">
        <f t="shared" si="15"/>
        <v/>
      </c>
      <c r="J964" s="7"/>
      <c r="K964" s="6"/>
    </row>
    <row r="965" spans="1:11" x14ac:dyDescent="0.3">
      <c r="A965" s="6"/>
      <c r="B965" s="7"/>
      <c r="C965" s="6"/>
      <c r="D965" s="6"/>
      <c r="E965" s="6"/>
      <c r="F965" s="6"/>
      <c r="G965" s="12"/>
      <c r="H965" s="12"/>
      <c r="I965" s="9" t="str">
        <f t="shared" si="15"/>
        <v/>
      </c>
      <c r="J965" s="7"/>
      <c r="K965" s="6"/>
    </row>
    <row r="966" spans="1:11" x14ac:dyDescent="0.3">
      <c r="A966" s="6"/>
      <c r="B966" s="7"/>
      <c r="C966" s="6"/>
      <c r="D966" s="6"/>
      <c r="E966" s="6"/>
      <c r="F966" s="6"/>
      <c r="G966" s="12"/>
      <c r="H966" s="12"/>
      <c r="I966" s="9" t="str">
        <f t="shared" si="15"/>
        <v/>
      </c>
      <c r="J966" s="7"/>
      <c r="K966" s="6"/>
    </row>
    <row r="967" spans="1:11" x14ac:dyDescent="0.3">
      <c r="A967" s="6"/>
      <c r="B967" s="7"/>
      <c r="C967" s="6"/>
      <c r="D967" s="6"/>
      <c r="E967" s="6"/>
      <c r="F967" s="6"/>
      <c r="G967" s="12"/>
      <c r="H967" s="12"/>
      <c r="I967" s="9" t="str">
        <f t="shared" si="15"/>
        <v/>
      </c>
      <c r="J967" s="7"/>
      <c r="K967" s="6"/>
    </row>
    <row r="968" spans="1:11" x14ac:dyDescent="0.3">
      <c r="A968" s="6"/>
      <c r="B968" s="7"/>
      <c r="C968" s="6"/>
      <c r="D968" s="6"/>
      <c r="E968" s="6"/>
      <c r="F968" s="6"/>
      <c r="G968" s="12"/>
      <c r="H968" s="12"/>
      <c r="I968" s="9" t="str">
        <f t="shared" si="15"/>
        <v/>
      </c>
      <c r="J968" s="7"/>
      <c r="K968" s="6"/>
    </row>
    <row r="969" spans="1:11" x14ac:dyDescent="0.3">
      <c r="A969" s="6"/>
      <c r="B969" s="7"/>
      <c r="C969" s="6"/>
      <c r="D969" s="6"/>
      <c r="E969" s="6"/>
      <c r="F969" s="6"/>
      <c r="G969" s="12"/>
      <c r="H969" s="12"/>
      <c r="I969" s="9" t="str">
        <f t="shared" si="15"/>
        <v/>
      </c>
      <c r="J969" s="7"/>
      <c r="K969" s="6"/>
    </row>
    <row r="970" spans="1:11" x14ac:dyDescent="0.3">
      <c r="A970" s="6"/>
      <c r="B970" s="7"/>
      <c r="C970" s="6"/>
      <c r="D970" s="6"/>
      <c r="E970" s="6"/>
      <c r="F970" s="6"/>
      <c r="G970" s="12"/>
      <c r="H970" s="12"/>
      <c r="I970" s="9" t="str">
        <f t="shared" si="15"/>
        <v/>
      </c>
      <c r="J970" s="7"/>
      <c r="K970" s="6"/>
    </row>
    <row r="971" spans="1:11" x14ac:dyDescent="0.3">
      <c r="A971" s="6"/>
      <c r="B971" s="7"/>
      <c r="C971" s="6"/>
      <c r="D971" s="6"/>
      <c r="E971" s="6"/>
      <c r="F971" s="6"/>
      <c r="G971" s="12"/>
      <c r="H971" s="12"/>
      <c r="I971" s="9" t="str">
        <f t="shared" si="15"/>
        <v/>
      </c>
      <c r="J971" s="7"/>
      <c r="K971" s="6"/>
    </row>
    <row r="972" spans="1:11" x14ac:dyDescent="0.3">
      <c r="A972" s="6"/>
      <c r="B972" s="7"/>
      <c r="C972" s="6"/>
      <c r="D972" s="6"/>
      <c r="E972" s="6"/>
      <c r="F972" s="6"/>
      <c r="G972" s="12"/>
      <c r="H972" s="12"/>
      <c r="I972" s="9" t="str">
        <f t="shared" si="15"/>
        <v/>
      </c>
      <c r="J972" s="7"/>
      <c r="K972" s="6"/>
    </row>
    <row r="973" spans="1:11" x14ac:dyDescent="0.3">
      <c r="A973" s="6"/>
      <c r="B973" s="7"/>
      <c r="C973" s="6"/>
      <c r="D973" s="6"/>
      <c r="E973" s="6"/>
      <c r="F973" s="6"/>
      <c r="G973" s="12"/>
      <c r="H973" s="12"/>
      <c r="I973" s="9" t="str">
        <f t="shared" si="15"/>
        <v/>
      </c>
      <c r="J973" s="7"/>
      <c r="K973" s="6"/>
    </row>
    <row r="974" spans="1:11" x14ac:dyDescent="0.3">
      <c r="A974" s="6"/>
      <c r="B974" s="7"/>
      <c r="C974" s="6"/>
      <c r="D974" s="6"/>
      <c r="E974" s="6"/>
      <c r="F974" s="6"/>
      <c r="G974" s="12"/>
      <c r="H974" s="12"/>
      <c r="I974" s="9" t="str">
        <f t="shared" si="15"/>
        <v/>
      </c>
      <c r="J974" s="7"/>
      <c r="K974" s="6"/>
    </row>
    <row r="975" spans="1:11" x14ac:dyDescent="0.3">
      <c r="A975" s="6"/>
      <c r="B975" s="7"/>
      <c r="C975" s="6"/>
      <c r="D975" s="6"/>
      <c r="E975" s="6"/>
      <c r="F975" s="6"/>
      <c r="G975" s="12"/>
      <c r="H975" s="12"/>
      <c r="I975" s="9" t="str">
        <f t="shared" si="15"/>
        <v/>
      </c>
      <c r="J975" s="7"/>
      <c r="K975" s="6"/>
    </row>
    <row r="976" spans="1:11" x14ac:dyDescent="0.3">
      <c r="A976" s="6"/>
      <c r="B976" s="7"/>
      <c r="C976" s="6"/>
      <c r="D976" s="6"/>
      <c r="E976" s="6"/>
      <c r="F976" s="6"/>
      <c r="G976" s="12"/>
      <c r="H976" s="12"/>
      <c r="I976" s="9" t="str">
        <f t="shared" si="15"/>
        <v/>
      </c>
      <c r="J976" s="7"/>
      <c r="K976" s="6"/>
    </row>
    <row r="977" spans="1:11" x14ac:dyDescent="0.3">
      <c r="A977" s="6"/>
      <c r="B977" s="7"/>
      <c r="C977" s="6"/>
      <c r="D977" s="6"/>
      <c r="E977" s="6"/>
      <c r="F977" s="6"/>
      <c r="G977" s="12"/>
      <c r="H977" s="12"/>
      <c r="I977" s="9" t="str">
        <f t="shared" si="15"/>
        <v/>
      </c>
      <c r="J977" s="7"/>
      <c r="K977" s="6"/>
    </row>
    <row r="978" spans="1:11" x14ac:dyDescent="0.3">
      <c r="A978" s="6"/>
      <c r="B978" s="7"/>
      <c r="C978" s="6"/>
      <c r="D978" s="6"/>
      <c r="E978" s="6"/>
      <c r="F978" s="6"/>
      <c r="G978" s="12"/>
      <c r="H978" s="12"/>
      <c r="I978" s="9" t="str">
        <f t="shared" si="15"/>
        <v/>
      </c>
      <c r="J978" s="7"/>
      <c r="K978" s="6"/>
    </row>
    <row r="979" spans="1:11" x14ac:dyDescent="0.3">
      <c r="A979" s="6"/>
      <c r="B979" s="7"/>
      <c r="C979" s="6"/>
      <c r="D979" s="6"/>
      <c r="E979" s="6"/>
      <c r="F979" s="6"/>
      <c r="G979" s="12"/>
      <c r="H979" s="12"/>
      <c r="I979" s="9" t="str">
        <f t="shared" si="15"/>
        <v/>
      </c>
      <c r="J979" s="7"/>
      <c r="K979" s="6"/>
    </row>
    <row r="980" spans="1:11" x14ac:dyDescent="0.3">
      <c r="A980" s="6"/>
      <c r="B980" s="7"/>
      <c r="C980" s="6"/>
      <c r="D980" s="6"/>
      <c r="E980" s="6"/>
      <c r="F980" s="6"/>
      <c r="G980" s="12"/>
      <c r="H980" s="12"/>
      <c r="I980" s="9" t="str">
        <f t="shared" si="15"/>
        <v/>
      </c>
      <c r="J980" s="7"/>
      <c r="K980" s="6"/>
    </row>
    <row r="981" spans="1:11" x14ac:dyDescent="0.3">
      <c r="A981" s="6"/>
      <c r="B981" s="7"/>
      <c r="C981" s="6"/>
      <c r="D981" s="6"/>
      <c r="E981" s="6"/>
      <c r="F981" s="6"/>
      <c r="G981" s="12"/>
      <c r="H981" s="12"/>
      <c r="I981" s="9" t="str">
        <f t="shared" si="15"/>
        <v/>
      </c>
      <c r="J981" s="7"/>
      <c r="K981" s="6"/>
    </row>
    <row r="982" spans="1:11" x14ac:dyDescent="0.3">
      <c r="A982" s="6"/>
      <c r="B982" s="7"/>
      <c r="C982" s="6"/>
      <c r="D982" s="6"/>
      <c r="E982" s="6"/>
      <c r="F982" s="6"/>
      <c r="G982" s="12"/>
      <c r="H982" s="12"/>
      <c r="I982" s="9" t="str">
        <f t="shared" si="15"/>
        <v/>
      </c>
      <c r="J982" s="7"/>
      <c r="K982" s="6"/>
    </row>
    <row r="983" spans="1:11" x14ac:dyDescent="0.3">
      <c r="A983" s="6"/>
      <c r="B983" s="7"/>
      <c r="C983" s="6"/>
      <c r="D983" s="6"/>
      <c r="E983" s="6"/>
      <c r="F983" s="6"/>
      <c r="G983" s="12"/>
      <c r="H983" s="12"/>
      <c r="I983" s="9" t="str">
        <f t="shared" si="15"/>
        <v/>
      </c>
      <c r="J983" s="7"/>
      <c r="K983" s="6"/>
    </row>
    <row r="984" spans="1:11" x14ac:dyDescent="0.3">
      <c r="A984" s="6"/>
      <c r="B984" s="7"/>
      <c r="C984" s="6"/>
      <c r="D984" s="6"/>
      <c r="E984" s="6"/>
      <c r="F984" s="6"/>
      <c r="G984" s="12"/>
      <c r="H984" s="12"/>
      <c r="I984" s="9" t="str">
        <f t="shared" si="15"/>
        <v/>
      </c>
      <c r="J984" s="7"/>
      <c r="K984" s="6"/>
    </row>
    <row r="985" spans="1:11" x14ac:dyDescent="0.3">
      <c r="A985" s="6"/>
      <c r="B985" s="7"/>
      <c r="C985" s="6"/>
      <c r="D985" s="6"/>
      <c r="E985" s="6"/>
      <c r="F985" s="6"/>
      <c r="G985" s="12"/>
      <c r="H985" s="12"/>
      <c r="I985" s="9" t="str">
        <f t="shared" si="15"/>
        <v/>
      </c>
      <c r="J985" s="7"/>
      <c r="K985" s="6"/>
    </row>
    <row r="986" spans="1:11" x14ac:dyDescent="0.3">
      <c r="A986" s="6"/>
      <c r="B986" s="7"/>
      <c r="C986" s="6"/>
      <c r="D986" s="6"/>
      <c r="E986" s="6"/>
      <c r="F986" s="6"/>
      <c r="G986" s="12"/>
      <c r="H986" s="12"/>
      <c r="I986" s="9" t="str">
        <f t="shared" si="15"/>
        <v/>
      </c>
      <c r="J986" s="7"/>
      <c r="K986" s="6"/>
    </row>
    <row r="987" spans="1:11" x14ac:dyDescent="0.3">
      <c r="A987" s="6"/>
      <c r="B987" s="7"/>
      <c r="C987" s="6"/>
      <c r="D987" s="6"/>
      <c r="E987" s="6"/>
      <c r="F987" s="6"/>
      <c r="G987" s="12"/>
      <c r="H987" s="12"/>
      <c r="I987" s="9" t="str">
        <f t="shared" si="15"/>
        <v/>
      </c>
      <c r="J987" s="7"/>
      <c r="K987" s="6"/>
    </row>
    <row r="988" spans="1:11" x14ac:dyDescent="0.3">
      <c r="A988" s="6"/>
      <c r="B988" s="7"/>
      <c r="C988" s="6"/>
      <c r="D988" s="6"/>
      <c r="E988" s="6"/>
      <c r="F988" s="6"/>
      <c r="G988" s="12"/>
      <c r="H988" s="12"/>
      <c r="I988" s="9" t="str">
        <f t="shared" si="15"/>
        <v/>
      </c>
      <c r="J988" s="7"/>
      <c r="K988" s="6"/>
    </row>
    <row r="989" spans="1:11" x14ac:dyDescent="0.3">
      <c r="A989" s="6"/>
      <c r="B989" s="7"/>
      <c r="C989" s="6"/>
      <c r="D989" s="6"/>
      <c r="E989" s="6"/>
      <c r="F989" s="6"/>
      <c r="G989" s="12"/>
      <c r="H989" s="12"/>
      <c r="I989" s="9" t="str">
        <f t="shared" si="15"/>
        <v/>
      </c>
      <c r="J989" s="7"/>
      <c r="K989" s="6"/>
    </row>
    <row r="990" spans="1:11" x14ac:dyDescent="0.3">
      <c r="A990" s="6"/>
      <c r="B990" s="7"/>
      <c r="C990" s="6"/>
      <c r="D990" s="6"/>
      <c r="E990" s="6"/>
      <c r="F990" s="6"/>
      <c r="G990" s="12"/>
      <c r="H990" s="12"/>
      <c r="I990" s="9" t="str">
        <f t="shared" si="15"/>
        <v/>
      </c>
      <c r="J990" s="7"/>
      <c r="K990" s="6"/>
    </row>
    <row r="991" spans="1:11" x14ac:dyDescent="0.3">
      <c r="A991" s="6"/>
      <c r="B991" s="7"/>
      <c r="C991" s="6"/>
      <c r="D991" s="6"/>
      <c r="E991" s="6"/>
      <c r="F991" s="6"/>
      <c r="G991" s="12"/>
      <c r="H991" s="12"/>
      <c r="I991" s="9" t="str">
        <f t="shared" si="15"/>
        <v/>
      </c>
      <c r="J991" s="7"/>
      <c r="K991" s="6"/>
    </row>
    <row r="992" spans="1:11" x14ac:dyDescent="0.3">
      <c r="A992" s="6"/>
      <c r="B992" s="7"/>
      <c r="C992" s="6"/>
      <c r="D992" s="6"/>
      <c r="E992" s="6"/>
      <c r="F992" s="6"/>
      <c r="G992" s="12"/>
      <c r="H992" s="12"/>
      <c r="I992" s="9" t="str">
        <f t="shared" si="15"/>
        <v/>
      </c>
      <c r="J992" s="7"/>
      <c r="K992" s="6"/>
    </row>
    <row r="993" spans="1:11" x14ac:dyDescent="0.3">
      <c r="A993" s="6"/>
      <c r="B993" s="7"/>
      <c r="C993" s="6"/>
      <c r="D993" s="6"/>
      <c r="E993" s="6"/>
      <c r="F993" s="6"/>
      <c r="G993" s="12"/>
      <c r="H993" s="12"/>
      <c r="I993" s="9" t="str">
        <f t="shared" si="15"/>
        <v/>
      </c>
      <c r="J993" s="7"/>
      <c r="K993" s="6"/>
    </row>
    <row r="994" spans="1:11" x14ac:dyDescent="0.3">
      <c r="A994" s="6"/>
      <c r="B994" s="7"/>
      <c r="C994" s="6"/>
      <c r="D994" s="6"/>
      <c r="E994" s="6"/>
      <c r="F994" s="6"/>
      <c r="G994" s="12"/>
      <c r="H994" s="12"/>
      <c r="I994" s="9" t="str">
        <f t="shared" si="15"/>
        <v/>
      </c>
      <c r="J994" s="7"/>
      <c r="K994" s="6"/>
    </row>
    <row r="995" spans="1:11" x14ac:dyDescent="0.3">
      <c r="A995" s="6"/>
      <c r="B995" s="7"/>
      <c r="C995" s="6"/>
      <c r="D995" s="6"/>
      <c r="E995" s="6"/>
      <c r="F995" s="6"/>
      <c r="G995" s="12"/>
      <c r="H995" s="12"/>
      <c r="I995" s="9" t="str">
        <f t="shared" si="15"/>
        <v/>
      </c>
      <c r="J995" s="7"/>
      <c r="K995" s="6"/>
    </row>
    <row r="996" spans="1:11" x14ac:dyDescent="0.3">
      <c r="A996" s="6"/>
      <c r="B996" s="7"/>
      <c r="C996" s="6"/>
      <c r="D996" s="6"/>
      <c r="E996" s="6"/>
      <c r="F996" s="6"/>
      <c r="G996" s="12"/>
      <c r="H996" s="12"/>
      <c r="I996" s="9" t="str">
        <f t="shared" si="15"/>
        <v/>
      </c>
      <c r="J996" s="7"/>
      <c r="K996" s="6"/>
    </row>
    <row r="997" spans="1:11" x14ac:dyDescent="0.3">
      <c r="A997" s="6"/>
      <c r="B997" s="7"/>
      <c r="C997" s="6"/>
      <c r="D997" s="6"/>
      <c r="E997" s="6"/>
      <c r="F997" s="6"/>
      <c r="G997" s="12"/>
      <c r="H997" s="12"/>
      <c r="I997" s="9" t="str">
        <f t="shared" si="15"/>
        <v/>
      </c>
      <c r="J997" s="7"/>
      <c r="K997" s="6"/>
    </row>
    <row r="998" spans="1:11" x14ac:dyDescent="0.3">
      <c r="A998" s="6"/>
      <c r="B998" s="7"/>
      <c r="C998" s="6"/>
      <c r="D998" s="6"/>
      <c r="E998" s="6"/>
      <c r="F998" s="6"/>
      <c r="G998" s="12"/>
      <c r="H998" s="12"/>
      <c r="I998" s="9" t="str">
        <f t="shared" si="15"/>
        <v/>
      </c>
      <c r="J998" s="7"/>
      <c r="K998" s="6"/>
    </row>
    <row r="999" spans="1:11" x14ac:dyDescent="0.3">
      <c r="A999" s="6"/>
      <c r="B999" s="7"/>
      <c r="C999" s="6"/>
      <c r="D999" s="6"/>
      <c r="E999" s="6"/>
      <c r="F999" s="6"/>
      <c r="G999" s="12"/>
      <c r="H999" s="12"/>
      <c r="I999" s="9" t="str">
        <f t="shared" si="15"/>
        <v/>
      </c>
      <c r="J999" s="7"/>
      <c r="K999" s="6"/>
    </row>
    <row r="1000" spans="1:11" x14ac:dyDescent="0.3">
      <c r="A1000" s="6"/>
      <c r="B1000" s="7"/>
      <c r="C1000" s="6"/>
      <c r="D1000" s="6"/>
      <c r="E1000" s="6"/>
      <c r="F1000" s="6"/>
      <c r="G1000" s="12"/>
      <c r="H1000" s="12"/>
      <c r="I1000" s="9" t="str">
        <f t="shared" si="15"/>
        <v/>
      </c>
      <c r="J1000" s="7"/>
      <c r="K1000" s="6"/>
    </row>
    <row r="1001" spans="1:11" x14ac:dyDescent="0.3">
      <c r="A1001" s="6"/>
      <c r="B1001" s="7"/>
      <c r="C1001" s="6"/>
      <c r="D1001" s="6"/>
      <c r="E1001" s="6"/>
      <c r="F1001" s="6"/>
      <c r="G1001" s="12"/>
      <c r="H1001" s="12"/>
      <c r="I1001" s="9" t="str">
        <f t="shared" si="15"/>
        <v/>
      </c>
      <c r="J1001" s="7"/>
      <c r="K1001" s="6"/>
    </row>
    <row r="1002" spans="1:11" x14ac:dyDescent="0.3">
      <c r="A1002" s="6"/>
      <c r="B1002" s="7"/>
      <c r="C1002" s="6"/>
      <c r="D1002" s="6"/>
      <c r="E1002" s="6"/>
      <c r="F1002" s="6"/>
      <c r="G1002" s="12"/>
      <c r="H1002" s="12"/>
      <c r="I1002" s="9" t="str">
        <f t="shared" si="15"/>
        <v/>
      </c>
      <c r="J1002" s="7"/>
      <c r="K1002" s="6"/>
    </row>
    <row r="1003" spans="1:11" x14ac:dyDescent="0.3">
      <c r="A1003" s="6"/>
      <c r="B1003" s="7"/>
      <c r="C1003" s="6"/>
      <c r="D1003" s="6"/>
      <c r="E1003" s="6"/>
      <c r="F1003" s="6"/>
      <c r="G1003" s="12"/>
      <c r="H1003" s="12"/>
      <c r="I1003" s="9" t="str">
        <f t="shared" si="15"/>
        <v/>
      </c>
      <c r="J1003" s="7"/>
      <c r="K1003" s="6"/>
    </row>
    <row r="1004" spans="1:11" x14ac:dyDescent="0.3">
      <c r="A1004" s="6"/>
      <c r="B1004" s="7"/>
      <c r="C1004" s="6"/>
      <c r="D1004" s="6"/>
      <c r="E1004" s="6"/>
      <c r="F1004" s="6"/>
      <c r="G1004" s="12"/>
      <c r="H1004" s="12"/>
      <c r="I1004" s="9" t="str">
        <f t="shared" si="15"/>
        <v/>
      </c>
      <c r="J1004" s="7"/>
      <c r="K1004" s="6"/>
    </row>
    <row r="1005" spans="1:11" x14ac:dyDescent="0.3">
      <c r="A1005" s="6"/>
      <c r="B1005" s="7"/>
      <c r="C1005" s="6"/>
      <c r="D1005" s="6"/>
      <c r="E1005" s="6"/>
      <c r="F1005" s="6"/>
      <c r="G1005" s="12"/>
      <c r="H1005" s="12"/>
      <c r="I1005" s="9" t="str">
        <f t="shared" si="15"/>
        <v/>
      </c>
      <c r="J1005" s="7"/>
      <c r="K1005" s="6"/>
    </row>
    <row r="1006" spans="1:11" x14ac:dyDescent="0.3">
      <c r="A1006" s="6"/>
      <c r="B1006" s="7"/>
      <c r="C1006" s="6"/>
      <c r="D1006" s="6"/>
      <c r="E1006" s="6"/>
      <c r="F1006" s="6"/>
      <c r="G1006" s="12"/>
      <c r="H1006" s="12"/>
      <c r="I1006" s="9" t="str">
        <f t="shared" si="15"/>
        <v/>
      </c>
      <c r="J1006" s="7"/>
      <c r="K1006" s="6"/>
    </row>
    <row r="1007" spans="1:11" x14ac:dyDescent="0.3">
      <c r="A1007" s="6"/>
      <c r="B1007" s="7"/>
      <c r="C1007" s="6"/>
      <c r="D1007" s="6"/>
      <c r="E1007" s="6"/>
      <c r="F1007" s="6"/>
      <c r="G1007" s="12"/>
      <c r="H1007" s="12"/>
      <c r="I1007" s="9" t="str">
        <f t="shared" si="15"/>
        <v/>
      </c>
      <c r="J1007" s="7"/>
      <c r="K1007" s="6"/>
    </row>
    <row r="1008" spans="1:11" x14ac:dyDescent="0.3">
      <c r="A1008" s="6"/>
      <c r="B1008" s="7"/>
      <c r="C1008" s="6"/>
      <c r="D1008" s="6"/>
      <c r="E1008" s="6"/>
      <c r="F1008" s="6"/>
      <c r="G1008" s="12"/>
      <c r="H1008" s="12"/>
      <c r="I1008" s="9" t="str">
        <f t="shared" si="15"/>
        <v/>
      </c>
      <c r="J1008" s="7"/>
      <c r="K1008" s="6"/>
    </row>
    <row r="1009" spans="1:11" x14ac:dyDescent="0.3">
      <c r="A1009" s="6"/>
      <c r="B1009" s="7"/>
      <c r="C1009" s="6"/>
      <c r="D1009" s="6"/>
      <c r="E1009" s="6"/>
      <c r="F1009" s="6"/>
      <c r="G1009" s="12"/>
      <c r="H1009" s="12"/>
      <c r="I1009" s="9" t="str">
        <f t="shared" si="15"/>
        <v/>
      </c>
      <c r="J1009" s="7"/>
      <c r="K1009" s="6"/>
    </row>
    <row r="1010" spans="1:11" x14ac:dyDescent="0.3">
      <c r="A1010" s="6"/>
      <c r="B1010" s="7"/>
      <c r="C1010" s="6"/>
      <c r="D1010" s="6"/>
      <c r="E1010" s="6"/>
      <c r="F1010" s="6"/>
      <c r="G1010" s="12"/>
      <c r="H1010" s="12"/>
      <c r="I1010" s="9" t="str">
        <f t="shared" si="15"/>
        <v/>
      </c>
      <c r="J1010" s="7"/>
      <c r="K1010" s="6"/>
    </row>
    <row r="1011" spans="1:11" x14ac:dyDescent="0.3">
      <c r="A1011" s="6"/>
      <c r="B1011" s="7"/>
      <c r="C1011" s="6"/>
      <c r="D1011" s="6"/>
      <c r="E1011" s="6"/>
      <c r="F1011" s="6"/>
      <c r="G1011" s="12"/>
      <c r="H1011" s="12"/>
      <c r="I1011" s="9" t="str">
        <f t="shared" si="15"/>
        <v/>
      </c>
      <c r="J1011" s="7"/>
      <c r="K1011" s="6"/>
    </row>
    <row r="1012" spans="1:11" x14ac:dyDescent="0.3">
      <c r="A1012" s="6"/>
      <c r="B1012" s="7"/>
      <c r="C1012" s="6"/>
      <c r="D1012" s="6"/>
      <c r="E1012" s="6"/>
      <c r="F1012" s="6"/>
      <c r="G1012" s="12"/>
      <c r="H1012" s="12"/>
      <c r="I1012" s="9" t="str">
        <f t="shared" si="15"/>
        <v/>
      </c>
      <c r="J1012" s="7"/>
      <c r="K1012" s="6"/>
    </row>
    <row r="1013" spans="1:11" x14ac:dyDescent="0.3">
      <c r="A1013" s="6"/>
      <c r="B1013" s="7"/>
      <c r="C1013" s="6"/>
      <c r="D1013" s="6"/>
      <c r="E1013" s="6"/>
      <c r="F1013" s="6"/>
      <c r="G1013" s="12"/>
      <c r="H1013" s="12"/>
      <c r="I1013" s="9" t="str">
        <f t="shared" ref="I1013:I1076" si="16">IF(AND(G1013&lt;&gt;"",H1013&lt;&gt;""),MOD(H1013-G1013,1)*24,"")</f>
        <v/>
      </c>
      <c r="J1013" s="7"/>
      <c r="K1013" s="6"/>
    </row>
    <row r="1014" spans="1:11" x14ac:dyDescent="0.3">
      <c r="A1014" s="6"/>
      <c r="B1014" s="7"/>
      <c r="C1014" s="6"/>
      <c r="D1014" s="6"/>
      <c r="E1014" s="6"/>
      <c r="F1014" s="6"/>
      <c r="G1014" s="12"/>
      <c r="H1014" s="12"/>
      <c r="I1014" s="9" t="str">
        <f t="shared" si="16"/>
        <v/>
      </c>
      <c r="J1014" s="7"/>
      <c r="K1014" s="6"/>
    </row>
    <row r="1015" spans="1:11" x14ac:dyDescent="0.3">
      <c r="A1015" s="6"/>
      <c r="B1015" s="7"/>
      <c r="C1015" s="6"/>
      <c r="D1015" s="6"/>
      <c r="E1015" s="6"/>
      <c r="F1015" s="6"/>
      <c r="G1015" s="12"/>
      <c r="H1015" s="12"/>
      <c r="I1015" s="9" t="str">
        <f t="shared" si="16"/>
        <v/>
      </c>
      <c r="J1015" s="7"/>
      <c r="K1015" s="6"/>
    </row>
    <row r="1016" spans="1:11" x14ac:dyDescent="0.3">
      <c r="A1016" s="6"/>
      <c r="B1016" s="7"/>
      <c r="C1016" s="6"/>
      <c r="D1016" s="6"/>
      <c r="E1016" s="6"/>
      <c r="F1016" s="6"/>
      <c r="G1016" s="12"/>
      <c r="H1016" s="12"/>
      <c r="I1016" s="9" t="str">
        <f t="shared" si="16"/>
        <v/>
      </c>
      <c r="J1016" s="7"/>
      <c r="K1016" s="6"/>
    </row>
    <row r="1017" spans="1:11" x14ac:dyDescent="0.3">
      <c r="A1017" s="6"/>
      <c r="B1017" s="7"/>
      <c r="C1017" s="6"/>
      <c r="D1017" s="6"/>
      <c r="E1017" s="6"/>
      <c r="F1017" s="6"/>
      <c r="G1017" s="12"/>
      <c r="H1017" s="12"/>
      <c r="I1017" s="9" t="str">
        <f t="shared" si="16"/>
        <v/>
      </c>
      <c r="J1017" s="7"/>
      <c r="K1017" s="6"/>
    </row>
    <row r="1018" spans="1:11" x14ac:dyDescent="0.3">
      <c r="A1018" s="6"/>
      <c r="B1018" s="7"/>
      <c r="C1018" s="6"/>
      <c r="D1018" s="6"/>
      <c r="E1018" s="6"/>
      <c r="F1018" s="6"/>
      <c r="G1018" s="12"/>
      <c r="H1018" s="12"/>
      <c r="I1018" s="9" t="str">
        <f t="shared" si="16"/>
        <v/>
      </c>
      <c r="J1018" s="7"/>
      <c r="K1018" s="6"/>
    </row>
    <row r="1019" spans="1:11" x14ac:dyDescent="0.3">
      <c r="A1019" s="6"/>
      <c r="B1019" s="7"/>
      <c r="C1019" s="6"/>
      <c r="D1019" s="6"/>
      <c r="E1019" s="6"/>
      <c r="F1019" s="6"/>
      <c r="G1019" s="12"/>
      <c r="H1019" s="12"/>
      <c r="I1019" s="9" t="str">
        <f t="shared" si="16"/>
        <v/>
      </c>
      <c r="J1019" s="7"/>
      <c r="K1019" s="6"/>
    </row>
    <row r="1020" spans="1:11" x14ac:dyDescent="0.3">
      <c r="A1020" s="6"/>
      <c r="B1020" s="7"/>
      <c r="C1020" s="6"/>
      <c r="D1020" s="6"/>
      <c r="E1020" s="6"/>
      <c r="F1020" s="6"/>
      <c r="G1020" s="12"/>
      <c r="H1020" s="12"/>
      <c r="I1020" s="9" t="str">
        <f t="shared" si="16"/>
        <v/>
      </c>
      <c r="J1020" s="7"/>
      <c r="K1020" s="6"/>
    </row>
    <row r="1021" spans="1:11" x14ac:dyDescent="0.3">
      <c r="A1021" s="6"/>
      <c r="B1021" s="7"/>
      <c r="C1021" s="6"/>
      <c r="D1021" s="6"/>
      <c r="E1021" s="6"/>
      <c r="F1021" s="6"/>
      <c r="G1021" s="12"/>
      <c r="H1021" s="12"/>
      <c r="I1021" s="9" t="str">
        <f t="shared" si="16"/>
        <v/>
      </c>
      <c r="J1021" s="7"/>
      <c r="K1021" s="6"/>
    </row>
    <row r="1022" spans="1:11" x14ac:dyDescent="0.3">
      <c r="A1022" s="6"/>
      <c r="B1022" s="7"/>
      <c r="C1022" s="6"/>
      <c r="D1022" s="6"/>
      <c r="E1022" s="6"/>
      <c r="F1022" s="6"/>
      <c r="G1022" s="12"/>
      <c r="H1022" s="12"/>
      <c r="I1022" s="9" t="str">
        <f t="shared" si="16"/>
        <v/>
      </c>
      <c r="J1022" s="7"/>
      <c r="K1022" s="6"/>
    </row>
    <row r="1023" spans="1:11" x14ac:dyDescent="0.3">
      <c r="A1023" s="6"/>
      <c r="B1023" s="7"/>
      <c r="C1023" s="6"/>
      <c r="D1023" s="6"/>
      <c r="E1023" s="6"/>
      <c r="F1023" s="6"/>
      <c r="G1023" s="12"/>
      <c r="H1023" s="12"/>
      <c r="I1023" s="9" t="str">
        <f t="shared" si="16"/>
        <v/>
      </c>
      <c r="J1023" s="7"/>
      <c r="K1023" s="6"/>
    </row>
    <row r="1024" spans="1:11" x14ac:dyDescent="0.3">
      <c r="A1024" s="6"/>
      <c r="B1024" s="7"/>
      <c r="C1024" s="6"/>
      <c r="D1024" s="6"/>
      <c r="E1024" s="6"/>
      <c r="F1024" s="6"/>
      <c r="G1024" s="12"/>
      <c r="H1024" s="12"/>
      <c r="I1024" s="9" t="str">
        <f t="shared" si="16"/>
        <v/>
      </c>
      <c r="J1024" s="7"/>
      <c r="K1024" s="6"/>
    </row>
    <row r="1025" spans="1:11" x14ac:dyDescent="0.3">
      <c r="A1025" s="6"/>
      <c r="B1025" s="7"/>
      <c r="C1025" s="6"/>
      <c r="D1025" s="6"/>
      <c r="E1025" s="6"/>
      <c r="F1025" s="6"/>
      <c r="G1025" s="12"/>
      <c r="H1025" s="12"/>
      <c r="I1025" s="9" t="str">
        <f t="shared" si="16"/>
        <v/>
      </c>
      <c r="J1025" s="7"/>
      <c r="K1025" s="6"/>
    </row>
    <row r="1026" spans="1:11" x14ac:dyDescent="0.3">
      <c r="A1026" s="6"/>
      <c r="B1026" s="7"/>
      <c r="C1026" s="6"/>
      <c r="D1026" s="6"/>
      <c r="E1026" s="6"/>
      <c r="F1026" s="6"/>
      <c r="G1026" s="12"/>
      <c r="H1026" s="12"/>
      <c r="I1026" s="9" t="str">
        <f t="shared" si="16"/>
        <v/>
      </c>
      <c r="J1026" s="7"/>
      <c r="K1026" s="6"/>
    </row>
    <row r="1027" spans="1:11" x14ac:dyDescent="0.3">
      <c r="A1027" s="6"/>
      <c r="B1027" s="7"/>
      <c r="C1027" s="6"/>
      <c r="D1027" s="6"/>
      <c r="E1027" s="6"/>
      <c r="F1027" s="6"/>
      <c r="G1027" s="12"/>
      <c r="H1027" s="12"/>
      <c r="I1027" s="9" t="str">
        <f t="shared" si="16"/>
        <v/>
      </c>
      <c r="J1027" s="7"/>
      <c r="K1027" s="6"/>
    </row>
    <row r="1028" spans="1:11" x14ac:dyDescent="0.3">
      <c r="A1028" s="6"/>
      <c r="B1028" s="7"/>
      <c r="C1028" s="6"/>
      <c r="D1028" s="6"/>
      <c r="E1028" s="6"/>
      <c r="F1028" s="6"/>
      <c r="G1028" s="12"/>
      <c r="H1028" s="12"/>
      <c r="I1028" s="9" t="str">
        <f t="shared" si="16"/>
        <v/>
      </c>
      <c r="J1028" s="7"/>
      <c r="K1028" s="6"/>
    </row>
    <row r="1029" spans="1:11" x14ac:dyDescent="0.3">
      <c r="A1029" s="6"/>
      <c r="B1029" s="7"/>
      <c r="C1029" s="6"/>
      <c r="D1029" s="6"/>
      <c r="E1029" s="6"/>
      <c r="F1029" s="6"/>
      <c r="G1029" s="12"/>
      <c r="H1029" s="12"/>
      <c r="I1029" s="9" t="str">
        <f t="shared" si="16"/>
        <v/>
      </c>
      <c r="J1029" s="7"/>
      <c r="K1029" s="6"/>
    </row>
    <row r="1030" spans="1:11" x14ac:dyDescent="0.3">
      <c r="A1030" s="6"/>
      <c r="B1030" s="7"/>
      <c r="C1030" s="6"/>
      <c r="D1030" s="6"/>
      <c r="E1030" s="6"/>
      <c r="F1030" s="6"/>
      <c r="G1030" s="12"/>
      <c r="H1030" s="12"/>
      <c r="I1030" s="9" t="str">
        <f t="shared" si="16"/>
        <v/>
      </c>
      <c r="J1030" s="7"/>
      <c r="K1030" s="6"/>
    </row>
    <row r="1031" spans="1:11" x14ac:dyDescent="0.3">
      <c r="A1031" s="6"/>
      <c r="B1031" s="7"/>
      <c r="C1031" s="6"/>
      <c r="D1031" s="6"/>
      <c r="E1031" s="6"/>
      <c r="F1031" s="6"/>
      <c r="G1031" s="12"/>
      <c r="H1031" s="12"/>
      <c r="I1031" s="9" t="str">
        <f t="shared" si="16"/>
        <v/>
      </c>
      <c r="J1031" s="7"/>
      <c r="K1031" s="6"/>
    </row>
    <row r="1032" spans="1:11" x14ac:dyDescent="0.3">
      <c r="A1032" s="6"/>
      <c r="B1032" s="7"/>
      <c r="C1032" s="6"/>
      <c r="D1032" s="6"/>
      <c r="E1032" s="6"/>
      <c r="F1032" s="6"/>
      <c r="G1032" s="12"/>
      <c r="H1032" s="12"/>
      <c r="I1032" s="9" t="str">
        <f t="shared" si="16"/>
        <v/>
      </c>
      <c r="J1032" s="7"/>
      <c r="K1032" s="6"/>
    </row>
    <row r="1033" spans="1:11" x14ac:dyDescent="0.3">
      <c r="A1033" s="6"/>
      <c r="B1033" s="7"/>
      <c r="C1033" s="6"/>
      <c r="D1033" s="6"/>
      <c r="E1033" s="6"/>
      <c r="F1033" s="6"/>
      <c r="G1033" s="12"/>
      <c r="H1033" s="12"/>
      <c r="I1033" s="9" t="str">
        <f t="shared" si="16"/>
        <v/>
      </c>
      <c r="J1033" s="7"/>
      <c r="K1033" s="6"/>
    </row>
    <row r="1034" spans="1:11" x14ac:dyDescent="0.3">
      <c r="A1034" s="6"/>
      <c r="B1034" s="7"/>
      <c r="C1034" s="6"/>
      <c r="D1034" s="6"/>
      <c r="E1034" s="6"/>
      <c r="F1034" s="6"/>
      <c r="G1034" s="12"/>
      <c r="H1034" s="12"/>
      <c r="I1034" s="9" t="str">
        <f t="shared" si="16"/>
        <v/>
      </c>
      <c r="J1034" s="7"/>
      <c r="K1034" s="6"/>
    </row>
    <row r="1035" spans="1:11" x14ac:dyDescent="0.3">
      <c r="A1035" s="6"/>
      <c r="B1035" s="7"/>
      <c r="C1035" s="6"/>
      <c r="D1035" s="6"/>
      <c r="E1035" s="6"/>
      <c r="F1035" s="6"/>
      <c r="G1035" s="12"/>
      <c r="H1035" s="12"/>
      <c r="I1035" s="9" t="str">
        <f t="shared" si="16"/>
        <v/>
      </c>
      <c r="J1035" s="7"/>
      <c r="K1035" s="6"/>
    </row>
    <row r="1036" spans="1:11" x14ac:dyDescent="0.3">
      <c r="A1036" s="6"/>
      <c r="B1036" s="7"/>
      <c r="C1036" s="6"/>
      <c r="D1036" s="6"/>
      <c r="E1036" s="6"/>
      <c r="F1036" s="6"/>
      <c r="G1036" s="12"/>
      <c r="H1036" s="12"/>
      <c r="I1036" s="9" t="str">
        <f t="shared" si="16"/>
        <v/>
      </c>
      <c r="J1036" s="7"/>
      <c r="K1036" s="6"/>
    </row>
    <row r="1037" spans="1:11" x14ac:dyDescent="0.3">
      <c r="A1037" s="6"/>
      <c r="B1037" s="7"/>
      <c r="C1037" s="6"/>
      <c r="D1037" s="6"/>
      <c r="E1037" s="6"/>
      <c r="F1037" s="6"/>
      <c r="G1037" s="12"/>
      <c r="H1037" s="12"/>
      <c r="I1037" s="9" t="str">
        <f t="shared" si="16"/>
        <v/>
      </c>
      <c r="J1037" s="7"/>
      <c r="K1037" s="6"/>
    </row>
    <row r="1038" spans="1:11" x14ac:dyDescent="0.3">
      <c r="A1038" s="6"/>
      <c r="B1038" s="7"/>
      <c r="C1038" s="6"/>
      <c r="D1038" s="6"/>
      <c r="E1038" s="6"/>
      <c r="F1038" s="6"/>
      <c r="G1038" s="12"/>
      <c r="H1038" s="12"/>
      <c r="I1038" s="9" t="str">
        <f t="shared" si="16"/>
        <v/>
      </c>
      <c r="J1038" s="7"/>
      <c r="K1038" s="6"/>
    </row>
    <row r="1039" spans="1:11" x14ac:dyDescent="0.3">
      <c r="A1039" s="6"/>
      <c r="B1039" s="7"/>
      <c r="C1039" s="6"/>
      <c r="D1039" s="6"/>
      <c r="E1039" s="6"/>
      <c r="F1039" s="6"/>
      <c r="G1039" s="12"/>
      <c r="H1039" s="12"/>
      <c r="I1039" s="9" t="str">
        <f t="shared" si="16"/>
        <v/>
      </c>
      <c r="J1039" s="7"/>
      <c r="K1039" s="6"/>
    </row>
    <row r="1040" spans="1:11" x14ac:dyDescent="0.3">
      <c r="A1040" s="6"/>
      <c r="B1040" s="7"/>
      <c r="C1040" s="6"/>
      <c r="D1040" s="6"/>
      <c r="E1040" s="6"/>
      <c r="F1040" s="6"/>
      <c r="G1040" s="12"/>
      <c r="H1040" s="12"/>
      <c r="I1040" s="9" t="str">
        <f t="shared" si="16"/>
        <v/>
      </c>
      <c r="J1040" s="7"/>
      <c r="K1040" s="6"/>
    </row>
    <row r="1041" spans="1:11" x14ac:dyDescent="0.3">
      <c r="A1041" s="6"/>
      <c r="B1041" s="7"/>
      <c r="C1041" s="6"/>
      <c r="D1041" s="6"/>
      <c r="E1041" s="6"/>
      <c r="F1041" s="6"/>
      <c r="G1041" s="12"/>
      <c r="H1041" s="12"/>
      <c r="I1041" s="9" t="str">
        <f t="shared" si="16"/>
        <v/>
      </c>
      <c r="J1041" s="7"/>
      <c r="K1041" s="6"/>
    </row>
    <row r="1042" spans="1:11" x14ac:dyDescent="0.3">
      <c r="A1042" s="6"/>
      <c r="B1042" s="7"/>
      <c r="C1042" s="6"/>
      <c r="D1042" s="6"/>
      <c r="E1042" s="6"/>
      <c r="F1042" s="6"/>
      <c r="G1042" s="12"/>
      <c r="H1042" s="12"/>
      <c r="I1042" s="9" t="str">
        <f t="shared" si="16"/>
        <v/>
      </c>
      <c r="J1042" s="7"/>
      <c r="K1042" s="6"/>
    </row>
    <row r="1043" spans="1:11" x14ac:dyDescent="0.3">
      <c r="A1043" s="6"/>
      <c r="B1043" s="7"/>
      <c r="C1043" s="6"/>
      <c r="D1043" s="6"/>
      <c r="E1043" s="6"/>
      <c r="F1043" s="6"/>
      <c r="G1043" s="12"/>
      <c r="H1043" s="12"/>
      <c r="I1043" s="9" t="str">
        <f t="shared" si="16"/>
        <v/>
      </c>
      <c r="J1043" s="7"/>
      <c r="K1043" s="6"/>
    </row>
    <row r="1044" spans="1:11" x14ac:dyDescent="0.3">
      <c r="A1044" s="6"/>
      <c r="B1044" s="7"/>
      <c r="C1044" s="6"/>
      <c r="D1044" s="6"/>
      <c r="E1044" s="6"/>
      <c r="F1044" s="6"/>
      <c r="G1044" s="12"/>
      <c r="H1044" s="12"/>
      <c r="I1044" s="9" t="str">
        <f t="shared" si="16"/>
        <v/>
      </c>
      <c r="J1044" s="7"/>
      <c r="K1044" s="6"/>
    </row>
    <row r="1045" spans="1:11" x14ac:dyDescent="0.3">
      <c r="A1045" s="6"/>
      <c r="B1045" s="7"/>
      <c r="C1045" s="6"/>
      <c r="D1045" s="6"/>
      <c r="E1045" s="6"/>
      <c r="F1045" s="6"/>
      <c r="G1045" s="12"/>
      <c r="H1045" s="12"/>
      <c r="I1045" s="9" t="str">
        <f t="shared" si="16"/>
        <v/>
      </c>
      <c r="J1045" s="7"/>
      <c r="K1045" s="6"/>
    </row>
    <row r="1046" spans="1:11" x14ac:dyDescent="0.3">
      <c r="A1046" s="6"/>
      <c r="B1046" s="7"/>
      <c r="C1046" s="6"/>
      <c r="D1046" s="6"/>
      <c r="E1046" s="6"/>
      <c r="F1046" s="6"/>
      <c r="G1046" s="12"/>
      <c r="H1046" s="12"/>
      <c r="I1046" s="9" t="str">
        <f t="shared" si="16"/>
        <v/>
      </c>
      <c r="J1046" s="7"/>
      <c r="K1046" s="6"/>
    </row>
    <row r="1047" spans="1:11" x14ac:dyDescent="0.3">
      <c r="A1047" s="6"/>
      <c r="B1047" s="7"/>
      <c r="C1047" s="6"/>
      <c r="D1047" s="6"/>
      <c r="E1047" s="6"/>
      <c r="F1047" s="6"/>
      <c r="G1047" s="12"/>
      <c r="H1047" s="12"/>
      <c r="I1047" s="9" t="str">
        <f t="shared" si="16"/>
        <v/>
      </c>
      <c r="J1047" s="7"/>
      <c r="K1047" s="6"/>
    </row>
    <row r="1048" spans="1:11" x14ac:dyDescent="0.3">
      <c r="A1048" s="6"/>
      <c r="B1048" s="7"/>
      <c r="C1048" s="6"/>
      <c r="D1048" s="6"/>
      <c r="E1048" s="6"/>
      <c r="F1048" s="6"/>
      <c r="G1048" s="12"/>
      <c r="H1048" s="12"/>
      <c r="I1048" s="9" t="str">
        <f t="shared" si="16"/>
        <v/>
      </c>
      <c r="J1048" s="7"/>
      <c r="K1048" s="6"/>
    </row>
    <row r="1049" spans="1:11" x14ac:dyDescent="0.3">
      <c r="A1049" s="6"/>
      <c r="B1049" s="7"/>
      <c r="C1049" s="6"/>
      <c r="D1049" s="6"/>
      <c r="E1049" s="6"/>
      <c r="F1049" s="6"/>
      <c r="G1049" s="12"/>
      <c r="H1049" s="12"/>
      <c r="I1049" s="9" t="str">
        <f t="shared" si="16"/>
        <v/>
      </c>
      <c r="J1049" s="7"/>
      <c r="K1049" s="6"/>
    </row>
    <row r="1050" spans="1:11" x14ac:dyDescent="0.3">
      <c r="A1050" s="6"/>
      <c r="B1050" s="7"/>
      <c r="C1050" s="6"/>
      <c r="D1050" s="6"/>
      <c r="E1050" s="6"/>
      <c r="F1050" s="6"/>
      <c r="G1050" s="12"/>
      <c r="H1050" s="12"/>
      <c r="I1050" s="9" t="str">
        <f t="shared" si="16"/>
        <v/>
      </c>
      <c r="J1050" s="7"/>
      <c r="K1050" s="6"/>
    </row>
    <row r="1051" spans="1:11" x14ac:dyDescent="0.3">
      <c r="A1051" s="6"/>
      <c r="B1051" s="7"/>
      <c r="C1051" s="6"/>
      <c r="D1051" s="6"/>
      <c r="E1051" s="6"/>
      <c r="F1051" s="6"/>
      <c r="G1051" s="12"/>
      <c r="H1051" s="12"/>
      <c r="I1051" s="9" t="str">
        <f t="shared" si="16"/>
        <v/>
      </c>
      <c r="J1051" s="7"/>
      <c r="K1051" s="6"/>
    </row>
    <row r="1052" spans="1:11" x14ac:dyDescent="0.3">
      <c r="A1052" s="6"/>
      <c r="B1052" s="7"/>
      <c r="C1052" s="6"/>
      <c r="D1052" s="6"/>
      <c r="E1052" s="6"/>
      <c r="F1052" s="6"/>
      <c r="G1052" s="12"/>
      <c r="H1052" s="12"/>
      <c r="I1052" s="9" t="str">
        <f t="shared" si="16"/>
        <v/>
      </c>
      <c r="J1052" s="7"/>
      <c r="K1052" s="6"/>
    </row>
    <row r="1053" spans="1:11" x14ac:dyDescent="0.3">
      <c r="A1053" s="6"/>
      <c r="B1053" s="7"/>
      <c r="C1053" s="6"/>
      <c r="D1053" s="6"/>
      <c r="E1053" s="6"/>
      <c r="F1053" s="6"/>
      <c r="G1053" s="12"/>
      <c r="H1053" s="12"/>
      <c r="I1053" s="9" t="str">
        <f t="shared" si="16"/>
        <v/>
      </c>
      <c r="J1053" s="7"/>
      <c r="K1053" s="6"/>
    </row>
    <row r="1054" spans="1:11" x14ac:dyDescent="0.3">
      <c r="A1054" s="6"/>
      <c r="B1054" s="7"/>
      <c r="C1054" s="6"/>
      <c r="D1054" s="6"/>
      <c r="E1054" s="6"/>
      <c r="F1054" s="6"/>
      <c r="G1054" s="12"/>
      <c r="H1054" s="12"/>
      <c r="I1054" s="9" t="str">
        <f t="shared" si="16"/>
        <v/>
      </c>
      <c r="J1054" s="7"/>
      <c r="K1054" s="6"/>
    </row>
    <row r="1055" spans="1:11" x14ac:dyDescent="0.3">
      <c r="A1055" s="6"/>
      <c r="B1055" s="7"/>
      <c r="C1055" s="6"/>
      <c r="D1055" s="6"/>
      <c r="E1055" s="6"/>
      <c r="F1055" s="6"/>
      <c r="G1055" s="12"/>
      <c r="H1055" s="12"/>
      <c r="I1055" s="9" t="str">
        <f t="shared" si="16"/>
        <v/>
      </c>
      <c r="J1055" s="7"/>
      <c r="K1055" s="6"/>
    </row>
    <row r="1056" spans="1:11" x14ac:dyDescent="0.3">
      <c r="A1056" s="6"/>
      <c r="B1056" s="7"/>
      <c r="C1056" s="6"/>
      <c r="D1056" s="6"/>
      <c r="E1056" s="6"/>
      <c r="F1056" s="6"/>
      <c r="G1056" s="12"/>
      <c r="H1056" s="12"/>
      <c r="I1056" s="9" t="str">
        <f t="shared" si="16"/>
        <v/>
      </c>
      <c r="J1056" s="7"/>
      <c r="K1056" s="6"/>
    </row>
    <row r="1057" spans="1:11" x14ac:dyDescent="0.3">
      <c r="A1057" s="6"/>
      <c r="B1057" s="7"/>
      <c r="C1057" s="6"/>
      <c r="D1057" s="6"/>
      <c r="E1057" s="6"/>
      <c r="F1057" s="6"/>
      <c r="G1057" s="12"/>
      <c r="H1057" s="12"/>
      <c r="I1057" s="9" t="str">
        <f t="shared" si="16"/>
        <v/>
      </c>
      <c r="J1057" s="7"/>
      <c r="K1057" s="6"/>
    </row>
    <row r="1058" spans="1:11" x14ac:dyDescent="0.3">
      <c r="A1058" s="6"/>
      <c r="B1058" s="7"/>
      <c r="C1058" s="6"/>
      <c r="D1058" s="6"/>
      <c r="E1058" s="6"/>
      <c r="F1058" s="6"/>
      <c r="G1058" s="12"/>
      <c r="H1058" s="12"/>
      <c r="I1058" s="9" t="str">
        <f t="shared" si="16"/>
        <v/>
      </c>
      <c r="J1058" s="7"/>
      <c r="K1058" s="6"/>
    </row>
    <row r="1059" spans="1:11" x14ac:dyDescent="0.3">
      <c r="A1059" s="6"/>
      <c r="B1059" s="7"/>
      <c r="C1059" s="6"/>
      <c r="D1059" s="6"/>
      <c r="E1059" s="6"/>
      <c r="F1059" s="6"/>
      <c r="G1059" s="12"/>
      <c r="H1059" s="12"/>
      <c r="I1059" s="9" t="str">
        <f t="shared" si="16"/>
        <v/>
      </c>
      <c r="J1059" s="7"/>
      <c r="K1059" s="6"/>
    </row>
    <row r="1060" spans="1:11" x14ac:dyDescent="0.3">
      <c r="A1060" s="6"/>
      <c r="B1060" s="7"/>
      <c r="C1060" s="6"/>
      <c r="D1060" s="6"/>
      <c r="E1060" s="6"/>
      <c r="F1060" s="6"/>
      <c r="G1060" s="12"/>
      <c r="H1060" s="12"/>
      <c r="I1060" s="9" t="str">
        <f t="shared" si="16"/>
        <v/>
      </c>
      <c r="J1060" s="7"/>
      <c r="K1060" s="6"/>
    </row>
    <row r="1061" spans="1:11" x14ac:dyDescent="0.3">
      <c r="A1061" s="6"/>
      <c r="B1061" s="7"/>
      <c r="C1061" s="6"/>
      <c r="D1061" s="6"/>
      <c r="E1061" s="6"/>
      <c r="F1061" s="6"/>
      <c r="G1061" s="12"/>
      <c r="H1061" s="12"/>
      <c r="I1061" s="9" t="str">
        <f t="shared" si="16"/>
        <v/>
      </c>
      <c r="J1061" s="7"/>
      <c r="K1061" s="6"/>
    </row>
    <row r="1062" spans="1:11" x14ac:dyDescent="0.3">
      <c r="A1062" s="6"/>
      <c r="B1062" s="7"/>
      <c r="C1062" s="6"/>
      <c r="D1062" s="6"/>
      <c r="E1062" s="6"/>
      <c r="F1062" s="6"/>
      <c r="G1062" s="12"/>
      <c r="H1062" s="12"/>
      <c r="I1062" s="9" t="str">
        <f t="shared" si="16"/>
        <v/>
      </c>
      <c r="J1062" s="7"/>
      <c r="K1062" s="6"/>
    </row>
    <row r="1063" spans="1:11" x14ac:dyDescent="0.3">
      <c r="A1063" s="6"/>
      <c r="B1063" s="7"/>
      <c r="C1063" s="6"/>
      <c r="D1063" s="6"/>
      <c r="E1063" s="6"/>
      <c r="F1063" s="6"/>
      <c r="G1063" s="12"/>
      <c r="H1063" s="12"/>
      <c r="I1063" s="9" t="str">
        <f t="shared" si="16"/>
        <v/>
      </c>
      <c r="J1063" s="7"/>
      <c r="K1063" s="6"/>
    </row>
    <row r="1064" spans="1:11" x14ac:dyDescent="0.3">
      <c r="A1064" s="6"/>
      <c r="B1064" s="7"/>
      <c r="C1064" s="6"/>
      <c r="D1064" s="6"/>
      <c r="E1064" s="6"/>
      <c r="F1064" s="6"/>
      <c r="G1064" s="12"/>
      <c r="H1064" s="12"/>
      <c r="I1064" s="9" t="str">
        <f t="shared" si="16"/>
        <v/>
      </c>
      <c r="J1064" s="7"/>
      <c r="K1064" s="6"/>
    </row>
    <row r="1065" spans="1:11" x14ac:dyDescent="0.3">
      <c r="A1065" s="6"/>
      <c r="B1065" s="7"/>
      <c r="C1065" s="6"/>
      <c r="D1065" s="6"/>
      <c r="E1065" s="6"/>
      <c r="F1065" s="6"/>
      <c r="G1065" s="12"/>
      <c r="H1065" s="12"/>
      <c r="I1065" s="9" t="str">
        <f t="shared" si="16"/>
        <v/>
      </c>
      <c r="J1065" s="7"/>
      <c r="K1065" s="6"/>
    </row>
    <row r="1066" spans="1:11" x14ac:dyDescent="0.3">
      <c r="A1066" s="6"/>
      <c r="B1066" s="7"/>
      <c r="C1066" s="6"/>
      <c r="D1066" s="6"/>
      <c r="E1066" s="6"/>
      <c r="F1066" s="6"/>
      <c r="G1066" s="12"/>
      <c r="H1066" s="12"/>
      <c r="I1066" s="9" t="str">
        <f t="shared" si="16"/>
        <v/>
      </c>
      <c r="J1066" s="7"/>
      <c r="K1066" s="6"/>
    </row>
    <row r="1067" spans="1:11" x14ac:dyDescent="0.3">
      <c r="A1067" s="6"/>
      <c r="B1067" s="7"/>
      <c r="C1067" s="6"/>
      <c r="D1067" s="6"/>
      <c r="E1067" s="6"/>
      <c r="F1067" s="6"/>
      <c r="G1067" s="12"/>
      <c r="H1067" s="12"/>
      <c r="I1067" s="9" t="str">
        <f t="shared" si="16"/>
        <v/>
      </c>
      <c r="J1067" s="7"/>
      <c r="K1067" s="6"/>
    </row>
    <row r="1068" spans="1:11" x14ac:dyDescent="0.3">
      <c r="A1068" s="6"/>
      <c r="B1068" s="7"/>
      <c r="C1068" s="6"/>
      <c r="D1068" s="6"/>
      <c r="E1068" s="6"/>
      <c r="F1068" s="6"/>
      <c r="G1068" s="12"/>
      <c r="H1068" s="12"/>
      <c r="I1068" s="9" t="str">
        <f t="shared" si="16"/>
        <v/>
      </c>
      <c r="J1068" s="7"/>
      <c r="K1068" s="6"/>
    </row>
    <row r="1069" spans="1:11" x14ac:dyDescent="0.3">
      <c r="A1069" s="6"/>
      <c r="B1069" s="7"/>
      <c r="C1069" s="6"/>
      <c r="D1069" s="6"/>
      <c r="E1069" s="6"/>
      <c r="F1069" s="6"/>
      <c r="G1069" s="12"/>
      <c r="H1069" s="12"/>
      <c r="I1069" s="9" t="str">
        <f t="shared" si="16"/>
        <v/>
      </c>
      <c r="J1069" s="7"/>
      <c r="K1069" s="6"/>
    </row>
    <row r="1070" spans="1:11" x14ac:dyDescent="0.3">
      <c r="A1070" s="6"/>
      <c r="B1070" s="7"/>
      <c r="C1070" s="6"/>
      <c r="D1070" s="6"/>
      <c r="E1070" s="6"/>
      <c r="F1070" s="6"/>
      <c r="G1070" s="12"/>
      <c r="H1070" s="12"/>
      <c r="I1070" s="9" t="str">
        <f t="shared" si="16"/>
        <v/>
      </c>
      <c r="J1070" s="7"/>
      <c r="K1070" s="6"/>
    </row>
    <row r="1071" spans="1:11" x14ac:dyDescent="0.3">
      <c r="A1071" s="6"/>
      <c r="B1071" s="7"/>
      <c r="C1071" s="6"/>
      <c r="D1071" s="6"/>
      <c r="E1071" s="6"/>
      <c r="F1071" s="6"/>
      <c r="G1071" s="12"/>
      <c r="H1071" s="12"/>
      <c r="I1071" s="9" t="str">
        <f t="shared" si="16"/>
        <v/>
      </c>
      <c r="J1071" s="7"/>
      <c r="K1071" s="6"/>
    </row>
    <row r="1072" spans="1:11" x14ac:dyDescent="0.3">
      <c r="A1072" s="6"/>
      <c r="B1072" s="7"/>
      <c r="C1072" s="6"/>
      <c r="D1072" s="6"/>
      <c r="E1072" s="6"/>
      <c r="F1072" s="6"/>
      <c r="G1072" s="12"/>
      <c r="H1072" s="12"/>
      <c r="I1072" s="9" t="str">
        <f t="shared" si="16"/>
        <v/>
      </c>
      <c r="J1072" s="7"/>
      <c r="K1072" s="6"/>
    </row>
    <row r="1073" spans="1:11" x14ac:dyDescent="0.3">
      <c r="A1073" s="6"/>
      <c r="B1073" s="7"/>
      <c r="C1073" s="6"/>
      <c r="D1073" s="6"/>
      <c r="E1073" s="6"/>
      <c r="F1073" s="6"/>
      <c r="G1073" s="12"/>
      <c r="H1073" s="12"/>
      <c r="I1073" s="9" t="str">
        <f t="shared" si="16"/>
        <v/>
      </c>
      <c r="J1073" s="7"/>
      <c r="K1073" s="6"/>
    </row>
    <row r="1074" spans="1:11" x14ac:dyDescent="0.3">
      <c r="A1074" s="6"/>
      <c r="B1074" s="7"/>
      <c r="C1074" s="6"/>
      <c r="D1074" s="6"/>
      <c r="E1074" s="6"/>
      <c r="F1074" s="6"/>
      <c r="G1074" s="12"/>
      <c r="H1074" s="12"/>
      <c r="I1074" s="9" t="str">
        <f t="shared" si="16"/>
        <v/>
      </c>
      <c r="J1074" s="7"/>
      <c r="K1074" s="6"/>
    </row>
    <row r="1075" spans="1:11" x14ac:dyDescent="0.3">
      <c r="A1075" s="6"/>
      <c r="B1075" s="7"/>
      <c r="C1075" s="6"/>
      <c r="D1075" s="6"/>
      <c r="E1075" s="6"/>
      <c r="F1075" s="6"/>
      <c r="G1075" s="12"/>
      <c r="H1075" s="12"/>
      <c r="I1075" s="9" t="str">
        <f t="shared" si="16"/>
        <v/>
      </c>
      <c r="J1075" s="7"/>
      <c r="K1075" s="6"/>
    </row>
    <row r="1076" spans="1:11" x14ac:dyDescent="0.3">
      <c r="A1076" s="6"/>
      <c r="B1076" s="7"/>
      <c r="C1076" s="6"/>
      <c r="D1076" s="6"/>
      <c r="E1076" s="6"/>
      <c r="F1076" s="6"/>
      <c r="G1076" s="12"/>
      <c r="H1076" s="12"/>
      <c r="I1076" s="9" t="str">
        <f t="shared" si="16"/>
        <v/>
      </c>
      <c r="J1076" s="7"/>
      <c r="K1076" s="6"/>
    </row>
    <row r="1077" spans="1:11" x14ac:dyDescent="0.3">
      <c r="A1077" s="6"/>
      <c r="B1077" s="7"/>
      <c r="C1077" s="6"/>
      <c r="D1077" s="6"/>
      <c r="E1077" s="6"/>
      <c r="F1077" s="6"/>
      <c r="G1077" s="12"/>
      <c r="H1077" s="12"/>
      <c r="I1077" s="9" t="str">
        <f t="shared" ref="I1077:I1140" si="17">IF(AND(G1077&lt;&gt;"",H1077&lt;&gt;""),MOD(H1077-G1077,1)*24,"")</f>
        <v/>
      </c>
      <c r="J1077" s="7"/>
      <c r="K1077" s="6"/>
    </row>
    <row r="1078" spans="1:11" x14ac:dyDescent="0.3">
      <c r="A1078" s="6"/>
      <c r="B1078" s="7"/>
      <c r="C1078" s="6"/>
      <c r="D1078" s="6"/>
      <c r="E1078" s="6"/>
      <c r="F1078" s="6"/>
      <c r="G1078" s="12"/>
      <c r="H1078" s="12"/>
      <c r="I1078" s="9" t="str">
        <f t="shared" si="17"/>
        <v/>
      </c>
      <c r="J1078" s="7"/>
      <c r="K1078" s="6"/>
    </row>
    <row r="1079" spans="1:11" x14ac:dyDescent="0.3">
      <c r="A1079" s="6"/>
      <c r="B1079" s="7"/>
      <c r="C1079" s="6"/>
      <c r="D1079" s="6"/>
      <c r="E1079" s="6"/>
      <c r="F1079" s="6"/>
      <c r="G1079" s="12"/>
      <c r="H1079" s="12"/>
      <c r="I1079" s="9" t="str">
        <f t="shared" si="17"/>
        <v/>
      </c>
      <c r="J1079" s="7"/>
      <c r="K1079" s="6"/>
    </row>
    <row r="1080" spans="1:11" x14ac:dyDescent="0.3">
      <c r="A1080" s="6"/>
      <c r="B1080" s="7"/>
      <c r="C1080" s="6"/>
      <c r="D1080" s="6"/>
      <c r="E1080" s="6"/>
      <c r="F1080" s="6"/>
      <c r="G1080" s="12"/>
      <c r="H1080" s="12"/>
      <c r="I1080" s="9" t="str">
        <f t="shared" si="17"/>
        <v/>
      </c>
      <c r="J1080" s="7"/>
      <c r="K1080" s="6"/>
    </row>
    <row r="1081" spans="1:11" x14ac:dyDescent="0.3">
      <c r="A1081" s="6"/>
      <c r="B1081" s="7"/>
      <c r="C1081" s="6"/>
      <c r="D1081" s="6"/>
      <c r="E1081" s="6"/>
      <c r="F1081" s="6"/>
      <c r="G1081" s="12"/>
      <c r="H1081" s="12"/>
      <c r="I1081" s="9" t="str">
        <f t="shared" si="17"/>
        <v/>
      </c>
      <c r="J1081" s="7"/>
      <c r="K1081" s="6"/>
    </row>
    <row r="1082" spans="1:11" x14ac:dyDescent="0.3">
      <c r="A1082" s="6"/>
      <c r="B1082" s="7"/>
      <c r="C1082" s="6"/>
      <c r="D1082" s="6"/>
      <c r="E1082" s="6"/>
      <c r="F1082" s="6"/>
      <c r="G1082" s="12"/>
      <c r="H1082" s="12"/>
      <c r="I1082" s="9" t="str">
        <f t="shared" si="17"/>
        <v/>
      </c>
      <c r="J1082" s="7"/>
      <c r="K1082" s="6"/>
    </row>
    <row r="1083" spans="1:11" x14ac:dyDescent="0.3">
      <c r="A1083" s="6"/>
      <c r="B1083" s="7"/>
      <c r="C1083" s="6"/>
      <c r="D1083" s="6"/>
      <c r="E1083" s="6"/>
      <c r="F1083" s="6"/>
      <c r="G1083" s="12"/>
      <c r="H1083" s="12"/>
      <c r="I1083" s="9" t="str">
        <f t="shared" si="17"/>
        <v/>
      </c>
      <c r="J1083" s="7"/>
      <c r="K1083" s="6"/>
    </row>
    <row r="1084" spans="1:11" x14ac:dyDescent="0.3">
      <c r="A1084" s="6"/>
      <c r="B1084" s="7"/>
      <c r="C1084" s="6"/>
      <c r="D1084" s="6"/>
      <c r="E1084" s="6"/>
      <c r="F1084" s="6"/>
      <c r="G1084" s="12"/>
      <c r="H1084" s="12"/>
      <c r="I1084" s="9" t="str">
        <f t="shared" si="17"/>
        <v/>
      </c>
      <c r="J1084" s="7"/>
      <c r="K1084" s="6"/>
    </row>
    <row r="1085" spans="1:11" x14ac:dyDescent="0.3">
      <c r="A1085" s="6"/>
      <c r="B1085" s="7"/>
      <c r="C1085" s="6"/>
      <c r="D1085" s="6"/>
      <c r="E1085" s="6"/>
      <c r="F1085" s="6"/>
      <c r="G1085" s="12"/>
      <c r="H1085" s="12"/>
      <c r="I1085" s="9" t="str">
        <f t="shared" si="17"/>
        <v/>
      </c>
      <c r="J1085" s="7"/>
      <c r="K1085" s="6"/>
    </row>
    <row r="1086" spans="1:11" x14ac:dyDescent="0.3">
      <c r="A1086" s="6"/>
      <c r="B1086" s="7"/>
      <c r="C1086" s="6"/>
      <c r="D1086" s="6"/>
      <c r="E1086" s="6"/>
      <c r="F1086" s="6"/>
      <c r="G1086" s="12"/>
      <c r="H1086" s="12"/>
      <c r="I1086" s="9" t="str">
        <f t="shared" si="17"/>
        <v/>
      </c>
      <c r="J1086" s="7"/>
      <c r="K1086" s="6"/>
    </row>
    <row r="1087" spans="1:11" x14ac:dyDescent="0.3">
      <c r="A1087" s="6"/>
      <c r="B1087" s="7"/>
      <c r="C1087" s="6"/>
      <c r="D1087" s="6"/>
      <c r="E1087" s="6"/>
      <c r="F1087" s="6"/>
      <c r="G1087" s="12"/>
      <c r="H1087" s="12"/>
      <c r="I1087" s="9" t="str">
        <f t="shared" si="17"/>
        <v/>
      </c>
      <c r="J1087" s="7"/>
      <c r="K1087" s="6"/>
    </row>
    <row r="1088" spans="1:11" x14ac:dyDescent="0.3">
      <c r="A1088" s="6"/>
      <c r="B1088" s="7"/>
      <c r="C1088" s="6"/>
      <c r="D1088" s="6"/>
      <c r="E1088" s="6"/>
      <c r="F1088" s="6"/>
      <c r="G1088" s="12"/>
      <c r="H1088" s="12"/>
      <c r="I1088" s="9" t="str">
        <f t="shared" si="17"/>
        <v/>
      </c>
      <c r="J1088" s="7"/>
      <c r="K1088" s="6"/>
    </row>
    <row r="1089" spans="1:11" x14ac:dyDescent="0.3">
      <c r="A1089" s="6"/>
      <c r="B1089" s="7"/>
      <c r="C1089" s="6"/>
      <c r="D1089" s="6"/>
      <c r="E1089" s="6"/>
      <c r="F1089" s="6"/>
      <c r="G1089" s="12"/>
      <c r="H1089" s="12"/>
      <c r="I1089" s="9" t="str">
        <f t="shared" si="17"/>
        <v/>
      </c>
      <c r="J1089" s="7"/>
      <c r="K1089" s="6"/>
    </row>
    <row r="1090" spans="1:11" x14ac:dyDescent="0.3">
      <c r="A1090" s="6"/>
      <c r="B1090" s="7"/>
      <c r="C1090" s="6"/>
      <c r="D1090" s="6"/>
      <c r="E1090" s="6"/>
      <c r="F1090" s="6"/>
      <c r="G1090" s="12"/>
      <c r="H1090" s="12"/>
      <c r="I1090" s="9" t="str">
        <f t="shared" si="17"/>
        <v/>
      </c>
      <c r="J1090" s="7"/>
      <c r="K1090" s="6"/>
    </row>
    <row r="1091" spans="1:11" x14ac:dyDescent="0.3">
      <c r="A1091" s="6"/>
      <c r="B1091" s="7"/>
      <c r="C1091" s="6"/>
      <c r="D1091" s="6"/>
      <c r="E1091" s="6"/>
      <c r="F1091" s="6"/>
      <c r="G1091" s="12"/>
      <c r="H1091" s="12"/>
      <c r="I1091" s="9" t="str">
        <f t="shared" si="17"/>
        <v/>
      </c>
      <c r="J1091" s="7"/>
      <c r="K1091" s="6"/>
    </row>
    <row r="1092" spans="1:11" x14ac:dyDescent="0.3">
      <c r="A1092" s="6"/>
      <c r="B1092" s="7"/>
      <c r="C1092" s="6"/>
      <c r="D1092" s="6"/>
      <c r="E1092" s="6"/>
      <c r="F1092" s="6"/>
      <c r="G1092" s="12"/>
      <c r="H1092" s="12"/>
      <c r="I1092" s="9" t="str">
        <f t="shared" si="17"/>
        <v/>
      </c>
      <c r="J1092" s="7"/>
      <c r="K1092" s="6"/>
    </row>
    <row r="1093" spans="1:11" x14ac:dyDescent="0.3">
      <c r="A1093" s="6"/>
      <c r="B1093" s="7"/>
      <c r="C1093" s="6"/>
      <c r="D1093" s="6"/>
      <c r="E1093" s="6"/>
      <c r="F1093" s="6"/>
      <c r="G1093" s="12"/>
      <c r="H1093" s="12"/>
      <c r="I1093" s="9" t="str">
        <f t="shared" si="17"/>
        <v/>
      </c>
      <c r="J1093" s="7"/>
      <c r="K1093" s="6"/>
    </row>
    <row r="1094" spans="1:11" x14ac:dyDescent="0.3">
      <c r="A1094" s="6"/>
      <c r="B1094" s="7"/>
      <c r="C1094" s="6"/>
      <c r="D1094" s="6"/>
      <c r="E1094" s="6"/>
      <c r="F1094" s="6"/>
      <c r="G1094" s="12"/>
      <c r="H1094" s="12"/>
      <c r="I1094" s="9" t="str">
        <f t="shared" si="17"/>
        <v/>
      </c>
      <c r="J1094" s="7"/>
      <c r="K1094" s="6"/>
    </row>
    <row r="1095" spans="1:11" x14ac:dyDescent="0.3">
      <c r="A1095" s="6"/>
      <c r="B1095" s="7"/>
      <c r="C1095" s="6"/>
      <c r="D1095" s="6"/>
      <c r="E1095" s="6"/>
      <c r="F1095" s="6"/>
      <c r="G1095" s="12"/>
      <c r="H1095" s="12"/>
      <c r="I1095" s="9" t="str">
        <f t="shared" si="17"/>
        <v/>
      </c>
      <c r="J1095" s="7"/>
      <c r="K1095" s="6"/>
    </row>
    <row r="1096" spans="1:11" x14ac:dyDescent="0.3">
      <c r="A1096" s="6"/>
      <c r="B1096" s="7"/>
      <c r="C1096" s="6"/>
      <c r="D1096" s="6"/>
      <c r="E1096" s="6"/>
      <c r="F1096" s="6"/>
      <c r="G1096" s="12"/>
      <c r="H1096" s="12"/>
      <c r="I1096" s="9" t="str">
        <f t="shared" si="17"/>
        <v/>
      </c>
      <c r="J1096" s="7"/>
      <c r="K1096" s="6"/>
    </row>
    <row r="1097" spans="1:11" x14ac:dyDescent="0.3">
      <c r="A1097" s="6"/>
      <c r="B1097" s="7"/>
      <c r="C1097" s="6"/>
      <c r="D1097" s="6"/>
      <c r="E1097" s="6"/>
      <c r="F1097" s="6"/>
      <c r="G1097" s="12"/>
      <c r="H1097" s="12"/>
      <c r="I1097" s="9" t="str">
        <f t="shared" si="17"/>
        <v/>
      </c>
      <c r="J1097" s="7"/>
      <c r="K1097" s="6"/>
    </row>
    <row r="1098" spans="1:11" x14ac:dyDescent="0.3">
      <c r="A1098" s="6"/>
      <c r="B1098" s="7"/>
      <c r="C1098" s="6"/>
      <c r="D1098" s="6"/>
      <c r="E1098" s="6"/>
      <c r="F1098" s="6"/>
      <c r="G1098" s="12"/>
      <c r="H1098" s="12"/>
      <c r="I1098" s="9" t="str">
        <f t="shared" si="17"/>
        <v/>
      </c>
      <c r="J1098" s="7"/>
      <c r="K1098" s="6"/>
    </row>
    <row r="1099" spans="1:11" x14ac:dyDescent="0.3">
      <c r="A1099" s="6"/>
      <c r="B1099" s="7"/>
      <c r="C1099" s="6"/>
      <c r="D1099" s="6"/>
      <c r="E1099" s="6"/>
      <c r="F1099" s="6"/>
      <c r="G1099" s="12"/>
      <c r="H1099" s="12"/>
      <c r="I1099" s="9" t="str">
        <f t="shared" si="17"/>
        <v/>
      </c>
      <c r="J1099" s="7"/>
      <c r="K1099" s="6"/>
    </row>
    <row r="1100" spans="1:11" x14ac:dyDescent="0.3">
      <c r="A1100" s="6"/>
      <c r="B1100" s="7"/>
      <c r="C1100" s="6"/>
      <c r="D1100" s="6"/>
      <c r="E1100" s="6"/>
      <c r="F1100" s="6"/>
      <c r="G1100" s="12"/>
      <c r="H1100" s="12"/>
      <c r="I1100" s="9" t="str">
        <f t="shared" si="17"/>
        <v/>
      </c>
      <c r="J1100" s="7"/>
      <c r="K1100" s="6"/>
    </row>
    <row r="1101" spans="1:11" x14ac:dyDescent="0.3">
      <c r="A1101" s="6"/>
      <c r="B1101" s="7"/>
      <c r="C1101" s="6"/>
      <c r="D1101" s="6"/>
      <c r="E1101" s="6"/>
      <c r="F1101" s="6"/>
      <c r="G1101" s="12"/>
      <c r="H1101" s="12"/>
      <c r="I1101" s="9" t="str">
        <f t="shared" si="17"/>
        <v/>
      </c>
      <c r="J1101" s="7"/>
      <c r="K1101" s="6"/>
    </row>
    <row r="1102" spans="1:11" x14ac:dyDescent="0.3">
      <c r="A1102" s="6"/>
      <c r="B1102" s="7"/>
      <c r="C1102" s="6"/>
      <c r="D1102" s="6"/>
      <c r="E1102" s="6"/>
      <c r="F1102" s="6"/>
      <c r="G1102" s="12"/>
      <c r="H1102" s="12"/>
      <c r="I1102" s="9" t="str">
        <f t="shared" si="17"/>
        <v/>
      </c>
      <c r="J1102" s="7"/>
      <c r="K1102" s="6"/>
    </row>
    <row r="1103" spans="1:11" x14ac:dyDescent="0.3">
      <c r="A1103" s="6"/>
      <c r="B1103" s="7"/>
      <c r="C1103" s="6"/>
      <c r="D1103" s="6"/>
      <c r="E1103" s="6"/>
      <c r="F1103" s="6"/>
      <c r="G1103" s="12"/>
      <c r="H1103" s="12"/>
      <c r="I1103" s="9" t="str">
        <f t="shared" si="17"/>
        <v/>
      </c>
      <c r="J1103" s="7"/>
      <c r="K1103" s="6"/>
    </row>
    <row r="1104" spans="1:11" x14ac:dyDescent="0.3">
      <c r="A1104" s="6"/>
      <c r="B1104" s="7"/>
      <c r="C1104" s="6"/>
      <c r="D1104" s="6"/>
      <c r="E1104" s="6"/>
      <c r="F1104" s="6"/>
      <c r="G1104" s="12"/>
      <c r="H1104" s="12"/>
      <c r="I1104" s="9" t="str">
        <f t="shared" si="17"/>
        <v/>
      </c>
      <c r="J1104" s="7"/>
      <c r="K1104" s="6"/>
    </row>
    <row r="1105" spans="1:11" x14ac:dyDescent="0.3">
      <c r="A1105" s="6"/>
      <c r="B1105" s="7"/>
      <c r="C1105" s="6"/>
      <c r="D1105" s="6"/>
      <c r="E1105" s="6"/>
      <c r="F1105" s="6"/>
      <c r="G1105" s="12"/>
      <c r="H1105" s="12"/>
      <c r="I1105" s="9" t="str">
        <f t="shared" si="17"/>
        <v/>
      </c>
      <c r="J1105" s="7"/>
      <c r="K1105" s="6"/>
    </row>
    <row r="1106" spans="1:11" x14ac:dyDescent="0.3">
      <c r="A1106" s="6"/>
      <c r="B1106" s="7"/>
      <c r="C1106" s="6"/>
      <c r="D1106" s="6"/>
      <c r="E1106" s="6"/>
      <c r="F1106" s="6"/>
      <c r="G1106" s="12"/>
      <c r="H1106" s="12"/>
      <c r="I1106" s="9" t="str">
        <f t="shared" si="17"/>
        <v/>
      </c>
      <c r="J1106" s="7"/>
      <c r="K1106" s="6"/>
    </row>
    <row r="1107" spans="1:11" x14ac:dyDescent="0.3">
      <c r="A1107" s="6"/>
      <c r="B1107" s="7"/>
      <c r="C1107" s="6"/>
      <c r="D1107" s="6"/>
      <c r="E1107" s="6"/>
      <c r="F1107" s="6"/>
      <c r="G1107" s="12"/>
      <c r="H1107" s="12"/>
      <c r="I1107" s="9" t="str">
        <f t="shared" si="17"/>
        <v/>
      </c>
      <c r="J1107" s="7"/>
      <c r="K1107" s="6"/>
    </row>
    <row r="1108" spans="1:11" x14ac:dyDescent="0.3">
      <c r="A1108" s="6"/>
      <c r="B1108" s="7"/>
      <c r="C1108" s="6"/>
      <c r="D1108" s="6"/>
      <c r="E1108" s="6"/>
      <c r="F1108" s="6"/>
      <c r="G1108" s="12"/>
      <c r="H1108" s="12"/>
      <c r="I1108" s="9" t="str">
        <f t="shared" si="17"/>
        <v/>
      </c>
      <c r="J1108" s="7"/>
      <c r="K1108" s="6"/>
    </row>
    <row r="1109" spans="1:11" x14ac:dyDescent="0.3">
      <c r="A1109" s="6"/>
      <c r="B1109" s="7"/>
      <c r="C1109" s="6"/>
      <c r="D1109" s="6"/>
      <c r="E1109" s="6"/>
      <c r="F1109" s="6"/>
      <c r="G1109" s="12"/>
      <c r="H1109" s="12"/>
      <c r="I1109" s="9" t="str">
        <f t="shared" si="17"/>
        <v/>
      </c>
      <c r="J1109" s="7"/>
      <c r="K1109" s="6"/>
    </row>
    <row r="1110" spans="1:11" x14ac:dyDescent="0.3">
      <c r="A1110" s="6"/>
      <c r="B1110" s="7"/>
      <c r="C1110" s="6"/>
      <c r="D1110" s="6"/>
      <c r="E1110" s="6"/>
      <c r="F1110" s="6"/>
      <c r="G1110" s="12"/>
      <c r="H1110" s="12"/>
      <c r="I1110" s="9" t="str">
        <f t="shared" si="17"/>
        <v/>
      </c>
      <c r="J1110" s="7"/>
      <c r="K1110" s="6"/>
    </row>
    <row r="1111" spans="1:11" x14ac:dyDescent="0.3">
      <c r="A1111" s="6"/>
      <c r="B1111" s="7"/>
      <c r="C1111" s="6"/>
      <c r="D1111" s="6"/>
      <c r="E1111" s="6"/>
      <c r="F1111" s="6"/>
      <c r="G1111" s="12"/>
      <c r="H1111" s="12"/>
      <c r="I1111" s="9" t="str">
        <f t="shared" si="17"/>
        <v/>
      </c>
      <c r="J1111" s="7"/>
      <c r="K1111" s="6"/>
    </row>
    <row r="1112" spans="1:11" x14ac:dyDescent="0.3">
      <c r="A1112" s="6"/>
      <c r="B1112" s="7"/>
      <c r="C1112" s="6"/>
      <c r="D1112" s="6"/>
      <c r="E1112" s="6"/>
      <c r="F1112" s="6"/>
      <c r="G1112" s="12"/>
      <c r="H1112" s="12"/>
      <c r="I1112" s="9" t="str">
        <f t="shared" si="17"/>
        <v/>
      </c>
      <c r="J1112" s="7"/>
      <c r="K1112" s="6"/>
    </row>
    <row r="1113" spans="1:11" x14ac:dyDescent="0.3">
      <c r="A1113" s="6"/>
      <c r="B1113" s="7"/>
      <c r="C1113" s="6"/>
      <c r="D1113" s="6"/>
      <c r="E1113" s="6"/>
      <c r="F1113" s="6"/>
      <c r="G1113" s="12"/>
      <c r="H1113" s="12"/>
      <c r="I1113" s="9" t="str">
        <f t="shared" si="17"/>
        <v/>
      </c>
      <c r="J1113" s="7"/>
      <c r="K1113" s="6"/>
    </row>
    <row r="1114" spans="1:11" x14ac:dyDescent="0.3">
      <c r="A1114" s="6"/>
      <c r="B1114" s="7"/>
      <c r="C1114" s="6"/>
      <c r="D1114" s="6"/>
      <c r="E1114" s="6"/>
      <c r="F1114" s="6"/>
      <c r="G1114" s="12"/>
      <c r="H1114" s="12"/>
      <c r="I1114" s="9" t="str">
        <f t="shared" si="17"/>
        <v/>
      </c>
      <c r="J1114" s="7"/>
      <c r="K1114" s="6"/>
    </row>
    <row r="1115" spans="1:11" x14ac:dyDescent="0.3">
      <c r="A1115" s="6"/>
      <c r="B1115" s="7"/>
      <c r="C1115" s="6"/>
      <c r="D1115" s="6"/>
      <c r="E1115" s="6"/>
      <c r="F1115" s="6"/>
      <c r="G1115" s="12"/>
      <c r="H1115" s="12"/>
      <c r="I1115" s="9" t="str">
        <f t="shared" si="17"/>
        <v/>
      </c>
      <c r="J1115" s="7"/>
      <c r="K1115" s="6"/>
    </row>
    <row r="1116" spans="1:11" x14ac:dyDescent="0.3">
      <c r="A1116" s="6"/>
      <c r="B1116" s="7"/>
      <c r="C1116" s="6"/>
      <c r="D1116" s="6"/>
      <c r="E1116" s="6"/>
      <c r="F1116" s="6"/>
      <c r="G1116" s="12"/>
      <c r="H1116" s="12"/>
      <c r="I1116" s="9" t="str">
        <f t="shared" si="17"/>
        <v/>
      </c>
      <c r="J1116" s="7"/>
      <c r="K1116" s="6"/>
    </row>
    <row r="1117" spans="1:11" x14ac:dyDescent="0.3">
      <c r="A1117" s="6"/>
      <c r="B1117" s="7"/>
      <c r="C1117" s="6"/>
      <c r="D1117" s="6"/>
      <c r="E1117" s="6"/>
      <c r="F1117" s="6"/>
      <c r="G1117" s="12"/>
      <c r="H1117" s="12"/>
      <c r="I1117" s="9" t="str">
        <f t="shared" si="17"/>
        <v/>
      </c>
      <c r="J1117" s="7"/>
      <c r="K1117" s="6"/>
    </row>
    <row r="1118" spans="1:11" x14ac:dyDescent="0.3">
      <c r="A1118" s="6"/>
      <c r="B1118" s="7"/>
      <c r="C1118" s="6"/>
      <c r="D1118" s="6"/>
      <c r="E1118" s="6"/>
      <c r="F1118" s="6"/>
      <c r="G1118" s="12"/>
      <c r="H1118" s="12"/>
      <c r="I1118" s="9" t="str">
        <f t="shared" si="17"/>
        <v/>
      </c>
      <c r="J1118" s="7"/>
      <c r="K1118" s="6"/>
    </row>
    <row r="1119" spans="1:11" x14ac:dyDescent="0.3">
      <c r="A1119" s="6"/>
      <c r="B1119" s="7"/>
      <c r="C1119" s="6"/>
      <c r="D1119" s="6"/>
      <c r="E1119" s="6"/>
      <c r="F1119" s="6"/>
      <c r="G1119" s="12"/>
      <c r="H1119" s="12"/>
      <c r="I1119" s="9" t="str">
        <f t="shared" si="17"/>
        <v/>
      </c>
      <c r="J1119" s="7"/>
      <c r="K1119" s="6"/>
    </row>
    <row r="1120" spans="1:11" x14ac:dyDescent="0.3">
      <c r="A1120" s="6"/>
      <c r="B1120" s="7"/>
      <c r="C1120" s="6"/>
      <c r="D1120" s="6"/>
      <c r="E1120" s="6"/>
      <c r="F1120" s="6"/>
      <c r="G1120" s="12"/>
      <c r="H1120" s="12"/>
      <c r="I1120" s="9" t="str">
        <f t="shared" si="17"/>
        <v/>
      </c>
      <c r="J1120" s="7"/>
      <c r="K1120" s="6"/>
    </row>
    <row r="1121" spans="1:11" x14ac:dyDescent="0.3">
      <c r="A1121" s="6"/>
      <c r="B1121" s="7"/>
      <c r="C1121" s="6"/>
      <c r="D1121" s="6"/>
      <c r="E1121" s="6"/>
      <c r="F1121" s="6"/>
      <c r="G1121" s="12"/>
      <c r="H1121" s="12"/>
      <c r="I1121" s="9" t="str">
        <f t="shared" si="17"/>
        <v/>
      </c>
      <c r="J1121" s="7"/>
      <c r="K1121" s="6"/>
    </row>
    <row r="1122" spans="1:11" x14ac:dyDescent="0.3">
      <c r="A1122" s="6"/>
      <c r="B1122" s="7"/>
      <c r="C1122" s="6"/>
      <c r="D1122" s="6"/>
      <c r="E1122" s="6"/>
      <c r="F1122" s="6"/>
      <c r="G1122" s="12"/>
      <c r="H1122" s="12"/>
      <c r="I1122" s="9" t="str">
        <f t="shared" si="17"/>
        <v/>
      </c>
      <c r="J1122" s="7"/>
      <c r="K1122" s="6"/>
    </row>
    <row r="1123" spans="1:11" x14ac:dyDescent="0.3">
      <c r="A1123" s="6"/>
      <c r="B1123" s="7"/>
      <c r="C1123" s="6"/>
      <c r="D1123" s="6"/>
      <c r="E1123" s="6"/>
      <c r="F1123" s="6"/>
      <c r="G1123" s="12"/>
      <c r="H1123" s="12"/>
      <c r="I1123" s="9" t="str">
        <f t="shared" si="17"/>
        <v/>
      </c>
      <c r="J1123" s="7"/>
      <c r="K1123" s="6"/>
    </row>
    <row r="1124" spans="1:11" x14ac:dyDescent="0.3">
      <c r="A1124" s="6"/>
      <c r="B1124" s="7"/>
      <c r="C1124" s="6"/>
      <c r="D1124" s="6"/>
      <c r="E1124" s="6"/>
      <c r="F1124" s="6"/>
      <c r="G1124" s="12"/>
      <c r="H1124" s="12"/>
      <c r="I1124" s="9" t="str">
        <f t="shared" si="17"/>
        <v/>
      </c>
      <c r="J1124" s="7"/>
      <c r="K1124" s="6"/>
    </row>
    <row r="1125" spans="1:11" x14ac:dyDescent="0.3">
      <c r="A1125" s="6"/>
      <c r="B1125" s="7"/>
      <c r="C1125" s="6"/>
      <c r="D1125" s="6"/>
      <c r="E1125" s="6"/>
      <c r="F1125" s="6"/>
      <c r="G1125" s="12"/>
      <c r="H1125" s="12"/>
      <c r="I1125" s="9" t="str">
        <f t="shared" si="17"/>
        <v/>
      </c>
      <c r="J1125" s="7"/>
      <c r="K1125" s="6"/>
    </row>
    <row r="1126" spans="1:11" x14ac:dyDescent="0.3">
      <c r="A1126" s="6"/>
      <c r="B1126" s="7"/>
      <c r="C1126" s="6"/>
      <c r="D1126" s="6"/>
      <c r="E1126" s="6"/>
      <c r="F1126" s="6"/>
      <c r="G1126" s="12"/>
      <c r="H1126" s="12"/>
      <c r="I1126" s="9" t="str">
        <f t="shared" si="17"/>
        <v/>
      </c>
      <c r="J1126" s="7"/>
      <c r="K1126" s="6"/>
    </row>
    <row r="1127" spans="1:11" x14ac:dyDescent="0.3">
      <c r="A1127" s="6"/>
      <c r="B1127" s="7"/>
      <c r="C1127" s="6"/>
      <c r="D1127" s="6"/>
      <c r="E1127" s="6"/>
      <c r="F1127" s="6"/>
      <c r="G1127" s="12"/>
      <c r="H1127" s="12"/>
      <c r="I1127" s="9" t="str">
        <f t="shared" si="17"/>
        <v/>
      </c>
      <c r="J1127" s="7"/>
      <c r="K1127" s="6"/>
    </row>
    <row r="1128" spans="1:11" x14ac:dyDescent="0.3">
      <c r="A1128" s="6"/>
      <c r="B1128" s="7"/>
      <c r="C1128" s="6"/>
      <c r="D1128" s="6"/>
      <c r="E1128" s="6"/>
      <c r="F1128" s="6"/>
      <c r="G1128" s="12"/>
      <c r="H1128" s="12"/>
      <c r="I1128" s="9" t="str">
        <f t="shared" si="17"/>
        <v/>
      </c>
      <c r="J1128" s="7"/>
      <c r="K1128" s="6"/>
    </row>
    <row r="1129" spans="1:11" x14ac:dyDescent="0.3">
      <c r="A1129" s="6"/>
      <c r="B1129" s="7"/>
      <c r="C1129" s="6"/>
      <c r="D1129" s="6"/>
      <c r="E1129" s="6"/>
      <c r="F1129" s="6"/>
      <c r="G1129" s="12"/>
      <c r="H1129" s="12"/>
      <c r="I1129" s="9" t="str">
        <f t="shared" si="17"/>
        <v/>
      </c>
      <c r="J1129" s="7"/>
      <c r="K1129" s="6"/>
    </row>
    <row r="1130" spans="1:11" x14ac:dyDescent="0.3">
      <c r="A1130" s="6"/>
      <c r="B1130" s="7"/>
      <c r="C1130" s="6"/>
      <c r="D1130" s="6"/>
      <c r="E1130" s="6"/>
      <c r="F1130" s="6"/>
      <c r="G1130" s="12"/>
      <c r="H1130" s="12"/>
      <c r="I1130" s="9" t="str">
        <f t="shared" si="17"/>
        <v/>
      </c>
      <c r="J1130" s="7"/>
      <c r="K1130" s="6"/>
    </row>
    <row r="1131" spans="1:11" x14ac:dyDescent="0.3">
      <c r="A1131" s="6"/>
      <c r="B1131" s="7"/>
      <c r="C1131" s="6"/>
      <c r="D1131" s="6"/>
      <c r="E1131" s="6"/>
      <c r="F1131" s="6"/>
      <c r="G1131" s="12"/>
      <c r="H1131" s="12"/>
      <c r="I1131" s="9" t="str">
        <f t="shared" si="17"/>
        <v/>
      </c>
      <c r="J1131" s="7"/>
      <c r="K1131" s="6"/>
    </row>
    <row r="1132" spans="1:11" x14ac:dyDescent="0.3">
      <c r="A1132" s="6"/>
      <c r="B1132" s="7"/>
      <c r="C1132" s="6"/>
      <c r="D1132" s="6"/>
      <c r="E1132" s="6"/>
      <c r="F1132" s="6"/>
      <c r="G1132" s="12"/>
      <c r="H1132" s="12"/>
      <c r="I1132" s="9" t="str">
        <f t="shared" si="17"/>
        <v/>
      </c>
      <c r="J1132" s="7"/>
      <c r="K1132" s="6"/>
    </row>
    <row r="1133" spans="1:11" x14ac:dyDescent="0.3">
      <c r="A1133" s="6"/>
      <c r="B1133" s="7"/>
      <c r="C1133" s="6"/>
      <c r="D1133" s="6"/>
      <c r="E1133" s="6"/>
      <c r="F1133" s="6"/>
      <c r="G1133" s="12"/>
      <c r="H1133" s="12"/>
      <c r="I1133" s="9" t="str">
        <f t="shared" si="17"/>
        <v/>
      </c>
      <c r="J1133" s="7"/>
      <c r="K1133" s="6"/>
    </row>
    <row r="1134" spans="1:11" x14ac:dyDescent="0.3">
      <c r="A1134" s="6"/>
      <c r="B1134" s="7"/>
      <c r="C1134" s="6"/>
      <c r="D1134" s="6"/>
      <c r="E1134" s="6"/>
      <c r="F1134" s="6"/>
      <c r="G1134" s="12"/>
      <c r="H1134" s="12"/>
      <c r="I1134" s="9" t="str">
        <f t="shared" si="17"/>
        <v/>
      </c>
      <c r="J1134" s="7"/>
      <c r="K1134" s="6"/>
    </row>
    <row r="1135" spans="1:11" x14ac:dyDescent="0.3">
      <c r="A1135" s="6"/>
      <c r="B1135" s="7"/>
      <c r="C1135" s="6"/>
      <c r="D1135" s="6"/>
      <c r="E1135" s="6"/>
      <c r="F1135" s="6"/>
      <c r="G1135" s="12"/>
      <c r="H1135" s="12"/>
      <c r="I1135" s="9" t="str">
        <f t="shared" si="17"/>
        <v/>
      </c>
      <c r="J1135" s="7"/>
      <c r="K1135" s="6"/>
    </row>
    <row r="1136" spans="1:11" x14ac:dyDescent="0.3">
      <c r="A1136" s="6"/>
      <c r="B1136" s="7"/>
      <c r="C1136" s="6"/>
      <c r="D1136" s="6"/>
      <c r="E1136" s="6"/>
      <c r="F1136" s="6"/>
      <c r="G1136" s="12"/>
      <c r="H1136" s="12"/>
      <c r="I1136" s="9" t="str">
        <f t="shared" si="17"/>
        <v/>
      </c>
      <c r="J1136" s="7"/>
      <c r="K1136" s="6"/>
    </row>
    <row r="1137" spans="1:11" x14ac:dyDescent="0.3">
      <c r="A1137" s="6"/>
      <c r="B1137" s="7"/>
      <c r="C1137" s="6"/>
      <c r="D1137" s="6"/>
      <c r="E1137" s="6"/>
      <c r="F1137" s="6"/>
      <c r="G1137" s="12"/>
      <c r="H1137" s="12"/>
      <c r="I1137" s="9" t="str">
        <f t="shared" si="17"/>
        <v/>
      </c>
      <c r="J1137" s="7"/>
      <c r="K1137" s="6"/>
    </row>
    <row r="1138" spans="1:11" x14ac:dyDescent="0.3">
      <c r="A1138" s="6"/>
      <c r="B1138" s="7"/>
      <c r="C1138" s="6"/>
      <c r="D1138" s="6"/>
      <c r="E1138" s="6"/>
      <c r="F1138" s="6"/>
      <c r="G1138" s="12"/>
      <c r="H1138" s="12"/>
      <c r="I1138" s="9" t="str">
        <f t="shared" si="17"/>
        <v/>
      </c>
      <c r="J1138" s="7"/>
      <c r="K1138" s="6"/>
    </row>
    <row r="1139" spans="1:11" x14ac:dyDescent="0.3">
      <c r="A1139" s="6"/>
      <c r="B1139" s="7"/>
      <c r="C1139" s="6"/>
      <c r="D1139" s="6"/>
      <c r="E1139" s="6"/>
      <c r="F1139" s="6"/>
      <c r="G1139" s="12"/>
      <c r="H1139" s="12"/>
      <c r="I1139" s="9" t="str">
        <f t="shared" si="17"/>
        <v/>
      </c>
      <c r="J1139" s="7"/>
      <c r="K1139" s="6"/>
    </row>
    <row r="1140" spans="1:11" x14ac:dyDescent="0.3">
      <c r="A1140" s="6"/>
      <c r="B1140" s="7"/>
      <c r="C1140" s="6"/>
      <c r="D1140" s="6"/>
      <c r="E1140" s="6"/>
      <c r="F1140" s="6"/>
      <c r="G1140" s="12"/>
      <c r="H1140" s="12"/>
      <c r="I1140" s="9" t="str">
        <f t="shared" si="17"/>
        <v/>
      </c>
      <c r="J1140" s="7"/>
      <c r="K1140" s="6"/>
    </row>
    <row r="1141" spans="1:11" x14ac:dyDescent="0.3">
      <c r="A1141" s="6"/>
      <c r="B1141" s="7"/>
      <c r="C1141" s="6"/>
      <c r="D1141" s="6"/>
      <c r="E1141" s="6"/>
      <c r="F1141" s="6"/>
      <c r="G1141" s="12"/>
      <c r="H1141" s="12"/>
      <c r="I1141" s="9" t="str">
        <f t="shared" ref="I1141:I1200" si="18">IF(AND(G1141&lt;&gt;"",H1141&lt;&gt;""),MOD(H1141-G1141,1)*24,"")</f>
        <v/>
      </c>
      <c r="J1141" s="7"/>
      <c r="K1141" s="6"/>
    </row>
    <row r="1142" spans="1:11" x14ac:dyDescent="0.3">
      <c r="A1142" s="6"/>
      <c r="B1142" s="7"/>
      <c r="C1142" s="6"/>
      <c r="D1142" s="6"/>
      <c r="E1142" s="6"/>
      <c r="F1142" s="6"/>
      <c r="G1142" s="12"/>
      <c r="H1142" s="12"/>
      <c r="I1142" s="9" t="str">
        <f t="shared" si="18"/>
        <v/>
      </c>
      <c r="J1142" s="7"/>
      <c r="K1142" s="6"/>
    </row>
    <row r="1143" spans="1:11" x14ac:dyDescent="0.3">
      <c r="A1143" s="6"/>
      <c r="B1143" s="7"/>
      <c r="C1143" s="6"/>
      <c r="D1143" s="6"/>
      <c r="E1143" s="6"/>
      <c r="F1143" s="6"/>
      <c r="G1143" s="12"/>
      <c r="H1143" s="12"/>
      <c r="I1143" s="9" t="str">
        <f t="shared" si="18"/>
        <v/>
      </c>
      <c r="J1143" s="7"/>
      <c r="K1143" s="6"/>
    </row>
    <row r="1144" spans="1:11" x14ac:dyDescent="0.3">
      <c r="A1144" s="6"/>
      <c r="B1144" s="7"/>
      <c r="C1144" s="6"/>
      <c r="D1144" s="6"/>
      <c r="E1144" s="6"/>
      <c r="F1144" s="6"/>
      <c r="G1144" s="12"/>
      <c r="H1144" s="12"/>
      <c r="I1144" s="9" t="str">
        <f t="shared" si="18"/>
        <v/>
      </c>
      <c r="J1144" s="7"/>
      <c r="K1144" s="6"/>
    </row>
    <row r="1145" spans="1:11" x14ac:dyDescent="0.3">
      <c r="A1145" s="6"/>
      <c r="B1145" s="7"/>
      <c r="C1145" s="6"/>
      <c r="D1145" s="6"/>
      <c r="E1145" s="6"/>
      <c r="F1145" s="6"/>
      <c r="G1145" s="12"/>
      <c r="H1145" s="12"/>
      <c r="I1145" s="9" t="str">
        <f t="shared" si="18"/>
        <v/>
      </c>
      <c r="J1145" s="7"/>
      <c r="K1145" s="6"/>
    </row>
    <row r="1146" spans="1:11" x14ac:dyDescent="0.3">
      <c r="A1146" s="6"/>
      <c r="B1146" s="7"/>
      <c r="C1146" s="6"/>
      <c r="D1146" s="6"/>
      <c r="E1146" s="6"/>
      <c r="F1146" s="6"/>
      <c r="G1146" s="12"/>
      <c r="H1146" s="12"/>
      <c r="I1146" s="9" t="str">
        <f t="shared" si="18"/>
        <v/>
      </c>
      <c r="J1146" s="7"/>
      <c r="K1146" s="6"/>
    </row>
    <row r="1147" spans="1:11" x14ac:dyDescent="0.3">
      <c r="A1147" s="6"/>
      <c r="B1147" s="7"/>
      <c r="C1147" s="6"/>
      <c r="D1147" s="6"/>
      <c r="E1147" s="6"/>
      <c r="F1147" s="6"/>
      <c r="G1147" s="12"/>
      <c r="H1147" s="12"/>
      <c r="I1147" s="9" t="str">
        <f t="shared" si="18"/>
        <v/>
      </c>
      <c r="J1147" s="7"/>
      <c r="K1147" s="6"/>
    </row>
    <row r="1148" spans="1:11" x14ac:dyDescent="0.3">
      <c r="A1148" s="6"/>
      <c r="B1148" s="7"/>
      <c r="C1148" s="6"/>
      <c r="D1148" s="6"/>
      <c r="E1148" s="6"/>
      <c r="F1148" s="6"/>
      <c r="G1148" s="12"/>
      <c r="H1148" s="12"/>
      <c r="I1148" s="9" t="str">
        <f t="shared" si="18"/>
        <v/>
      </c>
      <c r="J1148" s="7"/>
      <c r="K1148" s="6"/>
    </row>
    <row r="1149" spans="1:11" x14ac:dyDescent="0.3">
      <c r="A1149" s="6"/>
      <c r="B1149" s="7"/>
      <c r="C1149" s="6"/>
      <c r="D1149" s="6"/>
      <c r="E1149" s="6"/>
      <c r="F1149" s="6"/>
      <c r="G1149" s="12"/>
      <c r="H1149" s="12"/>
      <c r="I1149" s="9" t="str">
        <f t="shared" si="18"/>
        <v/>
      </c>
      <c r="J1149" s="7"/>
      <c r="K1149" s="6"/>
    </row>
    <row r="1150" spans="1:11" x14ac:dyDescent="0.3">
      <c r="A1150" s="6"/>
      <c r="B1150" s="7"/>
      <c r="C1150" s="6"/>
      <c r="D1150" s="6"/>
      <c r="E1150" s="6"/>
      <c r="F1150" s="6"/>
      <c r="G1150" s="12"/>
      <c r="H1150" s="12"/>
      <c r="I1150" s="9" t="str">
        <f t="shared" si="18"/>
        <v/>
      </c>
      <c r="J1150" s="7"/>
      <c r="K1150" s="6"/>
    </row>
    <row r="1151" spans="1:11" x14ac:dyDescent="0.3">
      <c r="A1151" s="6"/>
      <c r="B1151" s="7"/>
      <c r="C1151" s="6"/>
      <c r="D1151" s="6"/>
      <c r="E1151" s="6"/>
      <c r="F1151" s="6"/>
      <c r="G1151" s="12"/>
      <c r="H1151" s="12"/>
      <c r="I1151" s="9" t="str">
        <f t="shared" si="18"/>
        <v/>
      </c>
      <c r="J1151" s="7"/>
      <c r="K1151" s="6"/>
    </row>
    <row r="1152" spans="1:11" x14ac:dyDescent="0.3">
      <c r="A1152" s="6"/>
      <c r="B1152" s="7"/>
      <c r="C1152" s="6"/>
      <c r="D1152" s="6"/>
      <c r="E1152" s="6"/>
      <c r="F1152" s="6"/>
      <c r="G1152" s="12"/>
      <c r="H1152" s="12"/>
      <c r="I1152" s="9" t="str">
        <f t="shared" si="18"/>
        <v/>
      </c>
      <c r="J1152" s="7"/>
      <c r="K1152" s="6"/>
    </row>
    <row r="1153" spans="1:11" x14ac:dyDescent="0.3">
      <c r="A1153" s="6"/>
      <c r="B1153" s="7"/>
      <c r="C1153" s="6"/>
      <c r="D1153" s="6"/>
      <c r="E1153" s="6"/>
      <c r="F1153" s="6"/>
      <c r="G1153" s="12"/>
      <c r="H1153" s="12"/>
      <c r="I1153" s="9" t="str">
        <f t="shared" si="18"/>
        <v/>
      </c>
      <c r="J1153" s="7"/>
      <c r="K1153" s="6"/>
    </row>
    <row r="1154" spans="1:11" x14ac:dyDescent="0.3">
      <c r="A1154" s="6"/>
      <c r="B1154" s="7"/>
      <c r="C1154" s="6"/>
      <c r="D1154" s="6"/>
      <c r="E1154" s="6"/>
      <c r="F1154" s="6"/>
      <c r="G1154" s="12"/>
      <c r="H1154" s="12"/>
      <c r="I1154" s="9" t="str">
        <f t="shared" si="18"/>
        <v/>
      </c>
      <c r="J1154" s="7"/>
      <c r="K1154" s="6"/>
    </row>
    <row r="1155" spans="1:11" x14ac:dyDescent="0.3">
      <c r="A1155" s="6"/>
      <c r="B1155" s="7"/>
      <c r="C1155" s="6"/>
      <c r="D1155" s="6"/>
      <c r="E1155" s="6"/>
      <c r="F1155" s="6"/>
      <c r="G1155" s="12"/>
      <c r="H1155" s="12"/>
      <c r="I1155" s="9" t="str">
        <f t="shared" si="18"/>
        <v/>
      </c>
      <c r="J1155" s="7"/>
      <c r="K1155" s="6"/>
    </row>
    <row r="1156" spans="1:11" x14ac:dyDescent="0.3">
      <c r="A1156" s="6"/>
      <c r="B1156" s="7"/>
      <c r="C1156" s="6"/>
      <c r="D1156" s="6"/>
      <c r="E1156" s="6"/>
      <c r="F1156" s="6"/>
      <c r="G1156" s="12"/>
      <c r="H1156" s="12"/>
      <c r="I1156" s="9" t="str">
        <f t="shared" si="18"/>
        <v/>
      </c>
      <c r="J1156" s="7"/>
      <c r="K1156" s="6"/>
    </row>
    <row r="1157" spans="1:11" x14ac:dyDescent="0.3">
      <c r="A1157" s="6"/>
      <c r="B1157" s="7"/>
      <c r="C1157" s="6"/>
      <c r="D1157" s="6"/>
      <c r="E1157" s="6"/>
      <c r="F1157" s="6"/>
      <c r="G1157" s="12"/>
      <c r="H1157" s="12"/>
      <c r="I1157" s="9" t="str">
        <f t="shared" si="18"/>
        <v/>
      </c>
      <c r="J1157" s="7"/>
      <c r="K1157" s="6"/>
    </row>
    <row r="1158" spans="1:11" x14ac:dyDescent="0.3">
      <c r="A1158" s="6"/>
      <c r="B1158" s="7"/>
      <c r="C1158" s="6"/>
      <c r="D1158" s="6"/>
      <c r="E1158" s="6"/>
      <c r="F1158" s="6"/>
      <c r="G1158" s="12"/>
      <c r="H1158" s="12"/>
      <c r="I1158" s="9" t="str">
        <f t="shared" si="18"/>
        <v/>
      </c>
      <c r="J1158" s="7"/>
      <c r="K1158" s="6"/>
    </row>
    <row r="1159" spans="1:11" x14ac:dyDescent="0.3">
      <c r="A1159" s="6"/>
      <c r="B1159" s="7"/>
      <c r="C1159" s="6"/>
      <c r="D1159" s="6"/>
      <c r="E1159" s="6"/>
      <c r="F1159" s="6"/>
      <c r="G1159" s="12"/>
      <c r="H1159" s="12"/>
      <c r="I1159" s="9" t="str">
        <f t="shared" si="18"/>
        <v/>
      </c>
      <c r="J1159" s="7"/>
      <c r="K1159" s="6"/>
    </row>
    <row r="1160" spans="1:11" x14ac:dyDescent="0.3">
      <c r="A1160" s="6"/>
      <c r="B1160" s="7"/>
      <c r="C1160" s="6"/>
      <c r="D1160" s="6"/>
      <c r="E1160" s="6"/>
      <c r="F1160" s="6"/>
      <c r="G1160" s="12"/>
      <c r="H1160" s="12"/>
      <c r="I1160" s="9" t="str">
        <f t="shared" si="18"/>
        <v/>
      </c>
      <c r="J1160" s="7"/>
      <c r="K1160" s="6"/>
    </row>
    <row r="1161" spans="1:11" x14ac:dyDescent="0.3">
      <c r="A1161" s="6"/>
      <c r="B1161" s="7"/>
      <c r="C1161" s="6"/>
      <c r="D1161" s="6"/>
      <c r="E1161" s="6"/>
      <c r="F1161" s="6"/>
      <c r="G1161" s="12"/>
      <c r="H1161" s="12"/>
      <c r="I1161" s="9" t="str">
        <f t="shared" si="18"/>
        <v/>
      </c>
      <c r="J1161" s="7"/>
      <c r="K1161" s="6"/>
    </row>
    <row r="1162" spans="1:11" x14ac:dyDescent="0.3">
      <c r="A1162" s="6"/>
      <c r="B1162" s="7"/>
      <c r="C1162" s="6"/>
      <c r="D1162" s="6"/>
      <c r="E1162" s="6"/>
      <c r="F1162" s="6"/>
      <c r="G1162" s="12"/>
      <c r="H1162" s="12"/>
      <c r="I1162" s="9" t="str">
        <f t="shared" si="18"/>
        <v/>
      </c>
      <c r="J1162" s="7"/>
      <c r="K1162" s="6"/>
    </row>
    <row r="1163" spans="1:11" x14ac:dyDescent="0.3">
      <c r="A1163" s="6"/>
      <c r="B1163" s="7"/>
      <c r="C1163" s="6"/>
      <c r="D1163" s="6"/>
      <c r="E1163" s="6"/>
      <c r="F1163" s="6"/>
      <c r="G1163" s="12"/>
      <c r="H1163" s="12"/>
      <c r="I1163" s="9" t="str">
        <f t="shared" si="18"/>
        <v/>
      </c>
      <c r="J1163" s="7"/>
      <c r="K1163" s="6"/>
    </row>
    <row r="1164" spans="1:11" x14ac:dyDescent="0.3">
      <c r="A1164" s="6"/>
      <c r="B1164" s="7"/>
      <c r="C1164" s="6"/>
      <c r="D1164" s="6"/>
      <c r="E1164" s="6"/>
      <c r="F1164" s="6"/>
      <c r="G1164" s="12"/>
      <c r="H1164" s="12"/>
      <c r="I1164" s="9" t="str">
        <f t="shared" si="18"/>
        <v/>
      </c>
      <c r="J1164" s="7"/>
      <c r="K1164" s="6"/>
    </row>
    <row r="1165" spans="1:11" x14ac:dyDescent="0.3">
      <c r="A1165" s="6"/>
      <c r="B1165" s="7"/>
      <c r="C1165" s="6"/>
      <c r="D1165" s="6"/>
      <c r="E1165" s="6"/>
      <c r="F1165" s="6"/>
      <c r="G1165" s="12"/>
      <c r="H1165" s="12"/>
      <c r="I1165" s="9" t="str">
        <f t="shared" si="18"/>
        <v/>
      </c>
      <c r="J1165" s="7"/>
      <c r="K1165" s="6"/>
    </row>
    <row r="1166" spans="1:11" x14ac:dyDescent="0.3">
      <c r="A1166" s="6"/>
      <c r="B1166" s="7"/>
      <c r="C1166" s="6"/>
      <c r="D1166" s="6"/>
      <c r="E1166" s="6"/>
      <c r="F1166" s="6"/>
      <c r="G1166" s="12"/>
      <c r="H1166" s="12"/>
      <c r="I1166" s="9" t="str">
        <f t="shared" si="18"/>
        <v/>
      </c>
      <c r="J1166" s="7"/>
      <c r="K1166" s="6"/>
    </row>
    <row r="1167" spans="1:11" x14ac:dyDescent="0.3">
      <c r="A1167" s="6"/>
      <c r="B1167" s="7"/>
      <c r="C1167" s="6"/>
      <c r="D1167" s="6"/>
      <c r="E1167" s="6"/>
      <c r="F1167" s="6"/>
      <c r="G1167" s="12"/>
      <c r="H1167" s="12"/>
      <c r="I1167" s="9" t="str">
        <f t="shared" si="18"/>
        <v/>
      </c>
      <c r="J1167" s="7"/>
      <c r="K1167" s="6"/>
    </row>
    <row r="1168" spans="1:11" x14ac:dyDescent="0.3">
      <c r="A1168" s="6"/>
      <c r="B1168" s="7"/>
      <c r="C1168" s="6"/>
      <c r="D1168" s="6"/>
      <c r="E1168" s="6"/>
      <c r="F1168" s="6"/>
      <c r="G1168" s="12"/>
      <c r="H1168" s="12"/>
      <c r="I1168" s="9" t="str">
        <f t="shared" si="18"/>
        <v/>
      </c>
      <c r="J1168" s="7"/>
      <c r="K1168" s="6"/>
    </row>
    <row r="1169" spans="1:11" x14ac:dyDescent="0.3">
      <c r="A1169" s="6"/>
      <c r="B1169" s="7"/>
      <c r="C1169" s="6"/>
      <c r="D1169" s="6"/>
      <c r="E1169" s="6"/>
      <c r="F1169" s="6"/>
      <c r="G1169" s="12"/>
      <c r="H1169" s="12"/>
      <c r="I1169" s="9" t="str">
        <f t="shared" si="18"/>
        <v/>
      </c>
      <c r="J1169" s="7"/>
      <c r="K1169" s="6"/>
    </row>
    <row r="1170" spans="1:11" x14ac:dyDescent="0.3">
      <c r="A1170" s="6"/>
      <c r="B1170" s="7"/>
      <c r="C1170" s="6"/>
      <c r="D1170" s="6"/>
      <c r="E1170" s="6"/>
      <c r="F1170" s="6"/>
      <c r="G1170" s="12"/>
      <c r="H1170" s="12"/>
      <c r="I1170" s="9" t="str">
        <f t="shared" si="18"/>
        <v/>
      </c>
      <c r="J1170" s="7"/>
      <c r="K1170" s="6"/>
    </row>
    <row r="1171" spans="1:11" x14ac:dyDescent="0.3">
      <c r="A1171" s="6"/>
      <c r="B1171" s="7"/>
      <c r="C1171" s="6"/>
      <c r="D1171" s="6"/>
      <c r="E1171" s="6"/>
      <c r="F1171" s="6"/>
      <c r="G1171" s="12"/>
      <c r="H1171" s="12"/>
      <c r="I1171" s="9" t="str">
        <f t="shared" si="18"/>
        <v/>
      </c>
      <c r="J1171" s="7"/>
      <c r="K1171" s="6"/>
    </row>
    <row r="1172" spans="1:11" x14ac:dyDescent="0.3">
      <c r="A1172" s="6"/>
      <c r="B1172" s="7"/>
      <c r="C1172" s="6"/>
      <c r="D1172" s="6"/>
      <c r="E1172" s="6"/>
      <c r="F1172" s="6"/>
      <c r="G1172" s="12"/>
      <c r="H1172" s="12"/>
      <c r="I1172" s="9" t="str">
        <f t="shared" si="18"/>
        <v/>
      </c>
      <c r="J1172" s="7"/>
      <c r="K1172" s="6"/>
    </row>
    <row r="1173" spans="1:11" x14ac:dyDescent="0.3">
      <c r="A1173" s="6"/>
      <c r="B1173" s="7"/>
      <c r="C1173" s="6"/>
      <c r="D1173" s="6"/>
      <c r="E1173" s="6"/>
      <c r="F1173" s="6"/>
      <c r="G1173" s="12"/>
      <c r="H1173" s="12"/>
      <c r="I1173" s="9" t="str">
        <f t="shared" si="18"/>
        <v/>
      </c>
      <c r="J1173" s="7"/>
      <c r="K1173" s="6"/>
    </row>
    <row r="1174" spans="1:11" x14ac:dyDescent="0.3">
      <c r="A1174" s="6"/>
      <c r="B1174" s="7"/>
      <c r="C1174" s="6"/>
      <c r="D1174" s="6"/>
      <c r="E1174" s="6"/>
      <c r="F1174" s="6"/>
      <c r="G1174" s="12"/>
      <c r="H1174" s="12"/>
      <c r="I1174" s="9" t="str">
        <f t="shared" si="18"/>
        <v/>
      </c>
      <c r="J1174" s="7"/>
      <c r="K1174" s="6"/>
    </row>
    <row r="1175" spans="1:11" x14ac:dyDescent="0.3">
      <c r="A1175" s="6"/>
      <c r="B1175" s="7"/>
      <c r="C1175" s="6"/>
      <c r="D1175" s="6"/>
      <c r="E1175" s="6"/>
      <c r="F1175" s="6"/>
      <c r="G1175" s="12"/>
      <c r="H1175" s="12"/>
      <c r="I1175" s="9" t="str">
        <f t="shared" si="18"/>
        <v/>
      </c>
      <c r="J1175" s="7"/>
      <c r="K1175" s="6"/>
    </row>
    <row r="1176" spans="1:11" x14ac:dyDescent="0.3">
      <c r="A1176" s="6"/>
      <c r="B1176" s="7"/>
      <c r="C1176" s="6"/>
      <c r="D1176" s="6"/>
      <c r="E1176" s="6"/>
      <c r="F1176" s="6"/>
      <c r="G1176" s="12"/>
      <c r="H1176" s="12"/>
      <c r="I1176" s="9" t="str">
        <f t="shared" si="18"/>
        <v/>
      </c>
      <c r="J1176" s="7"/>
      <c r="K1176" s="6"/>
    </row>
    <row r="1177" spans="1:11" x14ac:dyDescent="0.3">
      <c r="A1177" s="6"/>
      <c r="B1177" s="7"/>
      <c r="C1177" s="6"/>
      <c r="D1177" s="6"/>
      <c r="E1177" s="6"/>
      <c r="F1177" s="6"/>
      <c r="G1177" s="12"/>
      <c r="H1177" s="12"/>
      <c r="I1177" s="9" t="str">
        <f t="shared" si="18"/>
        <v/>
      </c>
      <c r="J1177" s="7"/>
      <c r="K1177" s="6"/>
    </row>
    <row r="1178" spans="1:11" x14ac:dyDescent="0.3">
      <c r="A1178" s="6"/>
      <c r="B1178" s="7"/>
      <c r="C1178" s="6"/>
      <c r="D1178" s="6"/>
      <c r="E1178" s="6"/>
      <c r="F1178" s="6"/>
      <c r="G1178" s="12"/>
      <c r="H1178" s="12"/>
      <c r="I1178" s="9" t="str">
        <f t="shared" si="18"/>
        <v/>
      </c>
      <c r="J1178" s="7"/>
      <c r="K1178" s="6"/>
    </row>
    <row r="1179" spans="1:11" x14ac:dyDescent="0.3">
      <c r="A1179" s="6"/>
      <c r="B1179" s="7"/>
      <c r="C1179" s="6"/>
      <c r="D1179" s="6"/>
      <c r="E1179" s="6"/>
      <c r="F1179" s="6"/>
      <c r="G1179" s="12"/>
      <c r="H1179" s="12"/>
      <c r="I1179" s="9" t="str">
        <f t="shared" si="18"/>
        <v/>
      </c>
      <c r="J1179" s="7"/>
      <c r="K1179" s="6"/>
    </row>
    <row r="1180" spans="1:11" x14ac:dyDescent="0.3">
      <c r="A1180" s="6"/>
      <c r="B1180" s="7"/>
      <c r="C1180" s="6"/>
      <c r="D1180" s="6"/>
      <c r="E1180" s="6"/>
      <c r="F1180" s="6"/>
      <c r="G1180" s="12"/>
      <c r="H1180" s="12"/>
      <c r="I1180" s="9" t="str">
        <f t="shared" si="18"/>
        <v/>
      </c>
      <c r="J1180" s="7"/>
      <c r="K1180" s="6"/>
    </row>
    <row r="1181" spans="1:11" x14ac:dyDescent="0.3">
      <c r="A1181" s="6"/>
      <c r="B1181" s="7"/>
      <c r="C1181" s="6"/>
      <c r="D1181" s="6"/>
      <c r="E1181" s="6"/>
      <c r="F1181" s="6"/>
      <c r="G1181" s="12"/>
      <c r="H1181" s="12"/>
      <c r="I1181" s="9" t="str">
        <f t="shared" si="18"/>
        <v/>
      </c>
      <c r="J1181" s="7"/>
      <c r="K1181" s="6"/>
    </row>
    <row r="1182" spans="1:11" x14ac:dyDescent="0.3">
      <c r="A1182" s="6"/>
      <c r="B1182" s="7"/>
      <c r="C1182" s="6"/>
      <c r="D1182" s="6"/>
      <c r="E1182" s="6"/>
      <c r="F1182" s="6"/>
      <c r="G1182" s="12"/>
      <c r="H1182" s="12"/>
      <c r="I1182" s="9" t="str">
        <f t="shared" si="18"/>
        <v/>
      </c>
      <c r="J1182" s="7"/>
      <c r="K1182" s="6"/>
    </row>
    <row r="1183" spans="1:11" x14ac:dyDescent="0.3">
      <c r="A1183" s="6"/>
      <c r="B1183" s="7"/>
      <c r="C1183" s="6"/>
      <c r="D1183" s="6"/>
      <c r="E1183" s="6"/>
      <c r="F1183" s="6"/>
      <c r="G1183" s="12"/>
      <c r="H1183" s="12"/>
      <c r="I1183" s="9" t="str">
        <f t="shared" si="18"/>
        <v/>
      </c>
      <c r="J1183" s="7"/>
      <c r="K1183" s="6"/>
    </row>
    <row r="1184" spans="1:11" x14ac:dyDescent="0.3">
      <c r="A1184" s="6"/>
      <c r="B1184" s="7"/>
      <c r="C1184" s="6"/>
      <c r="D1184" s="6"/>
      <c r="E1184" s="6"/>
      <c r="F1184" s="6"/>
      <c r="G1184" s="12"/>
      <c r="H1184" s="12"/>
      <c r="I1184" s="9" t="str">
        <f t="shared" si="18"/>
        <v/>
      </c>
      <c r="J1184" s="7"/>
      <c r="K1184" s="6"/>
    </row>
    <row r="1185" spans="1:11" x14ac:dyDescent="0.3">
      <c r="A1185" s="6"/>
      <c r="B1185" s="7"/>
      <c r="C1185" s="6"/>
      <c r="D1185" s="6"/>
      <c r="E1185" s="6"/>
      <c r="F1185" s="6"/>
      <c r="G1185" s="12"/>
      <c r="H1185" s="12"/>
      <c r="I1185" s="9" t="str">
        <f t="shared" si="18"/>
        <v/>
      </c>
      <c r="J1185" s="7"/>
      <c r="K1185" s="6"/>
    </row>
    <row r="1186" spans="1:11" x14ac:dyDescent="0.3">
      <c r="A1186" s="6"/>
      <c r="B1186" s="7"/>
      <c r="C1186" s="6"/>
      <c r="D1186" s="6"/>
      <c r="E1186" s="6"/>
      <c r="F1186" s="6"/>
      <c r="G1186" s="12"/>
      <c r="H1186" s="12"/>
      <c r="I1186" s="9" t="str">
        <f t="shared" si="18"/>
        <v/>
      </c>
      <c r="J1186" s="7"/>
      <c r="K1186" s="6"/>
    </row>
    <row r="1187" spans="1:11" x14ac:dyDescent="0.3">
      <c r="A1187" s="6"/>
      <c r="B1187" s="7"/>
      <c r="C1187" s="6"/>
      <c r="D1187" s="6"/>
      <c r="E1187" s="6"/>
      <c r="F1187" s="6"/>
      <c r="G1187" s="12"/>
      <c r="H1187" s="12"/>
      <c r="I1187" s="9" t="str">
        <f t="shared" si="18"/>
        <v/>
      </c>
      <c r="J1187" s="7"/>
      <c r="K1187" s="6"/>
    </row>
    <row r="1188" spans="1:11" x14ac:dyDescent="0.3">
      <c r="A1188" s="6"/>
      <c r="B1188" s="7"/>
      <c r="C1188" s="6"/>
      <c r="D1188" s="6"/>
      <c r="E1188" s="6"/>
      <c r="F1188" s="6"/>
      <c r="G1188" s="12"/>
      <c r="H1188" s="12"/>
      <c r="I1188" s="9" t="str">
        <f t="shared" si="18"/>
        <v/>
      </c>
      <c r="J1188" s="7"/>
      <c r="K1188" s="6"/>
    </row>
    <row r="1189" spans="1:11" x14ac:dyDescent="0.3">
      <c r="A1189" s="6"/>
      <c r="B1189" s="7"/>
      <c r="C1189" s="6"/>
      <c r="D1189" s="6"/>
      <c r="E1189" s="6"/>
      <c r="F1189" s="6"/>
      <c r="G1189" s="12"/>
      <c r="H1189" s="12"/>
      <c r="I1189" s="9" t="str">
        <f t="shared" si="18"/>
        <v/>
      </c>
      <c r="J1189" s="7"/>
      <c r="K1189" s="6"/>
    </row>
    <row r="1190" spans="1:11" x14ac:dyDescent="0.3">
      <c r="A1190" s="6"/>
      <c r="B1190" s="7"/>
      <c r="C1190" s="6"/>
      <c r="D1190" s="6"/>
      <c r="E1190" s="6"/>
      <c r="F1190" s="6"/>
      <c r="G1190" s="12"/>
      <c r="H1190" s="12"/>
      <c r="I1190" s="9" t="str">
        <f t="shared" si="18"/>
        <v/>
      </c>
      <c r="J1190" s="7"/>
      <c r="K1190" s="6"/>
    </row>
    <row r="1191" spans="1:11" x14ac:dyDescent="0.3">
      <c r="A1191" s="6"/>
      <c r="B1191" s="7"/>
      <c r="C1191" s="6"/>
      <c r="D1191" s="6"/>
      <c r="E1191" s="6"/>
      <c r="F1191" s="6"/>
      <c r="G1191" s="12"/>
      <c r="H1191" s="12"/>
      <c r="I1191" s="9" t="str">
        <f t="shared" si="18"/>
        <v/>
      </c>
      <c r="J1191" s="7"/>
      <c r="K1191" s="6"/>
    </row>
    <row r="1192" spans="1:11" x14ac:dyDescent="0.3">
      <c r="A1192" s="6"/>
      <c r="B1192" s="7"/>
      <c r="C1192" s="6"/>
      <c r="D1192" s="6"/>
      <c r="E1192" s="6"/>
      <c r="F1192" s="6"/>
      <c r="G1192" s="12"/>
      <c r="H1192" s="12"/>
      <c r="I1192" s="9" t="str">
        <f t="shared" si="18"/>
        <v/>
      </c>
      <c r="J1192" s="7"/>
      <c r="K1192" s="6"/>
    </row>
    <row r="1193" spans="1:11" x14ac:dyDescent="0.3">
      <c r="A1193" s="6"/>
      <c r="B1193" s="7"/>
      <c r="C1193" s="6"/>
      <c r="D1193" s="6"/>
      <c r="E1193" s="6"/>
      <c r="F1193" s="6"/>
      <c r="G1193" s="12"/>
      <c r="H1193" s="12"/>
      <c r="I1193" s="9" t="str">
        <f t="shared" si="18"/>
        <v/>
      </c>
      <c r="J1193" s="7"/>
      <c r="K1193" s="6"/>
    </row>
    <row r="1194" spans="1:11" x14ac:dyDescent="0.3">
      <c r="A1194" s="6"/>
      <c r="B1194" s="7"/>
      <c r="C1194" s="6"/>
      <c r="D1194" s="6"/>
      <c r="E1194" s="6"/>
      <c r="F1194" s="6"/>
      <c r="G1194" s="12"/>
      <c r="H1194" s="12"/>
      <c r="I1194" s="9" t="str">
        <f t="shared" si="18"/>
        <v/>
      </c>
      <c r="J1194" s="7"/>
      <c r="K1194" s="6"/>
    </row>
    <row r="1195" spans="1:11" x14ac:dyDescent="0.3">
      <c r="A1195" s="6"/>
      <c r="B1195" s="7"/>
      <c r="C1195" s="6"/>
      <c r="D1195" s="6"/>
      <c r="E1195" s="6"/>
      <c r="F1195" s="6"/>
      <c r="G1195" s="12"/>
      <c r="H1195" s="12"/>
      <c r="I1195" s="9" t="str">
        <f t="shared" si="18"/>
        <v/>
      </c>
      <c r="J1195" s="7"/>
      <c r="K1195" s="6"/>
    </row>
    <row r="1196" spans="1:11" x14ac:dyDescent="0.3">
      <c r="A1196" s="6"/>
      <c r="B1196" s="7"/>
      <c r="C1196" s="6"/>
      <c r="D1196" s="6"/>
      <c r="E1196" s="6"/>
      <c r="F1196" s="6"/>
      <c r="G1196" s="12"/>
      <c r="H1196" s="12"/>
      <c r="I1196" s="9" t="str">
        <f t="shared" si="18"/>
        <v/>
      </c>
      <c r="J1196" s="7"/>
      <c r="K1196" s="6"/>
    </row>
    <row r="1197" spans="1:11" x14ac:dyDescent="0.3">
      <c r="A1197" s="6"/>
      <c r="B1197" s="7"/>
      <c r="C1197" s="6"/>
      <c r="D1197" s="6"/>
      <c r="E1197" s="6"/>
      <c r="F1197" s="6"/>
      <c r="G1197" s="12"/>
      <c r="H1197" s="12"/>
      <c r="I1197" s="9" t="str">
        <f t="shared" si="18"/>
        <v/>
      </c>
      <c r="J1197" s="7"/>
      <c r="K1197" s="6"/>
    </row>
    <row r="1198" spans="1:11" x14ac:dyDescent="0.3">
      <c r="A1198" s="6"/>
      <c r="B1198" s="7"/>
      <c r="C1198" s="6"/>
      <c r="D1198" s="6"/>
      <c r="E1198" s="6"/>
      <c r="F1198" s="6"/>
      <c r="G1198" s="12"/>
      <c r="H1198" s="12"/>
      <c r="I1198" s="9" t="str">
        <f t="shared" si="18"/>
        <v/>
      </c>
      <c r="J1198" s="7"/>
      <c r="K1198" s="6"/>
    </row>
    <row r="1199" spans="1:11" x14ac:dyDescent="0.3">
      <c r="A1199" s="6"/>
      <c r="B1199" s="7"/>
      <c r="C1199" s="6"/>
      <c r="D1199" s="6"/>
      <c r="E1199" s="6"/>
      <c r="F1199" s="6"/>
      <c r="G1199" s="12"/>
      <c r="H1199" s="12"/>
      <c r="I1199" s="9" t="str">
        <f t="shared" si="18"/>
        <v/>
      </c>
      <c r="J1199" s="7"/>
      <c r="K1199" s="6"/>
    </row>
    <row r="1200" spans="1:11" x14ac:dyDescent="0.3">
      <c r="A1200" s="6"/>
      <c r="B1200" s="7"/>
      <c r="C1200" s="6"/>
      <c r="D1200" s="6"/>
      <c r="E1200" s="6"/>
      <c r="F1200" s="6"/>
      <c r="G1200" s="12"/>
      <c r="H1200" s="12"/>
      <c r="I1200" s="9" t="str">
        <f t="shared" si="18"/>
        <v/>
      </c>
      <c r="J1200" s="7"/>
      <c r="K1200" s="6"/>
    </row>
  </sheetData>
  <phoneticPr fontId="9" type="noConversion"/>
  <dataValidations count="3">
    <dataValidation type="list" allowBlank="1" sqref="C2:C1200" xr:uid="{00000000-0002-0000-0400-000000000000}">
      <formula1>Turnos</formula1>
    </dataValidation>
    <dataValidation type="list" allowBlank="1" sqref="D2:D1200" xr:uid="{00000000-0002-0000-0400-000001000000}">
      <formula1>Poroes</formula1>
    </dataValidation>
    <dataValidation type="list" allowBlank="1" sqref="E2:E1200" xr:uid="{00000000-0002-0000-0400-000002000000}">
      <formula1>Categorias_Parada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1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6" customWidth="1"/>
    <col min="2" max="2" width="8" customWidth="1"/>
    <col min="3" max="4" width="20" customWidth="1"/>
    <col min="5" max="5" width="14" customWidth="1"/>
    <col min="6" max="6" width="12" customWidth="1"/>
    <col min="7" max="7" width="18" customWidth="1"/>
    <col min="8" max="8" width="22" customWidth="1"/>
  </cols>
  <sheetData>
    <row r="1" spans="1:8" ht="24" customHeight="1" x14ac:dyDescent="0.3">
      <c r="A1" s="3" t="s">
        <v>0</v>
      </c>
      <c r="B1" s="3" t="s">
        <v>4</v>
      </c>
      <c r="C1" s="3" t="s">
        <v>74</v>
      </c>
      <c r="D1" s="3" t="s">
        <v>105</v>
      </c>
      <c r="E1" s="3" t="s">
        <v>106</v>
      </c>
      <c r="F1" s="3" t="s">
        <v>107</v>
      </c>
      <c r="G1" s="3" t="s">
        <v>7</v>
      </c>
      <c r="H1" s="3" t="s">
        <v>108</v>
      </c>
    </row>
    <row r="2" spans="1:8" x14ac:dyDescent="0.3">
      <c r="A2" s="6" t="s">
        <v>16</v>
      </c>
      <c r="B2" s="6">
        <v>1</v>
      </c>
      <c r="C2" s="8">
        <v>9171</v>
      </c>
      <c r="D2" s="13">
        <f>IF(A2="","",SUMIFS(Base_Porao_Turno!$K:$K,Base_Porao_Turno!$A:$A,A2,Base_Porao_Turno!$E:$E,B2))</f>
        <v>7974.63</v>
      </c>
      <c r="E2" s="13">
        <f t="shared" ref="E2:E65" si="0">IF(OR(C2="",D2=""),"",C2-D2)</f>
        <v>1196.3699999999999</v>
      </c>
      <c r="F2" s="14">
        <f t="shared" ref="F2:F65" si="1">IFERROR(D2/C2,"")</f>
        <v>0.86954857703631017</v>
      </c>
      <c r="G2" s="13">
        <f>IF(A2="","",SUMIFS(Base_Porao_Turno!$H:$H,Base_Porao_Turno!$A:$A,A2,Base_Porao_Turno!$E:$E,B2))</f>
        <v>26.416666666666664</v>
      </c>
      <c r="H2" s="13">
        <f t="shared" ref="H2:H65" si="2">IFERROR(D2/G2,"")</f>
        <v>301.87873817034705</v>
      </c>
    </row>
    <row r="3" spans="1:8" x14ac:dyDescent="0.3">
      <c r="A3" s="6" t="s">
        <v>16</v>
      </c>
      <c r="B3" s="6">
        <v>2</v>
      </c>
      <c r="C3" s="8">
        <v>11671</v>
      </c>
      <c r="D3" s="13">
        <f>IF(A3="","",SUMIFS(Base_Porao_Turno!$K:$K,Base_Porao_Turno!$A:$A,A3,Base_Porao_Turno!$E:$E,B3))</f>
        <v>10512.02</v>
      </c>
      <c r="E3" s="13">
        <f t="shared" si="0"/>
        <v>1158.9799999999996</v>
      </c>
      <c r="F3" s="14">
        <f t="shared" si="1"/>
        <v>0.90069574158169829</v>
      </c>
      <c r="G3" s="13">
        <f>IF(A3="","",SUMIFS(Base_Porao_Turno!$H:$H,Base_Porao_Turno!$A:$A,A3,Base_Porao_Turno!$E:$E,B3))</f>
        <v>36.666666666666671</v>
      </c>
      <c r="H3" s="13">
        <f t="shared" si="2"/>
        <v>286.69145454545452</v>
      </c>
    </row>
    <row r="4" spans="1:8" x14ac:dyDescent="0.3">
      <c r="A4" s="6" t="s">
        <v>16</v>
      </c>
      <c r="B4" s="6">
        <v>3</v>
      </c>
      <c r="C4" s="8">
        <v>13457</v>
      </c>
      <c r="D4" s="13">
        <f>IF(A4="","",SUMIFS(Base_Porao_Turno!$K:$K,Base_Porao_Turno!$A:$A,A4,Base_Porao_Turno!$E:$E,B4))</f>
        <v>14959.33</v>
      </c>
      <c r="E4" s="13">
        <f t="shared" si="0"/>
        <v>-1502.33</v>
      </c>
      <c r="F4" s="14">
        <f t="shared" si="1"/>
        <v>1.1116392955339229</v>
      </c>
      <c r="G4" s="13">
        <f>IF(A4="","",SUMIFS(Base_Porao_Turno!$H:$H,Base_Porao_Turno!$A:$A,A4,Base_Porao_Turno!$E:$E,B4))</f>
        <v>44.666666666666664</v>
      </c>
      <c r="H4" s="13">
        <f t="shared" si="2"/>
        <v>334.91037313432838</v>
      </c>
    </row>
    <row r="5" spans="1:8" x14ac:dyDescent="0.3">
      <c r="A5" s="6" t="s">
        <v>16</v>
      </c>
      <c r="B5" s="6">
        <v>4</v>
      </c>
      <c r="C5" s="8">
        <v>13981</v>
      </c>
      <c r="D5" s="13">
        <f>IF(A5="","",SUMIFS(Base_Porao_Turno!$K:$K,Base_Porao_Turno!$A:$A,A5,Base_Porao_Turno!$E:$E,B5))</f>
        <v>15414.749999999996</v>
      </c>
      <c r="E5" s="13">
        <f t="shared" si="0"/>
        <v>-1433.7499999999964</v>
      </c>
      <c r="F5" s="14">
        <f t="shared" si="1"/>
        <v>1.1025498891352548</v>
      </c>
      <c r="G5" s="13">
        <f>IF(A5="","",SUMIFS(Base_Porao_Turno!$H:$H,Base_Porao_Turno!$A:$A,A5,Base_Porao_Turno!$E:$E,B5))</f>
        <v>45.5</v>
      </c>
      <c r="H5" s="13">
        <f t="shared" si="2"/>
        <v>338.78571428571422</v>
      </c>
    </row>
    <row r="6" spans="1:8" x14ac:dyDescent="0.3">
      <c r="A6" s="6" t="s">
        <v>16</v>
      </c>
      <c r="B6" s="6">
        <v>5</v>
      </c>
      <c r="C6" s="8">
        <v>12747</v>
      </c>
      <c r="D6" s="13">
        <f>IF(A6="","",SUMIFS(Base_Porao_Turno!$K:$K,Base_Porao_Turno!$A:$A,A6,Base_Porao_Turno!$E:$E,B6))</f>
        <v>11379.710000000003</v>
      </c>
      <c r="E6" s="13">
        <f t="shared" si="0"/>
        <v>1367.2899999999972</v>
      </c>
      <c r="F6" s="14">
        <f t="shared" si="1"/>
        <v>0.89273633011689046</v>
      </c>
      <c r="G6" s="13">
        <f>IF(A6="","",SUMIFS(Base_Porao_Turno!$H:$H,Base_Porao_Turno!$A:$A,A6,Base_Porao_Turno!$E:$E,B6))</f>
        <v>41.75</v>
      </c>
      <c r="H6" s="13">
        <f t="shared" si="2"/>
        <v>272.56790419161683</v>
      </c>
    </row>
    <row r="7" spans="1:8" x14ac:dyDescent="0.3">
      <c r="A7" s="6" t="s">
        <v>27</v>
      </c>
      <c r="B7" s="6">
        <v>2</v>
      </c>
      <c r="C7" s="8">
        <v>2900</v>
      </c>
      <c r="D7" s="13">
        <f>IF(A7="","",SUMIFS(Base_Porao_Turno!$K:$K,Base_Porao_Turno!$A:$A,A7,Base_Porao_Turno!$E:$E,B7))</f>
        <v>3334.63</v>
      </c>
      <c r="E7" s="13">
        <f t="shared" si="0"/>
        <v>-434.63000000000011</v>
      </c>
      <c r="F7" s="14">
        <f t="shared" si="1"/>
        <v>1.1498724137931036</v>
      </c>
      <c r="G7" s="13">
        <f>IF(A7="","",SUMIFS(Base_Porao_Turno!$H:$H,Base_Porao_Turno!$A:$A,A7,Base_Porao_Turno!$E:$E,B7))</f>
        <v>9.1166666666666636</v>
      </c>
      <c r="H7" s="13">
        <f t="shared" si="2"/>
        <v>365.7729433272396</v>
      </c>
    </row>
    <row r="8" spans="1:8" x14ac:dyDescent="0.3">
      <c r="A8" s="6" t="s">
        <v>27</v>
      </c>
      <c r="B8" s="6">
        <v>4</v>
      </c>
      <c r="C8" s="8">
        <v>7700</v>
      </c>
      <c r="D8" s="13">
        <f>IF(A8="","",SUMIFS(Base_Porao_Turno!$K:$K,Base_Porao_Turno!$A:$A,A8,Base_Porao_Turno!$E:$E,B8))</f>
        <v>7853.92</v>
      </c>
      <c r="E8" s="13">
        <f t="shared" si="0"/>
        <v>-153.92000000000007</v>
      </c>
      <c r="F8" s="14">
        <f t="shared" si="1"/>
        <v>1.0199896103896104</v>
      </c>
      <c r="G8" s="13">
        <f>IF(A8="","",SUMIFS(Base_Porao_Turno!$H:$H,Base_Porao_Turno!$A:$A,A8,Base_Porao_Turno!$E:$E,B8))</f>
        <v>20.249999999999993</v>
      </c>
      <c r="H8" s="13">
        <f t="shared" si="2"/>
        <v>387.84790123456804</v>
      </c>
    </row>
    <row r="9" spans="1:8" x14ac:dyDescent="0.3">
      <c r="A9" s="6" t="s">
        <v>221</v>
      </c>
      <c r="B9" s="6">
        <v>1</v>
      </c>
      <c r="C9" s="8">
        <v>10939.98</v>
      </c>
      <c r="D9" s="13">
        <f>IF(A9="","",SUMIFS(Base_Porao_Turno!$K:$K,Base_Porao_Turno!$A:$A,A9,Base_Porao_Turno!$E:$E,B9))</f>
        <v>0</v>
      </c>
      <c r="E9" s="13">
        <f t="shared" si="0"/>
        <v>10939.98</v>
      </c>
      <c r="F9" s="14">
        <f t="shared" si="1"/>
        <v>0</v>
      </c>
      <c r="G9" s="13">
        <f>IF(A9="","",SUMIFS(Base_Porao_Turno!$H:$H,Base_Porao_Turno!$A:$A,A9,Base_Porao_Turno!$E:$E,B9))</f>
        <v>0</v>
      </c>
      <c r="H9" s="13" t="str">
        <f t="shared" si="2"/>
        <v/>
      </c>
    </row>
    <row r="10" spans="1:8" x14ac:dyDescent="0.3">
      <c r="A10" s="6" t="s">
        <v>221</v>
      </c>
      <c r="B10" s="6">
        <v>2</v>
      </c>
      <c r="C10" s="8">
        <v>11393.14</v>
      </c>
      <c r="D10" s="13">
        <f>IF(A10="","",SUMIFS(Base_Porao_Turno!$K:$K,Base_Porao_Turno!$A:$A,A10,Base_Porao_Turno!$E:$E,B10))</f>
        <v>6347.77</v>
      </c>
      <c r="E10" s="13">
        <f t="shared" si="0"/>
        <v>5045.369999999999</v>
      </c>
      <c r="F10" s="14">
        <f t="shared" si="1"/>
        <v>0.55715720161430482</v>
      </c>
      <c r="G10" s="13">
        <f>IF(A10="","",SUMIFS(Base_Porao_Turno!$H:$H,Base_Porao_Turno!$A:$A,A10,Base_Porao_Turno!$E:$E,B10))</f>
        <v>16.833333333333332</v>
      </c>
      <c r="H10" s="13">
        <f t="shared" si="2"/>
        <v>377.09524752475255</v>
      </c>
    </row>
    <row r="11" spans="1:8" x14ac:dyDescent="0.3">
      <c r="A11" s="6" t="s">
        <v>221</v>
      </c>
      <c r="B11" s="6">
        <v>4</v>
      </c>
      <c r="C11" s="8">
        <v>10802.34</v>
      </c>
      <c r="D11" s="13">
        <f>IF(A11="","",SUMIFS(Base_Porao_Turno!$K:$K,Base_Porao_Turno!$A:$A,A11,Base_Porao_Turno!$E:$E,B11))</f>
        <v>0</v>
      </c>
      <c r="E11" s="13">
        <f t="shared" si="0"/>
        <v>10802.34</v>
      </c>
      <c r="F11" s="14">
        <f t="shared" si="1"/>
        <v>0</v>
      </c>
      <c r="G11" s="13">
        <f>IF(A11="","",SUMIFS(Base_Porao_Turno!$H:$H,Base_Porao_Turno!$A:$A,A11,Base_Porao_Turno!$E:$E,B11))</f>
        <v>0</v>
      </c>
      <c r="H11" s="13" t="str">
        <f t="shared" si="2"/>
        <v/>
      </c>
    </row>
    <row r="12" spans="1:8" x14ac:dyDescent="0.3">
      <c r="A12" s="6" t="s">
        <v>221</v>
      </c>
      <c r="B12" s="6">
        <v>5</v>
      </c>
      <c r="C12" s="8">
        <v>10896.19</v>
      </c>
      <c r="D12" s="13">
        <f>IF(A12="","",SUMIFS(Base_Porao_Turno!$K:$K,Base_Porao_Turno!$A:$A,A12,Base_Porao_Turno!$E:$E,B12))</f>
        <v>0</v>
      </c>
      <c r="E12" s="13">
        <f t="shared" si="0"/>
        <v>10896.19</v>
      </c>
      <c r="F12" s="14">
        <f t="shared" si="1"/>
        <v>0</v>
      </c>
      <c r="G12" s="13">
        <f>IF(A12="","",SUMIFS(Base_Porao_Turno!$H:$H,Base_Porao_Turno!$A:$A,A12,Base_Porao_Turno!$E:$E,B12))</f>
        <v>0</v>
      </c>
      <c r="H12" s="13" t="str">
        <f t="shared" si="2"/>
        <v/>
      </c>
    </row>
    <row r="13" spans="1:8" x14ac:dyDescent="0.3">
      <c r="A13" s="6"/>
      <c r="B13" s="6"/>
      <c r="C13" s="8"/>
      <c r="D13" s="13" t="str">
        <f>IF(A13="","",SUMIFS(Base_Porao_Turno!$K:$K,Base_Porao_Turno!$A:$A,A13,Base_Porao_Turno!$E:$E,B13))</f>
        <v/>
      </c>
      <c r="E13" s="13" t="str">
        <f t="shared" si="0"/>
        <v/>
      </c>
      <c r="F13" s="14" t="str">
        <f t="shared" si="1"/>
        <v/>
      </c>
      <c r="G13" s="13" t="str">
        <f>IF(A13="","",SUMIFS(Base_Porao_Turno!$H:$H,Base_Porao_Turno!$A:$A,A13,Base_Porao_Turno!$E:$E,B13))</f>
        <v/>
      </c>
      <c r="H13" s="13" t="str">
        <f t="shared" si="2"/>
        <v/>
      </c>
    </row>
    <row r="14" spans="1:8" x14ac:dyDescent="0.3">
      <c r="A14" s="6"/>
      <c r="B14" s="6"/>
      <c r="C14" s="8"/>
      <c r="D14" s="13" t="str">
        <f>IF(A14="","",SUMIFS(Base_Porao_Turno!$K:$K,Base_Porao_Turno!$A:$A,A14,Base_Porao_Turno!$E:$E,B14))</f>
        <v/>
      </c>
      <c r="E14" s="13" t="str">
        <f t="shared" si="0"/>
        <v/>
      </c>
      <c r="F14" s="14" t="str">
        <f t="shared" si="1"/>
        <v/>
      </c>
      <c r="G14" s="13" t="str">
        <f>IF(A14="","",SUMIFS(Base_Porao_Turno!$H:$H,Base_Porao_Turno!$A:$A,A14,Base_Porao_Turno!$E:$E,B14))</f>
        <v/>
      </c>
      <c r="H14" s="13" t="str">
        <f t="shared" si="2"/>
        <v/>
      </c>
    </row>
    <row r="15" spans="1:8" x14ac:dyDescent="0.3">
      <c r="A15" s="6"/>
      <c r="B15" s="6"/>
      <c r="C15" s="8"/>
      <c r="D15" s="13" t="str">
        <f>IF(A15="","",SUMIFS(Base_Porao_Turno!$K:$K,Base_Porao_Turno!$A:$A,A15,Base_Porao_Turno!$E:$E,B15))</f>
        <v/>
      </c>
      <c r="E15" s="13" t="str">
        <f t="shared" si="0"/>
        <v/>
      </c>
      <c r="F15" s="14" t="str">
        <f t="shared" si="1"/>
        <v/>
      </c>
      <c r="G15" s="13" t="str">
        <f>IF(A15="","",SUMIFS(Base_Porao_Turno!$H:$H,Base_Porao_Turno!$A:$A,A15,Base_Porao_Turno!$E:$E,B15))</f>
        <v/>
      </c>
      <c r="H15" s="13" t="str">
        <f t="shared" si="2"/>
        <v/>
      </c>
    </row>
    <row r="16" spans="1:8" x14ac:dyDescent="0.3">
      <c r="A16" s="6"/>
      <c r="B16" s="6"/>
      <c r="C16" s="8"/>
      <c r="D16" s="13" t="str">
        <f>IF(A16="","",SUMIFS(Base_Porao_Turno!$K:$K,Base_Porao_Turno!$A:$A,A16,Base_Porao_Turno!$E:$E,B16))</f>
        <v/>
      </c>
      <c r="E16" s="13" t="str">
        <f t="shared" si="0"/>
        <v/>
      </c>
      <c r="F16" s="14" t="str">
        <f t="shared" si="1"/>
        <v/>
      </c>
      <c r="G16" s="13" t="str">
        <f>IF(A16="","",SUMIFS(Base_Porao_Turno!$H:$H,Base_Porao_Turno!$A:$A,A16,Base_Porao_Turno!$E:$E,B16))</f>
        <v/>
      </c>
      <c r="H16" s="13" t="str">
        <f t="shared" si="2"/>
        <v/>
      </c>
    </row>
    <row r="17" spans="1:8" x14ac:dyDescent="0.3">
      <c r="A17" s="6"/>
      <c r="B17" s="6"/>
      <c r="C17" s="8"/>
      <c r="D17" s="13" t="str">
        <f>IF(A17="","",SUMIFS(Base_Porao_Turno!$K:$K,Base_Porao_Turno!$A:$A,A17,Base_Porao_Turno!$E:$E,B17))</f>
        <v/>
      </c>
      <c r="E17" s="13" t="str">
        <f t="shared" si="0"/>
        <v/>
      </c>
      <c r="F17" s="14" t="str">
        <f t="shared" si="1"/>
        <v/>
      </c>
      <c r="G17" s="13" t="str">
        <f>IF(A17="","",SUMIFS(Base_Porao_Turno!$H:$H,Base_Porao_Turno!$A:$A,A17,Base_Porao_Turno!$E:$E,B17))</f>
        <v/>
      </c>
      <c r="H17" s="13" t="str">
        <f t="shared" si="2"/>
        <v/>
      </c>
    </row>
    <row r="18" spans="1:8" x14ac:dyDescent="0.3">
      <c r="A18" s="6"/>
      <c r="B18" s="6"/>
      <c r="C18" s="8"/>
      <c r="D18" s="13" t="str">
        <f>IF(A18="","",SUMIFS(Base_Porao_Turno!$K:$K,Base_Porao_Turno!$A:$A,A18,Base_Porao_Turno!$E:$E,B18))</f>
        <v/>
      </c>
      <c r="E18" s="13" t="str">
        <f t="shared" si="0"/>
        <v/>
      </c>
      <c r="F18" s="14" t="str">
        <f t="shared" si="1"/>
        <v/>
      </c>
      <c r="G18" s="13" t="str">
        <f>IF(A18="","",SUMIFS(Base_Porao_Turno!$H:$H,Base_Porao_Turno!$A:$A,A18,Base_Porao_Turno!$E:$E,B18))</f>
        <v/>
      </c>
      <c r="H18" s="13" t="str">
        <f t="shared" si="2"/>
        <v/>
      </c>
    </row>
    <row r="19" spans="1:8" x14ac:dyDescent="0.3">
      <c r="A19" s="6"/>
      <c r="B19" s="6"/>
      <c r="C19" s="8"/>
      <c r="D19" s="13" t="str">
        <f>IF(A19="","",SUMIFS(Base_Porao_Turno!$K:$K,Base_Porao_Turno!$A:$A,A19,Base_Porao_Turno!$E:$E,B19))</f>
        <v/>
      </c>
      <c r="E19" s="13" t="str">
        <f t="shared" si="0"/>
        <v/>
      </c>
      <c r="F19" s="14" t="str">
        <f t="shared" si="1"/>
        <v/>
      </c>
      <c r="G19" s="13" t="str">
        <f>IF(A19="","",SUMIFS(Base_Porao_Turno!$H:$H,Base_Porao_Turno!$A:$A,A19,Base_Porao_Turno!$E:$E,B19))</f>
        <v/>
      </c>
      <c r="H19" s="13" t="str">
        <f t="shared" si="2"/>
        <v/>
      </c>
    </row>
    <row r="20" spans="1:8" x14ac:dyDescent="0.3">
      <c r="A20" s="6"/>
      <c r="B20" s="6"/>
      <c r="C20" s="8"/>
      <c r="D20" s="13" t="str">
        <f>IF(A20="","",SUMIFS(Base_Porao_Turno!$K:$K,Base_Porao_Turno!$A:$A,A20,Base_Porao_Turno!$E:$E,B20))</f>
        <v/>
      </c>
      <c r="E20" s="13" t="str">
        <f t="shared" si="0"/>
        <v/>
      </c>
      <c r="F20" s="14" t="str">
        <f t="shared" si="1"/>
        <v/>
      </c>
      <c r="G20" s="13" t="str">
        <f>IF(A20="","",SUMIFS(Base_Porao_Turno!$H:$H,Base_Porao_Turno!$A:$A,A20,Base_Porao_Turno!$E:$E,B20))</f>
        <v/>
      </c>
      <c r="H20" s="13" t="str">
        <f t="shared" si="2"/>
        <v/>
      </c>
    </row>
    <row r="21" spans="1:8" x14ac:dyDescent="0.3">
      <c r="A21" s="6"/>
      <c r="B21" s="6"/>
      <c r="C21" s="8"/>
      <c r="D21" s="13" t="str">
        <f>IF(A21="","",SUMIFS(Base_Porao_Turno!$K:$K,Base_Porao_Turno!$A:$A,A21,Base_Porao_Turno!$E:$E,B21))</f>
        <v/>
      </c>
      <c r="E21" s="13" t="str">
        <f t="shared" si="0"/>
        <v/>
      </c>
      <c r="F21" s="14" t="str">
        <f t="shared" si="1"/>
        <v/>
      </c>
      <c r="G21" s="13" t="str">
        <f>IF(A21="","",SUMIFS(Base_Porao_Turno!$H:$H,Base_Porao_Turno!$A:$A,A21,Base_Porao_Turno!$E:$E,B21))</f>
        <v/>
      </c>
      <c r="H21" s="13" t="str">
        <f t="shared" si="2"/>
        <v/>
      </c>
    </row>
    <row r="22" spans="1:8" x14ac:dyDescent="0.3">
      <c r="A22" s="6"/>
      <c r="B22" s="6"/>
      <c r="C22" s="8"/>
      <c r="D22" s="13" t="str">
        <f>IF(A22="","",SUMIFS(Base_Porao_Turno!$K:$K,Base_Porao_Turno!$A:$A,A22,Base_Porao_Turno!$E:$E,B22))</f>
        <v/>
      </c>
      <c r="E22" s="13" t="str">
        <f t="shared" si="0"/>
        <v/>
      </c>
      <c r="F22" s="14" t="str">
        <f t="shared" si="1"/>
        <v/>
      </c>
      <c r="G22" s="13" t="str">
        <f>IF(A22="","",SUMIFS(Base_Porao_Turno!$H:$H,Base_Porao_Turno!$A:$A,A22,Base_Porao_Turno!$E:$E,B22))</f>
        <v/>
      </c>
      <c r="H22" s="13" t="str">
        <f t="shared" si="2"/>
        <v/>
      </c>
    </row>
    <row r="23" spans="1:8" x14ac:dyDescent="0.3">
      <c r="A23" s="6"/>
      <c r="B23" s="6"/>
      <c r="C23" s="8"/>
      <c r="D23" s="13" t="str">
        <f>IF(A23="","",SUMIFS(Base_Porao_Turno!$K:$K,Base_Porao_Turno!$A:$A,A23,Base_Porao_Turno!$E:$E,B23))</f>
        <v/>
      </c>
      <c r="E23" s="13" t="str">
        <f t="shared" si="0"/>
        <v/>
      </c>
      <c r="F23" s="14" t="str">
        <f t="shared" si="1"/>
        <v/>
      </c>
      <c r="G23" s="13" t="str">
        <f>IF(A23="","",SUMIFS(Base_Porao_Turno!$H:$H,Base_Porao_Turno!$A:$A,A23,Base_Porao_Turno!$E:$E,B23))</f>
        <v/>
      </c>
      <c r="H23" s="13" t="str">
        <f t="shared" si="2"/>
        <v/>
      </c>
    </row>
    <row r="24" spans="1:8" x14ac:dyDescent="0.3">
      <c r="A24" s="6"/>
      <c r="B24" s="6"/>
      <c r="C24" s="8"/>
      <c r="D24" s="13" t="str">
        <f>IF(A24="","",SUMIFS(Base_Porao_Turno!$K:$K,Base_Porao_Turno!$A:$A,A24,Base_Porao_Turno!$E:$E,B24))</f>
        <v/>
      </c>
      <c r="E24" s="13" t="str">
        <f t="shared" si="0"/>
        <v/>
      </c>
      <c r="F24" s="14" t="str">
        <f t="shared" si="1"/>
        <v/>
      </c>
      <c r="G24" s="13" t="str">
        <f>IF(A24="","",SUMIFS(Base_Porao_Turno!$H:$H,Base_Porao_Turno!$A:$A,A24,Base_Porao_Turno!$E:$E,B24))</f>
        <v/>
      </c>
      <c r="H24" s="13" t="str">
        <f t="shared" si="2"/>
        <v/>
      </c>
    </row>
    <row r="25" spans="1:8" x14ac:dyDescent="0.3">
      <c r="A25" s="6"/>
      <c r="B25" s="6"/>
      <c r="C25" s="8"/>
      <c r="D25" s="13" t="str">
        <f>IF(A25="","",SUMIFS(Base_Porao_Turno!$K:$K,Base_Porao_Turno!$A:$A,A25,Base_Porao_Turno!$E:$E,B25))</f>
        <v/>
      </c>
      <c r="E25" s="13" t="str">
        <f t="shared" si="0"/>
        <v/>
      </c>
      <c r="F25" s="14" t="str">
        <f t="shared" si="1"/>
        <v/>
      </c>
      <c r="G25" s="13" t="str">
        <f>IF(A25="","",SUMIFS(Base_Porao_Turno!$H:$H,Base_Porao_Turno!$A:$A,A25,Base_Porao_Turno!$E:$E,B25))</f>
        <v/>
      </c>
      <c r="H25" s="13" t="str">
        <f t="shared" si="2"/>
        <v/>
      </c>
    </row>
    <row r="26" spans="1:8" x14ac:dyDescent="0.3">
      <c r="A26" s="6"/>
      <c r="B26" s="6"/>
      <c r="C26" s="8"/>
      <c r="D26" s="13" t="str">
        <f>IF(A26="","",SUMIFS(Base_Porao_Turno!$K:$K,Base_Porao_Turno!$A:$A,A26,Base_Porao_Turno!$E:$E,B26))</f>
        <v/>
      </c>
      <c r="E26" s="13" t="str">
        <f t="shared" si="0"/>
        <v/>
      </c>
      <c r="F26" s="14" t="str">
        <f t="shared" si="1"/>
        <v/>
      </c>
      <c r="G26" s="13" t="str">
        <f>IF(A26="","",SUMIFS(Base_Porao_Turno!$H:$H,Base_Porao_Turno!$A:$A,A26,Base_Porao_Turno!$E:$E,B26))</f>
        <v/>
      </c>
      <c r="H26" s="13" t="str">
        <f t="shared" si="2"/>
        <v/>
      </c>
    </row>
    <row r="27" spans="1:8" x14ac:dyDescent="0.3">
      <c r="A27" s="6"/>
      <c r="B27" s="6"/>
      <c r="C27" s="8"/>
      <c r="D27" s="13" t="str">
        <f>IF(A27="","",SUMIFS(Base_Porao_Turno!$K:$K,Base_Porao_Turno!$A:$A,A27,Base_Porao_Turno!$E:$E,B27))</f>
        <v/>
      </c>
      <c r="E27" s="13" t="str">
        <f t="shared" si="0"/>
        <v/>
      </c>
      <c r="F27" s="14" t="str">
        <f t="shared" si="1"/>
        <v/>
      </c>
      <c r="G27" s="13" t="str">
        <f>IF(A27="","",SUMIFS(Base_Porao_Turno!$H:$H,Base_Porao_Turno!$A:$A,A27,Base_Porao_Turno!$E:$E,B27))</f>
        <v/>
      </c>
      <c r="H27" s="13" t="str">
        <f t="shared" si="2"/>
        <v/>
      </c>
    </row>
    <row r="28" spans="1:8" x14ac:dyDescent="0.3">
      <c r="A28" s="6"/>
      <c r="B28" s="6"/>
      <c r="C28" s="8"/>
      <c r="D28" s="13" t="str">
        <f>IF(A28="","",SUMIFS(Base_Porao_Turno!$K:$K,Base_Porao_Turno!$A:$A,A28,Base_Porao_Turno!$E:$E,B28))</f>
        <v/>
      </c>
      <c r="E28" s="13" t="str">
        <f t="shared" si="0"/>
        <v/>
      </c>
      <c r="F28" s="14" t="str">
        <f t="shared" si="1"/>
        <v/>
      </c>
      <c r="G28" s="13" t="str">
        <f>IF(A28="","",SUMIFS(Base_Porao_Turno!$H:$H,Base_Porao_Turno!$A:$A,A28,Base_Porao_Turno!$E:$E,B28))</f>
        <v/>
      </c>
      <c r="H28" s="13" t="str">
        <f t="shared" si="2"/>
        <v/>
      </c>
    </row>
    <row r="29" spans="1:8" x14ac:dyDescent="0.3">
      <c r="A29" s="6"/>
      <c r="B29" s="6"/>
      <c r="C29" s="8"/>
      <c r="D29" s="13" t="str">
        <f>IF(A29="","",SUMIFS(Base_Porao_Turno!$K:$K,Base_Porao_Turno!$A:$A,A29,Base_Porao_Turno!$E:$E,B29))</f>
        <v/>
      </c>
      <c r="E29" s="13" t="str">
        <f t="shared" si="0"/>
        <v/>
      </c>
      <c r="F29" s="14" t="str">
        <f t="shared" si="1"/>
        <v/>
      </c>
      <c r="G29" s="13" t="str">
        <f>IF(A29="","",SUMIFS(Base_Porao_Turno!$H:$H,Base_Porao_Turno!$A:$A,A29,Base_Porao_Turno!$E:$E,B29))</f>
        <v/>
      </c>
      <c r="H29" s="13" t="str">
        <f t="shared" si="2"/>
        <v/>
      </c>
    </row>
    <row r="30" spans="1:8" x14ac:dyDescent="0.3">
      <c r="A30" s="6"/>
      <c r="B30" s="6"/>
      <c r="C30" s="8"/>
      <c r="D30" s="13" t="str">
        <f>IF(A30="","",SUMIFS(Base_Porao_Turno!$K:$K,Base_Porao_Turno!$A:$A,A30,Base_Porao_Turno!$E:$E,B30))</f>
        <v/>
      </c>
      <c r="E30" s="13" t="str">
        <f t="shared" si="0"/>
        <v/>
      </c>
      <c r="F30" s="14" t="str">
        <f t="shared" si="1"/>
        <v/>
      </c>
      <c r="G30" s="13" t="str">
        <f>IF(A30="","",SUMIFS(Base_Porao_Turno!$H:$H,Base_Porao_Turno!$A:$A,A30,Base_Porao_Turno!$E:$E,B30))</f>
        <v/>
      </c>
      <c r="H30" s="13" t="str">
        <f t="shared" si="2"/>
        <v/>
      </c>
    </row>
    <row r="31" spans="1:8" x14ac:dyDescent="0.3">
      <c r="A31" s="6"/>
      <c r="B31" s="6"/>
      <c r="C31" s="8"/>
      <c r="D31" s="13" t="str">
        <f>IF(A31="","",SUMIFS(Base_Porao_Turno!$K:$K,Base_Porao_Turno!$A:$A,A31,Base_Porao_Turno!$E:$E,B31))</f>
        <v/>
      </c>
      <c r="E31" s="13" t="str">
        <f t="shared" si="0"/>
        <v/>
      </c>
      <c r="F31" s="14" t="str">
        <f t="shared" si="1"/>
        <v/>
      </c>
      <c r="G31" s="13" t="str">
        <f>IF(A31="","",SUMIFS(Base_Porao_Turno!$H:$H,Base_Porao_Turno!$A:$A,A31,Base_Porao_Turno!$E:$E,B31))</f>
        <v/>
      </c>
      <c r="H31" s="13" t="str">
        <f t="shared" si="2"/>
        <v/>
      </c>
    </row>
    <row r="32" spans="1:8" x14ac:dyDescent="0.3">
      <c r="A32" s="6"/>
      <c r="B32" s="6"/>
      <c r="C32" s="8"/>
      <c r="D32" s="13" t="str">
        <f>IF(A32="","",SUMIFS(Base_Porao_Turno!$K:$K,Base_Porao_Turno!$A:$A,A32,Base_Porao_Turno!$E:$E,B32))</f>
        <v/>
      </c>
      <c r="E32" s="13" t="str">
        <f t="shared" si="0"/>
        <v/>
      </c>
      <c r="F32" s="14" t="str">
        <f t="shared" si="1"/>
        <v/>
      </c>
      <c r="G32" s="13" t="str">
        <f>IF(A32="","",SUMIFS(Base_Porao_Turno!$H:$H,Base_Porao_Turno!$A:$A,A32,Base_Porao_Turno!$E:$E,B32))</f>
        <v/>
      </c>
      <c r="H32" s="13" t="str">
        <f t="shared" si="2"/>
        <v/>
      </c>
    </row>
    <row r="33" spans="1:8" x14ac:dyDescent="0.3">
      <c r="A33" s="6"/>
      <c r="B33" s="6"/>
      <c r="C33" s="8"/>
      <c r="D33" s="13" t="str">
        <f>IF(A33="","",SUMIFS(Base_Porao_Turno!$K:$K,Base_Porao_Turno!$A:$A,A33,Base_Porao_Turno!$E:$E,B33))</f>
        <v/>
      </c>
      <c r="E33" s="13" t="str">
        <f t="shared" si="0"/>
        <v/>
      </c>
      <c r="F33" s="14" t="str">
        <f t="shared" si="1"/>
        <v/>
      </c>
      <c r="G33" s="13" t="str">
        <f>IF(A33="","",SUMIFS(Base_Porao_Turno!$H:$H,Base_Porao_Turno!$A:$A,A33,Base_Porao_Turno!$E:$E,B33))</f>
        <v/>
      </c>
      <c r="H33" s="13" t="str">
        <f t="shared" si="2"/>
        <v/>
      </c>
    </row>
    <row r="34" spans="1:8" x14ac:dyDescent="0.3">
      <c r="A34" s="6"/>
      <c r="B34" s="6"/>
      <c r="C34" s="8"/>
      <c r="D34" s="13" t="str">
        <f>IF(A34="","",SUMIFS(Base_Porao_Turno!$K:$K,Base_Porao_Turno!$A:$A,A34,Base_Porao_Turno!$E:$E,B34))</f>
        <v/>
      </c>
      <c r="E34" s="13" t="str">
        <f t="shared" si="0"/>
        <v/>
      </c>
      <c r="F34" s="14" t="str">
        <f t="shared" si="1"/>
        <v/>
      </c>
      <c r="G34" s="13" t="str">
        <f>IF(A34="","",SUMIFS(Base_Porao_Turno!$H:$H,Base_Porao_Turno!$A:$A,A34,Base_Porao_Turno!$E:$E,B34))</f>
        <v/>
      </c>
      <c r="H34" s="13" t="str">
        <f t="shared" si="2"/>
        <v/>
      </c>
    </row>
    <row r="35" spans="1:8" x14ac:dyDescent="0.3">
      <c r="A35" s="6"/>
      <c r="B35" s="6"/>
      <c r="C35" s="8"/>
      <c r="D35" s="13" t="str">
        <f>IF(A35="","",SUMIFS(Base_Porao_Turno!$K:$K,Base_Porao_Turno!$A:$A,A35,Base_Porao_Turno!$E:$E,B35))</f>
        <v/>
      </c>
      <c r="E35" s="13" t="str">
        <f t="shared" si="0"/>
        <v/>
      </c>
      <c r="F35" s="14" t="str">
        <f t="shared" si="1"/>
        <v/>
      </c>
      <c r="G35" s="13" t="str">
        <f>IF(A35="","",SUMIFS(Base_Porao_Turno!$H:$H,Base_Porao_Turno!$A:$A,A35,Base_Porao_Turno!$E:$E,B35))</f>
        <v/>
      </c>
      <c r="H35" s="13" t="str">
        <f t="shared" si="2"/>
        <v/>
      </c>
    </row>
    <row r="36" spans="1:8" x14ac:dyDescent="0.3">
      <c r="A36" s="6"/>
      <c r="B36" s="6"/>
      <c r="C36" s="8"/>
      <c r="D36" s="13" t="str">
        <f>IF(A36="","",SUMIFS(Base_Porao_Turno!$K:$K,Base_Porao_Turno!$A:$A,A36,Base_Porao_Turno!$E:$E,B36))</f>
        <v/>
      </c>
      <c r="E36" s="13" t="str">
        <f t="shared" si="0"/>
        <v/>
      </c>
      <c r="F36" s="14" t="str">
        <f t="shared" si="1"/>
        <v/>
      </c>
      <c r="G36" s="13" t="str">
        <f>IF(A36="","",SUMIFS(Base_Porao_Turno!$H:$H,Base_Porao_Turno!$A:$A,A36,Base_Porao_Turno!$E:$E,B36))</f>
        <v/>
      </c>
      <c r="H36" s="13" t="str">
        <f t="shared" si="2"/>
        <v/>
      </c>
    </row>
    <row r="37" spans="1:8" x14ac:dyDescent="0.3">
      <c r="A37" s="6"/>
      <c r="B37" s="6"/>
      <c r="C37" s="8"/>
      <c r="D37" s="13" t="str">
        <f>IF(A37="","",SUMIFS(Base_Porao_Turno!$K:$K,Base_Porao_Turno!$A:$A,A37,Base_Porao_Turno!$E:$E,B37))</f>
        <v/>
      </c>
      <c r="E37" s="13" t="str">
        <f t="shared" si="0"/>
        <v/>
      </c>
      <c r="F37" s="14" t="str">
        <f t="shared" si="1"/>
        <v/>
      </c>
      <c r="G37" s="13" t="str">
        <f>IF(A37="","",SUMIFS(Base_Porao_Turno!$H:$H,Base_Porao_Turno!$A:$A,A37,Base_Porao_Turno!$E:$E,B37))</f>
        <v/>
      </c>
      <c r="H37" s="13" t="str">
        <f t="shared" si="2"/>
        <v/>
      </c>
    </row>
    <row r="38" spans="1:8" x14ac:dyDescent="0.3">
      <c r="A38" s="6"/>
      <c r="B38" s="6"/>
      <c r="C38" s="8"/>
      <c r="D38" s="13" t="str">
        <f>IF(A38="","",SUMIFS(Base_Porao_Turno!$K:$K,Base_Porao_Turno!$A:$A,A38,Base_Porao_Turno!$E:$E,B38))</f>
        <v/>
      </c>
      <c r="E38" s="13" t="str">
        <f t="shared" si="0"/>
        <v/>
      </c>
      <c r="F38" s="14" t="str">
        <f t="shared" si="1"/>
        <v/>
      </c>
      <c r="G38" s="13" t="str">
        <f>IF(A38="","",SUMIFS(Base_Porao_Turno!$H:$H,Base_Porao_Turno!$A:$A,A38,Base_Porao_Turno!$E:$E,B38))</f>
        <v/>
      </c>
      <c r="H38" s="13" t="str">
        <f t="shared" si="2"/>
        <v/>
      </c>
    </row>
    <row r="39" spans="1:8" x14ac:dyDescent="0.3">
      <c r="A39" s="6"/>
      <c r="B39" s="6"/>
      <c r="C39" s="8"/>
      <c r="D39" s="13" t="str">
        <f>IF(A39="","",SUMIFS(Base_Porao_Turno!$K:$K,Base_Porao_Turno!$A:$A,A39,Base_Porao_Turno!$E:$E,B39))</f>
        <v/>
      </c>
      <c r="E39" s="13" t="str">
        <f t="shared" si="0"/>
        <v/>
      </c>
      <c r="F39" s="14" t="str">
        <f t="shared" si="1"/>
        <v/>
      </c>
      <c r="G39" s="13" t="str">
        <f>IF(A39="","",SUMIFS(Base_Porao_Turno!$H:$H,Base_Porao_Turno!$A:$A,A39,Base_Porao_Turno!$E:$E,B39))</f>
        <v/>
      </c>
      <c r="H39" s="13" t="str">
        <f t="shared" si="2"/>
        <v/>
      </c>
    </row>
    <row r="40" spans="1:8" x14ac:dyDescent="0.3">
      <c r="A40" s="6"/>
      <c r="B40" s="6"/>
      <c r="C40" s="8"/>
      <c r="D40" s="13" t="str">
        <f>IF(A40="","",SUMIFS(Base_Porao_Turno!$K:$K,Base_Porao_Turno!$A:$A,A40,Base_Porao_Turno!$E:$E,B40))</f>
        <v/>
      </c>
      <c r="E40" s="13" t="str">
        <f t="shared" si="0"/>
        <v/>
      </c>
      <c r="F40" s="14" t="str">
        <f t="shared" si="1"/>
        <v/>
      </c>
      <c r="G40" s="13" t="str">
        <f>IF(A40="","",SUMIFS(Base_Porao_Turno!$H:$H,Base_Porao_Turno!$A:$A,A40,Base_Porao_Turno!$E:$E,B40))</f>
        <v/>
      </c>
      <c r="H40" s="13" t="str">
        <f t="shared" si="2"/>
        <v/>
      </c>
    </row>
    <row r="41" spans="1:8" x14ac:dyDescent="0.3">
      <c r="A41" s="6"/>
      <c r="B41" s="6"/>
      <c r="C41" s="8"/>
      <c r="D41" s="13" t="str">
        <f>IF(A41="","",SUMIFS(Base_Porao_Turno!$K:$K,Base_Porao_Turno!$A:$A,A41,Base_Porao_Turno!$E:$E,B41))</f>
        <v/>
      </c>
      <c r="E41" s="13" t="str">
        <f t="shared" si="0"/>
        <v/>
      </c>
      <c r="F41" s="14" t="str">
        <f t="shared" si="1"/>
        <v/>
      </c>
      <c r="G41" s="13" t="str">
        <f>IF(A41="","",SUMIFS(Base_Porao_Turno!$H:$H,Base_Porao_Turno!$A:$A,A41,Base_Porao_Turno!$E:$E,B41))</f>
        <v/>
      </c>
      <c r="H41" s="13" t="str">
        <f t="shared" si="2"/>
        <v/>
      </c>
    </row>
    <row r="42" spans="1:8" x14ac:dyDescent="0.3">
      <c r="A42" s="6"/>
      <c r="B42" s="6"/>
      <c r="C42" s="8"/>
      <c r="D42" s="13" t="str">
        <f>IF(A42="","",SUMIFS(Base_Porao_Turno!$K:$K,Base_Porao_Turno!$A:$A,A42,Base_Porao_Turno!$E:$E,B42))</f>
        <v/>
      </c>
      <c r="E42" s="13" t="str">
        <f t="shared" si="0"/>
        <v/>
      </c>
      <c r="F42" s="14" t="str">
        <f t="shared" si="1"/>
        <v/>
      </c>
      <c r="G42" s="13" t="str">
        <f>IF(A42="","",SUMIFS(Base_Porao_Turno!$H:$H,Base_Porao_Turno!$A:$A,A42,Base_Porao_Turno!$E:$E,B42))</f>
        <v/>
      </c>
      <c r="H42" s="13" t="str">
        <f t="shared" si="2"/>
        <v/>
      </c>
    </row>
    <row r="43" spans="1:8" x14ac:dyDescent="0.3">
      <c r="A43" s="6"/>
      <c r="B43" s="6"/>
      <c r="C43" s="8"/>
      <c r="D43" s="13" t="str">
        <f>IF(A43="","",SUMIFS(Base_Porao_Turno!$K:$K,Base_Porao_Turno!$A:$A,A43,Base_Porao_Turno!$E:$E,B43))</f>
        <v/>
      </c>
      <c r="E43" s="13" t="str">
        <f t="shared" si="0"/>
        <v/>
      </c>
      <c r="F43" s="14" t="str">
        <f t="shared" si="1"/>
        <v/>
      </c>
      <c r="G43" s="13" t="str">
        <f>IF(A43="","",SUMIFS(Base_Porao_Turno!$H:$H,Base_Porao_Turno!$A:$A,A43,Base_Porao_Turno!$E:$E,B43))</f>
        <v/>
      </c>
      <c r="H43" s="13" t="str">
        <f t="shared" si="2"/>
        <v/>
      </c>
    </row>
    <row r="44" spans="1:8" x14ac:dyDescent="0.3">
      <c r="A44" s="6"/>
      <c r="B44" s="6"/>
      <c r="C44" s="8"/>
      <c r="D44" s="13" t="str">
        <f>IF(A44="","",SUMIFS(Base_Porao_Turno!$K:$K,Base_Porao_Turno!$A:$A,A44,Base_Porao_Turno!$E:$E,B44))</f>
        <v/>
      </c>
      <c r="E44" s="13" t="str">
        <f t="shared" si="0"/>
        <v/>
      </c>
      <c r="F44" s="14" t="str">
        <f t="shared" si="1"/>
        <v/>
      </c>
      <c r="G44" s="13" t="str">
        <f>IF(A44="","",SUMIFS(Base_Porao_Turno!$H:$H,Base_Porao_Turno!$A:$A,A44,Base_Porao_Turno!$E:$E,B44))</f>
        <v/>
      </c>
      <c r="H44" s="13" t="str">
        <f t="shared" si="2"/>
        <v/>
      </c>
    </row>
    <row r="45" spans="1:8" x14ac:dyDescent="0.3">
      <c r="A45" s="6"/>
      <c r="B45" s="6"/>
      <c r="C45" s="8"/>
      <c r="D45" s="13" t="str">
        <f>IF(A45="","",SUMIFS(Base_Porao_Turno!$K:$K,Base_Porao_Turno!$A:$A,A45,Base_Porao_Turno!$E:$E,B45))</f>
        <v/>
      </c>
      <c r="E45" s="13" t="str">
        <f t="shared" si="0"/>
        <v/>
      </c>
      <c r="F45" s="14" t="str">
        <f t="shared" si="1"/>
        <v/>
      </c>
      <c r="G45" s="13" t="str">
        <f>IF(A45="","",SUMIFS(Base_Porao_Turno!$H:$H,Base_Porao_Turno!$A:$A,A45,Base_Porao_Turno!$E:$E,B45))</f>
        <v/>
      </c>
      <c r="H45" s="13" t="str">
        <f t="shared" si="2"/>
        <v/>
      </c>
    </row>
    <row r="46" spans="1:8" x14ac:dyDescent="0.3">
      <c r="A46" s="6"/>
      <c r="B46" s="6"/>
      <c r="C46" s="8"/>
      <c r="D46" s="13" t="str">
        <f>IF(A46="","",SUMIFS(Base_Porao_Turno!$K:$K,Base_Porao_Turno!$A:$A,A46,Base_Porao_Turno!$E:$E,B46))</f>
        <v/>
      </c>
      <c r="E46" s="13" t="str">
        <f t="shared" si="0"/>
        <v/>
      </c>
      <c r="F46" s="14" t="str">
        <f t="shared" si="1"/>
        <v/>
      </c>
      <c r="G46" s="13" t="str">
        <f>IF(A46="","",SUMIFS(Base_Porao_Turno!$H:$H,Base_Porao_Turno!$A:$A,A46,Base_Porao_Turno!$E:$E,B46))</f>
        <v/>
      </c>
      <c r="H46" s="13" t="str">
        <f t="shared" si="2"/>
        <v/>
      </c>
    </row>
    <row r="47" spans="1:8" x14ac:dyDescent="0.3">
      <c r="A47" s="6"/>
      <c r="B47" s="6"/>
      <c r="C47" s="8"/>
      <c r="D47" s="13" t="str">
        <f>IF(A47="","",SUMIFS(Base_Porao_Turno!$K:$K,Base_Porao_Turno!$A:$A,A47,Base_Porao_Turno!$E:$E,B47))</f>
        <v/>
      </c>
      <c r="E47" s="13" t="str">
        <f t="shared" si="0"/>
        <v/>
      </c>
      <c r="F47" s="14" t="str">
        <f t="shared" si="1"/>
        <v/>
      </c>
      <c r="G47" s="13" t="str">
        <f>IF(A47="","",SUMIFS(Base_Porao_Turno!$H:$H,Base_Porao_Turno!$A:$A,A47,Base_Porao_Turno!$E:$E,B47))</f>
        <v/>
      </c>
      <c r="H47" s="13" t="str">
        <f t="shared" si="2"/>
        <v/>
      </c>
    </row>
    <row r="48" spans="1:8" x14ac:dyDescent="0.3">
      <c r="A48" s="6"/>
      <c r="B48" s="6"/>
      <c r="C48" s="8"/>
      <c r="D48" s="13" t="str">
        <f>IF(A48="","",SUMIFS(Base_Porao_Turno!$K:$K,Base_Porao_Turno!$A:$A,A48,Base_Porao_Turno!$E:$E,B48))</f>
        <v/>
      </c>
      <c r="E48" s="13" t="str">
        <f t="shared" si="0"/>
        <v/>
      </c>
      <c r="F48" s="14" t="str">
        <f t="shared" si="1"/>
        <v/>
      </c>
      <c r="G48" s="13" t="str">
        <f>IF(A48="","",SUMIFS(Base_Porao_Turno!$H:$H,Base_Porao_Turno!$A:$A,A48,Base_Porao_Turno!$E:$E,B48))</f>
        <v/>
      </c>
      <c r="H48" s="13" t="str">
        <f t="shared" si="2"/>
        <v/>
      </c>
    </row>
    <row r="49" spans="1:8" x14ac:dyDescent="0.3">
      <c r="A49" s="6"/>
      <c r="B49" s="6"/>
      <c r="C49" s="8"/>
      <c r="D49" s="13" t="str">
        <f>IF(A49="","",SUMIFS(Base_Porao_Turno!$K:$K,Base_Porao_Turno!$A:$A,A49,Base_Porao_Turno!$E:$E,B49))</f>
        <v/>
      </c>
      <c r="E49" s="13" t="str">
        <f t="shared" si="0"/>
        <v/>
      </c>
      <c r="F49" s="14" t="str">
        <f t="shared" si="1"/>
        <v/>
      </c>
      <c r="G49" s="13" t="str">
        <f>IF(A49="","",SUMIFS(Base_Porao_Turno!$H:$H,Base_Porao_Turno!$A:$A,A49,Base_Porao_Turno!$E:$E,B49))</f>
        <v/>
      </c>
      <c r="H49" s="13" t="str">
        <f t="shared" si="2"/>
        <v/>
      </c>
    </row>
    <row r="50" spans="1:8" x14ac:dyDescent="0.3">
      <c r="A50" s="6"/>
      <c r="B50" s="6"/>
      <c r="C50" s="8"/>
      <c r="D50" s="13" t="str">
        <f>IF(A50="","",SUMIFS(Base_Porao_Turno!$K:$K,Base_Porao_Turno!$A:$A,A50,Base_Porao_Turno!$E:$E,B50))</f>
        <v/>
      </c>
      <c r="E50" s="13" t="str">
        <f t="shared" si="0"/>
        <v/>
      </c>
      <c r="F50" s="14" t="str">
        <f t="shared" si="1"/>
        <v/>
      </c>
      <c r="G50" s="13" t="str">
        <f>IF(A50="","",SUMIFS(Base_Porao_Turno!$H:$H,Base_Porao_Turno!$A:$A,A50,Base_Porao_Turno!$E:$E,B50))</f>
        <v/>
      </c>
      <c r="H50" s="13" t="str">
        <f t="shared" si="2"/>
        <v/>
      </c>
    </row>
    <row r="51" spans="1:8" x14ac:dyDescent="0.3">
      <c r="A51" s="6"/>
      <c r="B51" s="6"/>
      <c r="C51" s="8"/>
      <c r="D51" s="13" t="str">
        <f>IF(A51="","",SUMIFS(Base_Porao_Turno!$K:$K,Base_Porao_Turno!$A:$A,A51,Base_Porao_Turno!$E:$E,B51))</f>
        <v/>
      </c>
      <c r="E51" s="13" t="str">
        <f t="shared" si="0"/>
        <v/>
      </c>
      <c r="F51" s="14" t="str">
        <f t="shared" si="1"/>
        <v/>
      </c>
      <c r="G51" s="13" t="str">
        <f>IF(A51="","",SUMIFS(Base_Porao_Turno!$H:$H,Base_Porao_Turno!$A:$A,A51,Base_Porao_Turno!$E:$E,B51))</f>
        <v/>
      </c>
      <c r="H51" s="13" t="str">
        <f t="shared" si="2"/>
        <v/>
      </c>
    </row>
    <row r="52" spans="1:8" x14ac:dyDescent="0.3">
      <c r="A52" s="6"/>
      <c r="B52" s="6"/>
      <c r="C52" s="8"/>
      <c r="D52" s="13" t="str">
        <f>IF(A52="","",SUMIFS(Base_Porao_Turno!$K:$K,Base_Porao_Turno!$A:$A,A52,Base_Porao_Turno!$E:$E,B52))</f>
        <v/>
      </c>
      <c r="E52" s="13" t="str">
        <f t="shared" si="0"/>
        <v/>
      </c>
      <c r="F52" s="14" t="str">
        <f t="shared" si="1"/>
        <v/>
      </c>
      <c r="G52" s="13" t="str">
        <f>IF(A52="","",SUMIFS(Base_Porao_Turno!$H:$H,Base_Porao_Turno!$A:$A,A52,Base_Porao_Turno!$E:$E,B52))</f>
        <v/>
      </c>
      <c r="H52" s="13" t="str">
        <f t="shared" si="2"/>
        <v/>
      </c>
    </row>
    <row r="53" spans="1:8" x14ac:dyDescent="0.3">
      <c r="A53" s="6"/>
      <c r="B53" s="6"/>
      <c r="C53" s="8"/>
      <c r="D53" s="13" t="str">
        <f>IF(A53="","",SUMIFS(Base_Porao_Turno!$K:$K,Base_Porao_Turno!$A:$A,A53,Base_Porao_Turno!$E:$E,B53))</f>
        <v/>
      </c>
      <c r="E53" s="13" t="str">
        <f t="shared" si="0"/>
        <v/>
      </c>
      <c r="F53" s="14" t="str">
        <f t="shared" si="1"/>
        <v/>
      </c>
      <c r="G53" s="13" t="str">
        <f>IF(A53="","",SUMIFS(Base_Porao_Turno!$H:$H,Base_Porao_Turno!$A:$A,A53,Base_Porao_Turno!$E:$E,B53))</f>
        <v/>
      </c>
      <c r="H53" s="13" t="str">
        <f t="shared" si="2"/>
        <v/>
      </c>
    </row>
    <row r="54" spans="1:8" x14ac:dyDescent="0.3">
      <c r="A54" s="6"/>
      <c r="B54" s="6"/>
      <c r="C54" s="8"/>
      <c r="D54" s="13" t="str">
        <f>IF(A54="","",SUMIFS(Base_Porao_Turno!$K:$K,Base_Porao_Turno!$A:$A,A54,Base_Porao_Turno!$E:$E,B54))</f>
        <v/>
      </c>
      <c r="E54" s="13" t="str">
        <f t="shared" si="0"/>
        <v/>
      </c>
      <c r="F54" s="14" t="str">
        <f t="shared" si="1"/>
        <v/>
      </c>
      <c r="G54" s="13" t="str">
        <f>IF(A54="","",SUMIFS(Base_Porao_Turno!$H:$H,Base_Porao_Turno!$A:$A,A54,Base_Porao_Turno!$E:$E,B54))</f>
        <v/>
      </c>
      <c r="H54" s="13" t="str">
        <f t="shared" si="2"/>
        <v/>
      </c>
    </row>
    <row r="55" spans="1:8" x14ac:dyDescent="0.3">
      <c r="A55" s="6"/>
      <c r="B55" s="6"/>
      <c r="C55" s="8"/>
      <c r="D55" s="13" t="str">
        <f>IF(A55="","",SUMIFS(Base_Porao_Turno!$K:$K,Base_Porao_Turno!$A:$A,A55,Base_Porao_Turno!$E:$E,B55))</f>
        <v/>
      </c>
      <c r="E55" s="13" t="str">
        <f t="shared" si="0"/>
        <v/>
      </c>
      <c r="F55" s="14" t="str">
        <f t="shared" si="1"/>
        <v/>
      </c>
      <c r="G55" s="13" t="str">
        <f>IF(A55="","",SUMIFS(Base_Porao_Turno!$H:$H,Base_Porao_Turno!$A:$A,A55,Base_Porao_Turno!$E:$E,B55))</f>
        <v/>
      </c>
      <c r="H55" s="13" t="str">
        <f t="shared" si="2"/>
        <v/>
      </c>
    </row>
    <row r="56" spans="1:8" x14ac:dyDescent="0.3">
      <c r="A56" s="6"/>
      <c r="B56" s="6"/>
      <c r="C56" s="8"/>
      <c r="D56" s="13" t="str">
        <f>IF(A56="","",SUMIFS(Base_Porao_Turno!$K:$K,Base_Porao_Turno!$A:$A,A56,Base_Porao_Turno!$E:$E,B56))</f>
        <v/>
      </c>
      <c r="E56" s="13" t="str">
        <f t="shared" si="0"/>
        <v/>
      </c>
      <c r="F56" s="14" t="str">
        <f t="shared" si="1"/>
        <v/>
      </c>
      <c r="G56" s="13" t="str">
        <f>IF(A56="","",SUMIFS(Base_Porao_Turno!$H:$H,Base_Porao_Turno!$A:$A,A56,Base_Porao_Turno!$E:$E,B56))</f>
        <v/>
      </c>
      <c r="H56" s="13" t="str">
        <f t="shared" si="2"/>
        <v/>
      </c>
    </row>
    <row r="57" spans="1:8" x14ac:dyDescent="0.3">
      <c r="A57" s="6"/>
      <c r="B57" s="6"/>
      <c r="C57" s="8"/>
      <c r="D57" s="13" t="str">
        <f>IF(A57="","",SUMIFS(Base_Porao_Turno!$K:$K,Base_Porao_Turno!$A:$A,A57,Base_Porao_Turno!$E:$E,B57))</f>
        <v/>
      </c>
      <c r="E57" s="13" t="str">
        <f t="shared" si="0"/>
        <v/>
      </c>
      <c r="F57" s="14" t="str">
        <f t="shared" si="1"/>
        <v/>
      </c>
      <c r="G57" s="13" t="str">
        <f>IF(A57="","",SUMIFS(Base_Porao_Turno!$H:$H,Base_Porao_Turno!$A:$A,A57,Base_Porao_Turno!$E:$E,B57))</f>
        <v/>
      </c>
      <c r="H57" s="13" t="str">
        <f t="shared" si="2"/>
        <v/>
      </c>
    </row>
    <row r="58" spans="1:8" x14ac:dyDescent="0.3">
      <c r="A58" s="6"/>
      <c r="B58" s="6"/>
      <c r="C58" s="8"/>
      <c r="D58" s="13" t="str">
        <f>IF(A58="","",SUMIFS(Base_Porao_Turno!$K:$K,Base_Porao_Turno!$A:$A,A58,Base_Porao_Turno!$E:$E,B58))</f>
        <v/>
      </c>
      <c r="E58" s="13" t="str">
        <f t="shared" si="0"/>
        <v/>
      </c>
      <c r="F58" s="14" t="str">
        <f t="shared" si="1"/>
        <v/>
      </c>
      <c r="G58" s="13" t="str">
        <f>IF(A58="","",SUMIFS(Base_Porao_Turno!$H:$H,Base_Porao_Turno!$A:$A,A58,Base_Porao_Turno!$E:$E,B58))</f>
        <v/>
      </c>
      <c r="H58" s="13" t="str">
        <f t="shared" si="2"/>
        <v/>
      </c>
    </row>
    <row r="59" spans="1:8" x14ac:dyDescent="0.3">
      <c r="A59" s="6"/>
      <c r="B59" s="6"/>
      <c r="C59" s="8"/>
      <c r="D59" s="13" t="str">
        <f>IF(A59="","",SUMIFS(Base_Porao_Turno!$K:$K,Base_Porao_Turno!$A:$A,A59,Base_Porao_Turno!$E:$E,B59))</f>
        <v/>
      </c>
      <c r="E59" s="13" t="str">
        <f t="shared" si="0"/>
        <v/>
      </c>
      <c r="F59" s="14" t="str">
        <f t="shared" si="1"/>
        <v/>
      </c>
      <c r="G59" s="13" t="str">
        <f>IF(A59="","",SUMIFS(Base_Porao_Turno!$H:$H,Base_Porao_Turno!$A:$A,A59,Base_Porao_Turno!$E:$E,B59))</f>
        <v/>
      </c>
      <c r="H59" s="13" t="str">
        <f t="shared" si="2"/>
        <v/>
      </c>
    </row>
    <row r="60" spans="1:8" x14ac:dyDescent="0.3">
      <c r="A60" s="6"/>
      <c r="B60" s="6"/>
      <c r="C60" s="8"/>
      <c r="D60" s="13" t="str">
        <f>IF(A60="","",SUMIFS(Base_Porao_Turno!$K:$K,Base_Porao_Turno!$A:$A,A60,Base_Porao_Turno!$E:$E,B60))</f>
        <v/>
      </c>
      <c r="E60" s="13" t="str">
        <f t="shared" si="0"/>
        <v/>
      </c>
      <c r="F60" s="14" t="str">
        <f t="shared" si="1"/>
        <v/>
      </c>
      <c r="G60" s="13" t="str">
        <f>IF(A60="","",SUMIFS(Base_Porao_Turno!$H:$H,Base_Porao_Turno!$A:$A,A60,Base_Porao_Turno!$E:$E,B60))</f>
        <v/>
      </c>
      <c r="H60" s="13" t="str">
        <f t="shared" si="2"/>
        <v/>
      </c>
    </row>
    <row r="61" spans="1:8" x14ac:dyDescent="0.3">
      <c r="A61" s="6"/>
      <c r="B61" s="6"/>
      <c r="C61" s="8"/>
      <c r="D61" s="13" t="str">
        <f>IF(A61="","",SUMIFS(Base_Porao_Turno!$K:$K,Base_Porao_Turno!$A:$A,A61,Base_Porao_Turno!$E:$E,B61))</f>
        <v/>
      </c>
      <c r="E61" s="13" t="str">
        <f t="shared" si="0"/>
        <v/>
      </c>
      <c r="F61" s="14" t="str">
        <f t="shared" si="1"/>
        <v/>
      </c>
      <c r="G61" s="13" t="str">
        <f>IF(A61="","",SUMIFS(Base_Porao_Turno!$H:$H,Base_Porao_Turno!$A:$A,A61,Base_Porao_Turno!$E:$E,B61))</f>
        <v/>
      </c>
      <c r="H61" s="13" t="str">
        <f t="shared" si="2"/>
        <v/>
      </c>
    </row>
    <row r="62" spans="1:8" x14ac:dyDescent="0.3">
      <c r="A62" s="6"/>
      <c r="B62" s="6"/>
      <c r="C62" s="8"/>
      <c r="D62" s="13" t="str">
        <f>IF(A62="","",SUMIFS(Base_Porao_Turno!$K:$K,Base_Porao_Turno!$A:$A,A62,Base_Porao_Turno!$E:$E,B62))</f>
        <v/>
      </c>
      <c r="E62" s="13" t="str">
        <f t="shared" si="0"/>
        <v/>
      </c>
      <c r="F62" s="14" t="str">
        <f t="shared" si="1"/>
        <v/>
      </c>
      <c r="G62" s="13" t="str">
        <f>IF(A62="","",SUMIFS(Base_Porao_Turno!$H:$H,Base_Porao_Turno!$A:$A,A62,Base_Porao_Turno!$E:$E,B62))</f>
        <v/>
      </c>
      <c r="H62" s="13" t="str">
        <f t="shared" si="2"/>
        <v/>
      </c>
    </row>
    <row r="63" spans="1:8" x14ac:dyDescent="0.3">
      <c r="A63" s="6"/>
      <c r="B63" s="6"/>
      <c r="C63" s="8"/>
      <c r="D63" s="13" t="str">
        <f>IF(A63="","",SUMIFS(Base_Porao_Turno!$K:$K,Base_Porao_Turno!$A:$A,A63,Base_Porao_Turno!$E:$E,B63))</f>
        <v/>
      </c>
      <c r="E63" s="13" t="str">
        <f t="shared" si="0"/>
        <v/>
      </c>
      <c r="F63" s="14" t="str">
        <f t="shared" si="1"/>
        <v/>
      </c>
      <c r="G63" s="13" t="str">
        <f>IF(A63="","",SUMIFS(Base_Porao_Turno!$H:$H,Base_Porao_Turno!$A:$A,A63,Base_Porao_Turno!$E:$E,B63))</f>
        <v/>
      </c>
      <c r="H63" s="13" t="str">
        <f t="shared" si="2"/>
        <v/>
      </c>
    </row>
    <row r="64" spans="1:8" x14ac:dyDescent="0.3">
      <c r="A64" s="6"/>
      <c r="B64" s="6"/>
      <c r="C64" s="8"/>
      <c r="D64" s="13" t="str">
        <f>IF(A64="","",SUMIFS(Base_Porao_Turno!$K:$K,Base_Porao_Turno!$A:$A,A64,Base_Porao_Turno!$E:$E,B64))</f>
        <v/>
      </c>
      <c r="E64" s="13" t="str">
        <f t="shared" si="0"/>
        <v/>
      </c>
      <c r="F64" s="14" t="str">
        <f t="shared" si="1"/>
        <v/>
      </c>
      <c r="G64" s="13" t="str">
        <f>IF(A64="","",SUMIFS(Base_Porao_Turno!$H:$H,Base_Porao_Turno!$A:$A,A64,Base_Porao_Turno!$E:$E,B64))</f>
        <v/>
      </c>
      <c r="H64" s="13" t="str">
        <f t="shared" si="2"/>
        <v/>
      </c>
    </row>
    <row r="65" spans="1:8" x14ac:dyDescent="0.3">
      <c r="A65" s="6"/>
      <c r="B65" s="6"/>
      <c r="C65" s="8"/>
      <c r="D65" s="13" t="str">
        <f>IF(A65="","",SUMIFS(Base_Porao_Turno!$K:$K,Base_Porao_Turno!$A:$A,A65,Base_Porao_Turno!$E:$E,B65))</f>
        <v/>
      </c>
      <c r="E65" s="13" t="str">
        <f t="shared" si="0"/>
        <v/>
      </c>
      <c r="F65" s="14" t="str">
        <f t="shared" si="1"/>
        <v/>
      </c>
      <c r="G65" s="13" t="str">
        <f>IF(A65="","",SUMIFS(Base_Porao_Turno!$H:$H,Base_Porao_Turno!$A:$A,A65,Base_Porao_Turno!$E:$E,B65))</f>
        <v/>
      </c>
      <c r="H65" s="13" t="str">
        <f t="shared" si="2"/>
        <v/>
      </c>
    </row>
    <row r="66" spans="1:8" x14ac:dyDescent="0.3">
      <c r="A66" s="6"/>
      <c r="B66" s="6"/>
      <c r="C66" s="8"/>
      <c r="D66" s="13" t="str">
        <f>IF(A66="","",SUMIFS(Base_Porao_Turno!$K:$K,Base_Porao_Turno!$A:$A,A66,Base_Porao_Turno!$E:$E,B66))</f>
        <v/>
      </c>
      <c r="E66" s="13" t="str">
        <f t="shared" ref="E66:E129" si="3">IF(OR(C66="",D66=""),"",C66-D66)</f>
        <v/>
      </c>
      <c r="F66" s="14" t="str">
        <f t="shared" ref="F66:F129" si="4">IFERROR(D66/C66,"")</f>
        <v/>
      </c>
      <c r="G66" s="13" t="str">
        <f>IF(A66="","",SUMIFS(Base_Porao_Turno!$H:$H,Base_Porao_Turno!$A:$A,A66,Base_Porao_Turno!$E:$E,B66))</f>
        <v/>
      </c>
      <c r="H66" s="13" t="str">
        <f t="shared" ref="H66:H129" si="5">IFERROR(D66/G66,"")</f>
        <v/>
      </c>
    </row>
    <row r="67" spans="1:8" x14ac:dyDescent="0.3">
      <c r="A67" s="6"/>
      <c r="B67" s="6"/>
      <c r="C67" s="8"/>
      <c r="D67" s="13" t="str">
        <f>IF(A67="","",SUMIFS(Base_Porao_Turno!$K:$K,Base_Porao_Turno!$A:$A,A67,Base_Porao_Turno!$E:$E,B67))</f>
        <v/>
      </c>
      <c r="E67" s="13" t="str">
        <f t="shared" si="3"/>
        <v/>
      </c>
      <c r="F67" s="14" t="str">
        <f t="shared" si="4"/>
        <v/>
      </c>
      <c r="G67" s="13" t="str">
        <f>IF(A67="","",SUMIFS(Base_Porao_Turno!$H:$H,Base_Porao_Turno!$A:$A,A67,Base_Porao_Turno!$E:$E,B67))</f>
        <v/>
      </c>
      <c r="H67" s="13" t="str">
        <f t="shared" si="5"/>
        <v/>
      </c>
    </row>
    <row r="68" spans="1:8" x14ac:dyDescent="0.3">
      <c r="A68" s="6"/>
      <c r="B68" s="6"/>
      <c r="C68" s="8"/>
      <c r="D68" s="13" t="str">
        <f>IF(A68="","",SUMIFS(Base_Porao_Turno!$K:$K,Base_Porao_Turno!$A:$A,A68,Base_Porao_Turno!$E:$E,B68))</f>
        <v/>
      </c>
      <c r="E68" s="13" t="str">
        <f t="shared" si="3"/>
        <v/>
      </c>
      <c r="F68" s="14" t="str">
        <f t="shared" si="4"/>
        <v/>
      </c>
      <c r="G68" s="13" t="str">
        <f>IF(A68="","",SUMIFS(Base_Porao_Turno!$H:$H,Base_Porao_Turno!$A:$A,A68,Base_Porao_Turno!$E:$E,B68))</f>
        <v/>
      </c>
      <c r="H68" s="13" t="str">
        <f t="shared" si="5"/>
        <v/>
      </c>
    </row>
    <row r="69" spans="1:8" x14ac:dyDescent="0.3">
      <c r="A69" s="6"/>
      <c r="B69" s="6"/>
      <c r="C69" s="8"/>
      <c r="D69" s="13" t="str">
        <f>IF(A69="","",SUMIFS(Base_Porao_Turno!$K:$K,Base_Porao_Turno!$A:$A,A69,Base_Porao_Turno!$E:$E,B69))</f>
        <v/>
      </c>
      <c r="E69" s="13" t="str">
        <f t="shared" si="3"/>
        <v/>
      </c>
      <c r="F69" s="14" t="str">
        <f t="shared" si="4"/>
        <v/>
      </c>
      <c r="G69" s="13" t="str">
        <f>IF(A69="","",SUMIFS(Base_Porao_Turno!$H:$H,Base_Porao_Turno!$A:$A,A69,Base_Porao_Turno!$E:$E,B69))</f>
        <v/>
      </c>
      <c r="H69" s="13" t="str">
        <f t="shared" si="5"/>
        <v/>
      </c>
    </row>
    <row r="70" spans="1:8" x14ac:dyDescent="0.3">
      <c r="A70" s="6"/>
      <c r="B70" s="6"/>
      <c r="C70" s="8"/>
      <c r="D70" s="13" t="str">
        <f>IF(A70="","",SUMIFS(Base_Porao_Turno!$K:$K,Base_Porao_Turno!$A:$A,A70,Base_Porao_Turno!$E:$E,B70))</f>
        <v/>
      </c>
      <c r="E70" s="13" t="str">
        <f t="shared" si="3"/>
        <v/>
      </c>
      <c r="F70" s="14" t="str">
        <f t="shared" si="4"/>
        <v/>
      </c>
      <c r="G70" s="13" t="str">
        <f>IF(A70="","",SUMIFS(Base_Porao_Turno!$H:$H,Base_Porao_Turno!$A:$A,A70,Base_Porao_Turno!$E:$E,B70))</f>
        <v/>
      </c>
      <c r="H70" s="13" t="str">
        <f t="shared" si="5"/>
        <v/>
      </c>
    </row>
    <row r="71" spans="1:8" x14ac:dyDescent="0.3">
      <c r="A71" s="6"/>
      <c r="B71" s="6"/>
      <c r="C71" s="8"/>
      <c r="D71" s="13" t="str">
        <f>IF(A71="","",SUMIFS(Base_Porao_Turno!$K:$K,Base_Porao_Turno!$A:$A,A71,Base_Porao_Turno!$E:$E,B71))</f>
        <v/>
      </c>
      <c r="E71" s="13" t="str">
        <f t="shared" si="3"/>
        <v/>
      </c>
      <c r="F71" s="14" t="str">
        <f t="shared" si="4"/>
        <v/>
      </c>
      <c r="G71" s="13" t="str">
        <f>IF(A71="","",SUMIFS(Base_Porao_Turno!$H:$H,Base_Porao_Turno!$A:$A,A71,Base_Porao_Turno!$E:$E,B71))</f>
        <v/>
      </c>
      <c r="H71" s="13" t="str">
        <f t="shared" si="5"/>
        <v/>
      </c>
    </row>
    <row r="72" spans="1:8" x14ac:dyDescent="0.3">
      <c r="A72" s="6"/>
      <c r="B72" s="6"/>
      <c r="C72" s="8"/>
      <c r="D72" s="13" t="str">
        <f>IF(A72="","",SUMIFS(Base_Porao_Turno!$K:$K,Base_Porao_Turno!$A:$A,A72,Base_Porao_Turno!$E:$E,B72))</f>
        <v/>
      </c>
      <c r="E72" s="13" t="str">
        <f t="shared" si="3"/>
        <v/>
      </c>
      <c r="F72" s="14" t="str">
        <f t="shared" si="4"/>
        <v/>
      </c>
      <c r="G72" s="13" t="str">
        <f>IF(A72="","",SUMIFS(Base_Porao_Turno!$H:$H,Base_Porao_Turno!$A:$A,A72,Base_Porao_Turno!$E:$E,B72))</f>
        <v/>
      </c>
      <c r="H72" s="13" t="str">
        <f t="shared" si="5"/>
        <v/>
      </c>
    </row>
    <row r="73" spans="1:8" x14ac:dyDescent="0.3">
      <c r="A73" s="6"/>
      <c r="B73" s="6"/>
      <c r="C73" s="8"/>
      <c r="D73" s="13" t="str">
        <f>IF(A73="","",SUMIFS(Base_Porao_Turno!$K:$K,Base_Porao_Turno!$A:$A,A73,Base_Porao_Turno!$E:$E,B73))</f>
        <v/>
      </c>
      <c r="E73" s="13" t="str">
        <f t="shared" si="3"/>
        <v/>
      </c>
      <c r="F73" s="14" t="str">
        <f t="shared" si="4"/>
        <v/>
      </c>
      <c r="G73" s="13" t="str">
        <f>IF(A73="","",SUMIFS(Base_Porao_Turno!$H:$H,Base_Porao_Turno!$A:$A,A73,Base_Porao_Turno!$E:$E,B73))</f>
        <v/>
      </c>
      <c r="H73" s="13" t="str">
        <f t="shared" si="5"/>
        <v/>
      </c>
    </row>
    <row r="74" spans="1:8" x14ac:dyDescent="0.3">
      <c r="A74" s="6"/>
      <c r="B74" s="6"/>
      <c r="C74" s="8"/>
      <c r="D74" s="13" t="str">
        <f>IF(A74="","",SUMIFS(Base_Porao_Turno!$K:$K,Base_Porao_Turno!$A:$A,A74,Base_Porao_Turno!$E:$E,B74))</f>
        <v/>
      </c>
      <c r="E74" s="13" t="str">
        <f t="shared" si="3"/>
        <v/>
      </c>
      <c r="F74" s="14" t="str">
        <f t="shared" si="4"/>
        <v/>
      </c>
      <c r="G74" s="13" t="str">
        <f>IF(A74="","",SUMIFS(Base_Porao_Turno!$H:$H,Base_Porao_Turno!$A:$A,A74,Base_Porao_Turno!$E:$E,B74))</f>
        <v/>
      </c>
      <c r="H74" s="13" t="str">
        <f t="shared" si="5"/>
        <v/>
      </c>
    </row>
    <row r="75" spans="1:8" x14ac:dyDescent="0.3">
      <c r="A75" s="6"/>
      <c r="B75" s="6"/>
      <c r="C75" s="8"/>
      <c r="D75" s="13" t="str">
        <f>IF(A75="","",SUMIFS(Base_Porao_Turno!$K:$K,Base_Porao_Turno!$A:$A,A75,Base_Porao_Turno!$E:$E,B75))</f>
        <v/>
      </c>
      <c r="E75" s="13" t="str">
        <f t="shared" si="3"/>
        <v/>
      </c>
      <c r="F75" s="14" t="str">
        <f t="shared" si="4"/>
        <v/>
      </c>
      <c r="G75" s="13" t="str">
        <f>IF(A75="","",SUMIFS(Base_Porao_Turno!$H:$H,Base_Porao_Turno!$A:$A,A75,Base_Porao_Turno!$E:$E,B75))</f>
        <v/>
      </c>
      <c r="H75" s="13" t="str">
        <f t="shared" si="5"/>
        <v/>
      </c>
    </row>
    <row r="76" spans="1:8" x14ac:dyDescent="0.3">
      <c r="A76" s="6"/>
      <c r="B76" s="6"/>
      <c r="C76" s="8"/>
      <c r="D76" s="13" t="str">
        <f>IF(A76="","",SUMIFS(Base_Porao_Turno!$K:$K,Base_Porao_Turno!$A:$A,A76,Base_Porao_Turno!$E:$E,B76))</f>
        <v/>
      </c>
      <c r="E76" s="13" t="str">
        <f t="shared" si="3"/>
        <v/>
      </c>
      <c r="F76" s="14" t="str">
        <f t="shared" si="4"/>
        <v/>
      </c>
      <c r="G76" s="13" t="str">
        <f>IF(A76="","",SUMIFS(Base_Porao_Turno!$H:$H,Base_Porao_Turno!$A:$A,A76,Base_Porao_Turno!$E:$E,B76))</f>
        <v/>
      </c>
      <c r="H76" s="13" t="str">
        <f t="shared" si="5"/>
        <v/>
      </c>
    </row>
    <row r="77" spans="1:8" x14ac:dyDescent="0.3">
      <c r="A77" s="6"/>
      <c r="B77" s="6"/>
      <c r="C77" s="8"/>
      <c r="D77" s="13" t="str">
        <f>IF(A77="","",SUMIFS(Base_Porao_Turno!$K:$K,Base_Porao_Turno!$A:$A,A77,Base_Porao_Turno!$E:$E,B77))</f>
        <v/>
      </c>
      <c r="E77" s="13" t="str">
        <f t="shared" si="3"/>
        <v/>
      </c>
      <c r="F77" s="14" t="str">
        <f t="shared" si="4"/>
        <v/>
      </c>
      <c r="G77" s="13" t="str">
        <f>IF(A77="","",SUMIFS(Base_Porao_Turno!$H:$H,Base_Porao_Turno!$A:$A,A77,Base_Porao_Turno!$E:$E,B77))</f>
        <v/>
      </c>
      <c r="H77" s="13" t="str">
        <f t="shared" si="5"/>
        <v/>
      </c>
    </row>
    <row r="78" spans="1:8" x14ac:dyDescent="0.3">
      <c r="A78" s="6"/>
      <c r="B78" s="6"/>
      <c r="C78" s="8"/>
      <c r="D78" s="13" t="str">
        <f>IF(A78="","",SUMIFS(Base_Porao_Turno!$K:$K,Base_Porao_Turno!$A:$A,A78,Base_Porao_Turno!$E:$E,B78))</f>
        <v/>
      </c>
      <c r="E78" s="13" t="str">
        <f t="shared" si="3"/>
        <v/>
      </c>
      <c r="F78" s="14" t="str">
        <f t="shared" si="4"/>
        <v/>
      </c>
      <c r="G78" s="13" t="str">
        <f>IF(A78="","",SUMIFS(Base_Porao_Turno!$H:$H,Base_Porao_Turno!$A:$A,A78,Base_Porao_Turno!$E:$E,B78))</f>
        <v/>
      </c>
      <c r="H78" s="13" t="str">
        <f t="shared" si="5"/>
        <v/>
      </c>
    </row>
    <row r="79" spans="1:8" x14ac:dyDescent="0.3">
      <c r="A79" s="6"/>
      <c r="B79" s="6"/>
      <c r="C79" s="8"/>
      <c r="D79" s="13" t="str">
        <f>IF(A79="","",SUMIFS(Base_Porao_Turno!$K:$K,Base_Porao_Turno!$A:$A,A79,Base_Porao_Turno!$E:$E,B79))</f>
        <v/>
      </c>
      <c r="E79" s="13" t="str">
        <f t="shared" si="3"/>
        <v/>
      </c>
      <c r="F79" s="14" t="str">
        <f t="shared" si="4"/>
        <v/>
      </c>
      <c r="G79" s="13" t="str">
        <f>IF(A79="","",SUMIFS(Base_Porao_Turno!$H:$H,Base_Porao_Turno!$A:$A,A79,Base_Porao_Turno!$E:$E,B79))</f>
        <v/>
      </c>
      <c r="H79" s="13" t="str">
        <f t="shared" si="5"/>
        <v/>
      </c>
    </row>
    <row r="80" spans="1:8" x14ac:dyDescent="0.3">
      <c r="A80" s="6"/>
      <c r="B80" s="6"/>
      <c r="C80" s="8"/>
      <c r="D80" s="13" t="str">
        <f>IF(A80="","",SUMIFS(Base_Porao_Turno!$K:$K,Base_Porao_Turno!$A:$A,A80,Base_Porao_Turno!$E:$E,B80))</f>
        <v/>
      </c>
      <c r="E80" s="13" t="str">
        <f t="shared" si="3"/>
        <v/>
      </c>
      <c r="F80" s="14" t="str">
        <f t="shared" si="4"/>
        <v/>
      </c>
      <c r="G80" s="13" t="str">
        <f>IF(A80="","",SUMIFS(Base_Porao_Turno!$H:$H,Base_Porao_Turno!$A:$A,A80,Base_Porao_Turno!$E:$E,B80))</f>
        <v/>
      </c>
      <c r="H80" s="13" t="str">
        <f t="shared" si="5"/>
        <v/>
      </c>
    </row>
    <row r="81" spans="1:8" x14ac:dyDescent="0.3">
      <c r="A81" s="6"/>
      <c r="B81" s="6"/>
      <c r="C81" s="8"/>
      <c r="D81" s="13" t="str">
        <f>IF(A81="","",SUMIFS(Base_Porao_Turno!$K:$K,Base_Porao_Turno!$A:$A,A81,Base_Porao_Turno!$E:$E,B81))</f>
        <v/>
      </c>
      <c r="E81" s="13" t="str">
        <f t="shared" si="3"/>
        <v/>
      </c>
      <c r="F81" s="14" t="str">
        <f t="shared" si="4"/>
        <v/>
      </c>
      <c r="G81" s="13" t="str">
        <f>IF(A81="","",SUMIFS(Base_Porao_Turno!$H:$H,Base_Porao_Turno!$A:$A,A81,Base_Porao_Turno!$E:$E,B81))</f>
        <v/>
      </c>
      <c r="H81" s="13" t="str">
        <f t="shared" si="5"/>
        <v/>
      </c>
    </row>
    <row r="82" spans="1:8" x14ac:dyDescent="0.3">
      <c r="A82" s="6"/>
      <c r="B82" s="6"/>
      <c r="C82" s="8"/>
      <c r="D82" s="13" t="str">
        <f>IF(A82="","",SUMIFS(Base_Porao_Turno!$K:$K,Base_Porao_Turno!$A:$A,A82,Base_Porao_Turno!$E:$E,B82))</f>
        <v/>
      </c>
      <c r="E82" s="13" t="str">
        <f t="shared" si="3"/>
        <v/>
      </c>
      <c r="F82" s="14" t="str">
        <f t="shared" si="4"/>
        <v/>
      </c>
      <c r="G82" s="13" t="str">
        <f>IF(A82="","",SUMIFS(Base_Porao_Turno!$H:$H,Base_Porao_Turno!$A:$A,A82,Base_Porao_Turno!$E:$E,B82))</f>
        <v/>
      </c>
      <c r="H82" s="13" t="str">
        <f t="shared" si="5"/>
        <v/>
      </c>
    </row>
    <row r="83" spans="1:8" x14ac:dyDescent="0.3">
      <c r="A83" s="6"/>
      <c r="B83" s="6"/>
      <c r="C83" s="8"/>
      <c r="D83" s="13" t="str">
        <f>IF(A83="","",SUMIFS(Base_Porao_Turno!$K:$K,Base_Porao_Turno!$A:$A,A83,Base_Porao_Turno!$E:$E,B83))</f>
        <v/>
      </c>
      <c r="E83" s="13" t="str">
        <f t="shared" si="3"/>
        <v/>
      </c>
      <c r="F83" s="14" t="str">
        <f t="shared" si="4"/>
        <v/>
      </c>
      <c r="G83" s="13" t="str">
        <f>IF(A83="","",SUMIFS(Base_Porao_Turno!$H:$H,Base_Porao_Turno!$A:$A,A83,Base_Porao_Turno!$E:$E,B83))</f>
        <v/>
      </c>
      <c r="H83" s="13" t="str">
        <f t="shared" si="5"/>
        <v/>
      </c>
    </row>
    <row r="84" spans="1:8" x14ac:dyDescent="0.3">
      <c r="A84" s="6"/>
      <c r="B84" s="6"/>
      <c r="C84" s="8"/>
      <c r="D84" s="13" t="str">
        <f>IF(A84="","",SUMIFS(Base_Porao_Turno!$K:$K,Base_Porao_Turno!$A:$A,A84,Base_Porao_Turno!$E:$E,B84))</f>
        <v/>
      </c>
      <c r="E84" s="13" t="str">
        <f t="shared" si="3"/>
        <v/>
      </c>
      <c r="F84" s="14" t="str">
        <f t="shared" si="4"/>
        <v/>
      </c>
      <c r="G84" s="13" t="str">
        <f>IF(A84="","",SUMIFS(Base_Porao_Turno!$H:$H,Base_Porao_Turno!$A:$A,A84,Base_Porao_Turno!$E:$E,B84))</f>
        <v/>
      </c>
      <c r="H84" s="13" t="str">
        <f t="shared" si="5"/>
        <v/>
      </c>
    </row>
    <row r="85" spans="1:8" x14ac:dyDescent="0.3">
      <c r="A85" s="6"/>
      <c r="B85" s="6"/>
      <c r="C85" s="8"/>
      <c r="D85" s="13" t="str">
        <f>IF(A85="","",SUMIFS(Base_Porao_Turno!$K:$K,Base_Porao_Turno!$A:$A,A85,Base_Porao_Turno!$E:$E,B85))</f>
        <v/>
      </c>
      <c r="E85" s="13" t="str">
        <f t="shared" si="3"/>
        <v/>
      </c>
      <c r="F85" s="14" t="str">
        <f t="shared" si="4"/>
        <v/>
      </c>
      <c r="G85" s="13" t="str">
        <f>IF(A85="","",SUMIFS(Base_Porao_Turno!$H:$H,Base_Porao_Turno!$A:$A,A85,Base_Porao_Turno!$E:$E,B85))</f>
        <v/>
      </c>
      <c r="H85" s="13" t="str">
        <f t="shared" si="5"/>
        <v/>
      </c>
    </row>
    <row r="86" spans="1:8" x14ac:dyDescent="0.3">
      <c r="A86" s="6"/>
      <c r="B86" s="6"/>
      <c r="C86" s="8"/>
      <c r="D86" s="13" t="str">
        <f>IF(A86="","",SUMIFS(Base_Porao_Turno!$K:$K,Base_Porao_Turno!$A:$A,A86,Base_Porao_Turno!$E:$E,B86))</f>
        <v/>
      </c>
      <c r="E86" s="13" t="str">
        <f t="shared" si="3"/>
        <v/>
      </c>
      <c r="F86" s="14" t="str">
        <f t="shared" si="4"/>
        <v/>
      </c>
      <c r="G86" s="13" t="str">
        <f>IF(A86="","",SUMIFS(Base_Porao_Turno!$H:$H,Base_Porao_Turno!$A:$A,A86,Base_Porao_Turno!$E:$E,B86))</f>
        <v/>
      </c>
      <c r="H86" s="13" t="str">
        <f t="shared" si="5"/>
        <v/>
      </c>
    </row>
    <row r="87" spans="1:8" x14ac:dyDescent="0.3">
      <c r="A87" s="6"/>
      <c r="B87" s="6"/>
      <c r="C87" s="8"/>
      <c r="D87" s="13" t="str">
        <f>IF(A87="","",SUMIFS(Base_Porao_Turno!$K:$K,Base_Porao_Turno!$A:$A,A87,Base_Porao_Turno!$E:$E,B87))</f>
        <v/>
      </c>
      <c r="E87" s="13" t="str">
        <f t="shared" si="3"/>
        <v/>
      </c>
      <c r="F87" s="14" t="str">
        <f t="shared" si="4"/>
        <v/>
      </c>
      <c r="G87" s="13" t="str">
        <f>IF(A87="","",SUMIFS(Base_Porao_Turno!$H:$H,Base_Porao_Turno!$A:$A,A87,Base_Porao_Turno!$E:$E,B87))</f>
        <v/>
      </c>
      <c r="H87" s="13" t="str">
        <f t="shared" si="5"/>
        <v/>
      </c>
    </row>
    <row r="88" spans="1:8" x14ac:dyDescent="0.3">
      <c r="A88" s="6"/>
      <c r="B88" s="6"/>
      <c r="C88" s="8"/>
      <c r="D88" s="13" t="str">
        <f>IF(A88="","",SUMIFS(Base_Porao_Turno!$K:$K,Base_Porao_Turno!$A:$A,A88,Base_Porao_Turno!$E:$E,B88))</f>
        <v/>
      </c>
      <c r="E88" s="13" t="str">
        <f t="shared" si="3"/>
        <v/>
      </c>
      <c r="F88" s="14" t="str">
        <f t="shared" si="4"/>
        <v/>
      </c>
      <c r="G88" s="13" t="str">
        <f>IF(A88="","",SUMIFS(Base_Porao_Turno!$H:$H,Base_Porao_Turno!$A:$A,A88,Base_Porao_Turno!$E:$E,B88))</f>
        <v/>
      </c>
      <c r="H88" s="13" t="str">
        <f t="shared" si="5"/>
        <v/>
      </c>
    </row>
    <row r="89" spans="1:8" x14ac:dyDescent="0.3">
      <c r="A89" s="6"/>
      <c r="B89" s="6"/>
      <c r="C89" s="8"/>
      <c r="D89" s="13" t="str">
        <f>IF(A89="","",SUMIFS(Base_Porao_Turno!$K:$K,Base_Porao_Turno!$A:$A,A89,Base_Porao_Turno!$E:$E,B89))</f>
        <v/>
      </c>
      <c r="E89" s="13" t="str">
        <f t="shared" si="3"/>
        <v/>
      </c>
      <c r="F89" s="14" t="str">
        <f t="shared" si="4"/>
        <v/>
      </c>
      <c r="G89" s="13" t="str">
        <f>IF(A89="","",SUMIFS(Base_Porao_Turno!$H:$H,Base_Porao_Turno!$A:$A,A89,Base_Porao_Turno!$E:$E,B89))</f>
        <v/>
      </c>
      <c r="H89" s="13" t="str">
        <f t="shared" si="5"/>
        <v/>
      </c>
    </row>
    <row r="90" spans="1:8" x14ac:dyDescent="0.3">
      <c r="A90" s="6"/>
      <c r="B90" s="6"/>
      <c r="C90" s="8"/>
      <c r="D90" s="13" t="str">
        <f>IF(A90="","",SUMIFS(Base_Porao_Turno!$K:$K,Base_Porao_Turno!$A:$A,A90,Base_Porao_Turno!$E:$E,B90))</f>
        <v/>
      </c>
      <c r="E90" s="13" t="str">
        <f t="shared" si="3"/>
        <v/>
      </c>
      <c r="F90" s="14" t="str">
        <f t="shared" si="4"/>
        <v/>
      </c>
      <c r="G90" s="13" t="str">
        <f>IF(A90="","",SUMIFS(Base_Porao_Turno!$H:$H,Base_Porao_Turno!$A:$A,A90,Base_Porao_Turno!$E:$E,B90))</f>
        <v/>
      </c>
      <c r="H90" s="13" t="str">
        <f t="shared" si="5"/>
        <v/>
      </c>
    </row>
    <row r="91" spans="1:8" x14ac:dyDescent="0.3">
      <c r="A91" s="6"/>
      <c r="B91" s="6"/>
      <c r="C91" s="8"/>
      <c r="D91" s="13" t="str">
        <f>IF(A91="","",SUMIFS(Base_Porao_Turno!$K:$K,Base_Porao_Turno!$A:$A,A91,Base_Porao_Turno!$E:$E,B91))</f>
        <v/>
      </c>
      <c r="E91" s="13" t="str">
        <f t="shared" si="3"/>
        <v/>
      </c>
      <c r="F91" s="14" t="str">
        <f t="shared" si="4"/>
        <v/>
      </c>
      <c r="G91" s="13" t="str">
        <f>IF(A91="","",SUMIFS(Base_Porao_Turno!$H:$H,Base_Porao_Turno!$A:$A,A91,Base_Porao_Turno!$E:$E,B91))</f>
        <v/>
      </c>
      <c r="H91" s="13" t="str">
        <f t="shared" si="5"/>
        <v/>
      </c>
    </row>
    <row r="92" spans="1:8" x14ac:dyDescent="0.3">
      <c r="A92" s="6"/>
      <c r="B92" s="6"/>
      <c r="C92" s="8"/>
      <c r="D92" s="13" t="str">
        <f>IF(A92="","",SUMIFS(Base_Porao_Turno!$K:$K,Base_Porao_Turno!$A:$A,A92,Base_Porao_Turno!$E:$E,B92))</f>
        <v/>
      </c>
      <c r="E92" s="13" t="str">
        <f t="shared" si="3"/>
        <v/>
      </c>
      <c r="F92" s="14" t="str">
        <f t="shared" si="4"/>
        <v/>
      </c>
      <c r="G92" s="13" t="str">
        <f>IF(A92="","",SUMIFS(Base_Porao_Turno!$H:$H,Base_Porao_Turno!$A:$A,A92,Base_Porao_Turno!$E:$E,B92))</f>
        <v/>
      </c>
      <c r="H92" s="13" t="str">
        <f t="shared" si="5"/>
        <v/>
      </c>
    </row>
    <row r="93" spans="1:8" x14ac:dyDescent="0.3">
      <c r="A93" s="6"/>
      <c r="B93" s="6"/>
      <c r="C93" s="8"/>
      <c r="D93" s="13" t="str">
        <f>IF(A93="","",SUMIFS(Base_Porao_Turno!$K:$K,Base_Porao_Turno!$A:$A,A93,Base_Porao_Turno!$E:$E,B93))</f>
        <v/>
      </c>
      <c r="E93" s="13" t="str">
        <f t="shared" si="3"/>
        <v/>
      </c>
      <c r="F93" s="14" t="str">
        <f t="shared" si="4"/>
        <v/>
      </c>
      <c r="G93" s="13" t="str">
        <f>IF(A93="","",SUMIFS(Base_Porao_Turno!$H:$H,Base_Porao_Turno!$A:$A,A93,Base_Porao_Turno!$E:$E,B93))</f>
        <v/>
      </c>
      <c r="H93" s="13" t="str">
        <f t="shared" si="5"/>
        <v/>
      </c>
    </row>
    <row r="94" spans="1:8" x14ac:dyDescent="0.3">
      <c r="A94" s="6"/>
      <c r="B94" s="6"/>
      <c r="C94" s="8"/>
      <c r="D94" s="13" t="str">
        <f>IF(A94="","",SUMIFS(Base_Porao_Turno!$K:$K,Base_Porao_Turno!$A:$A,A94,Base_Porao_Turno!$E:$E,B94))</f>
        <v/>
      </c>
      <c r="E94" s="13" t="str">
        <f t="shared" si="3"/>
        <v/>
      </c>
      <c r="F94" s="14" t="str">
        <f t="shared" si="4"/>
        <v/>
      </c>
      <c r="G94" s="13" t="str">
        <f>IF(A94="","",SUMIFS(Base_Porao_Turno!$H:$H,Base_Porao_Turno!$A:$A,A94,Base_Porao_Turno!$E:$E,B94))</f>
        <v/>
      </c>
      <c r="H94" s="13" t="str">
        <f t="shared" si="5"/>
        <v/>
      </c>
    </row>
    <row r="95" spans="1:8" x14ac:dyDescent="0.3">
      <c r="A95" s="6"/>
      <c r="B95" s="6"/>
      <c r="C95" s="8"/>
      <c r="D95" s="13" t="str">
        <f>IF(A95="","",SUMIFS(Base_Porao_Turno!$K:$K,Base_Porao_Turno!$A:$A,A95,Base_Porao_Turno!$E:$E,B95))</f>
        <v/>
      </c>
      <c r="E95" s="13" t="str">
        <f t="shared" si="3"/>
        <v/>
      </c>
      <c r="F95" s="14" t="str">
        <f t="shared" si="4"/>
        <v/>
      </c>
      <c r="G95" s="13" t="str">
        <f>IF(A95="","",SUMIFS(Base_Porao_Turno!$H:$H,Base_Porao_Turno!$A:$A,A95,Base_Porao_Turno!$E:$E,B95))</f>
        <v/>
      </c>
      <c r="H95" s="13" t="str">
        <f t="shared" si="5"/>
        <v/>
      </c>
    </row>
    <row r="96" spans="1:8" x14ac:dyDescent="0.3">
      <c r="A96" s="6"/>
      <c r="B96" s="6"/>
      <c r="C96" s="8"/>
      <c r="D96" s="13" t="str">
        <f>IF(A96="","",SUMIFS(Base_Porao_Turno!$K:$K,Base_Porao_Turno!$A:$A,A96,Base_Porao_Turno!$E:$E,B96))</f>
        <v/>
      </c>
      <c r="E96" s="13" t="str">
        <f t="shared" si="3"/>
        <v/>
      </c>
      <c r="F96" s="14" t="str">
        <f t="shared" si="4"/>
        <v/>
      </c>
      <c r="G96" s="13" t="str">
        <f>IF(A96="","",SUMIFS(Base_Porao_Turno!$H:$H,Base_Porao_Turno!$A:$A,A96,Base_Porao_Turno!$E:$E,B96))</f>
        <v/>
      </c>
      <c r="H96" s="13" t="str">
        <f t="shared" si="5"/>
        <v/>
      </c>
    </row>
    <row r="97" spans="1:8" x14ac:dyDescent="0.3">
      <c r="A97" s="6"/>
      <c r="B97" s="6"/>
      <c r="C97" s="8"/>
      <c r="D97" s="13" t="str">
        <f>IF(A97="","",SUMIFS(Base_Porao_Turno!$K:$K,Base_Porao_Turno!$A:$A,A97,Base_Porao_Turno!$E:$E,B97))</f>
        <v/>
      </c>
      <c r="E97" s="13" t="str">
        <f t="shared" si="3"/>
        <v/>
      </c>
      <c r="F97" s="14" t="str">
        <f t="shared" si="4"/>
        <v/>
      </c>
      <c r="G97" s="13" t="str">
        <f>IF(A97="","",SUMIFS(Base_Porao_Turno!$H:$H,Base_Porao_Turno!$A:$A,A97,Base_Porao_Turno!$E:$E,B97))</f>
        <v/>
      </c>
      <c r="H97" s="13" t="str">
        <f t="shared" si="5"/>
        <v/>
      </c>
    </row>
    <row r="98" spans="1:8" x14ac:dyDescent="0.3">
      <c r="A98" s="6"/>
      <c r="B98" s="6"/>
      <c r="C98" s="8"/>
      <c r="D98" s="13" t="str">
        <f>IF(A98="","",SUMIFS(Base_Porao_Turno!$K:$K,Base_Porao_Turno!$A:$A,A98,Base_Porao_Turno!$E:$E,B98))</f>
        <v/>
      </c>
      <c r="E98" s="13" t="str">
        <f t="shared" si="3"/>
        <v/>
      </c>
      <c r="F98" s="14" t="str">
        <f t="shared" si="4"/>
        <v/>
      </c>
      <c r="G98" s="13" t="str">
        <f>IF(A98="","",SUMIFS(Base_Porao_Turno!$H:$H,Base_Porao_Turno!$A:$A,A98,Base_Porao_Turno!$E:$E,B98))</f>
        <v/>
      </c>
      <c r="H98" s="13" t="str">
        <f t="shared" si="5"/>
        <v/>
      </c>
    </row>
    <row r="99" spans="1:8" x14ac:dyDescent="0.3">
      <c r="A99" s="6"/>
      <c r="B99" s="6"/>
      <c r="C99" s="8"/>
      <c r="D99" s="13" t="str">
        <f>IF(A99="","",SUMIFS(Base_Porao_Turno!$K:$K,Base_Porao_Turno!$A:$A,A99,Base_Porao_Turno!$E:$E,B99))</f>
        <v/>
      </c>
      <c r="E99" s="13" t="str">
        <f t="shared" si="3"/>
        <v/>
      </c>
      <c r="F99" s="14" t="str">
        <f t="shared" si="4"/>
        <v/>
      </c>
      <c r="G99" s="13" t="str">
        <f>IF(A99="","",SUMIFS(Base_Porao_Turno!$H:$H,Base_Porao_Turno!$A:$A,A99,Base_Porao_Turno!$E:$E,B99))</f>
        <v/>
      </c>
      <c r="H99" s="13" t="str">
        <f t="shared" si="5"/>
        <v/>
      </c>
    </row>
    <row r="100" spans="1:8" x14ac:dyDescent="0.3">
      <c r="A100" s="6"/>
      <c r="B100" s="6"/>
      <c r="C100" s="8"/>
      <c r="D100" s="13" t="str">
        <f>IF(A100="","",SUMIFS(Base_Porao_Turno!$K:$K,Base_Porao_Turno!$A:$A,A100,Base_Porao_Turno!$E:$E,B100))</f>
        <v/>
      </c>
      <c r="E100" s="13" t="str">
        <f t="shared" si="3"/>
        <v/>
      </c>
      <c r="F100" s="14" t="str">
        <f t="shared" si="4"/>
        <v/>
      </c>
      <c r="G100" s="13" t="str">
        <f>IF(A100="","",SUMIFS(Base_Porao_Turno!$H:$H,Base_Porao_Turno!$A:$A,A100,Base_Porao_Turno!$E:$E,B100))</f>
        <v/>
      </c>
      <c r="H100" s="13" t="str">
        <f t="shared" si="5"/>
        <v/>
      </c>
    </row>
    <row r="101" spans="1:8" x14ac:dyDescent="0.3">
      <c r="A101" s="6"/>
      <c r="B101" s="6"/>
      <c r="C101" s="8"/>
      <c r="D101" s="13" t="str">
        <f>IF(A101="","",SUMIFS(Base_Porao_Turno!$K:$K,Base_Porao_Turno!$A:$A,A101,Base_Porao_Turno!$E:$E,B101))</f>
        <v/>
      </c>
      <c r="E101" s="13" t="str">
        <f t="shared" si="3"/>
        <v/>
      </c>
      <c r="F101" s="14" t="str">
        <f t="shared" si="4"/>
        <v/>
      </c>
      <c r="G101" s="13" t="str">
        <f>IF(A101="","",SUMIFS(Base_Porao_Turno!$H:$H,Base_Porao_Turno!$A:$A,A101,Base_Porao_Turno!$E:$E,B101))</f>
        <v/>
      </c>
      <c r="H101" s="13" t="str">
        <f t="shared" si="5"/>
        <v/>
      </c>
    </row>
    <row r="102" spans="1:8" x14ac:dyDescent="0.3">
      <c r="A102" s="6"/>
      <c r="B102" s="6"/>
      <c r="C102" s="8"/>
      <c r="D102" s="13" t="str">
        <f>IF(A102="","",SUMIFS(Base_Porao_Turno!$K:$K,Base_Porao_Turno!$A:$A,A102,Base_Porao_Turno!$E:$E,B102))</f>
        <v/>
      </c>
      <c r="E102" s="13" t="str">
        <f t="shared" si="3"/>
        <v/>
      </c>
      <c r="F102" s="14" t="str">
        <f t="shared" si="4"/>
        <v/>
      </c>
      <c r="G102" s="13" t="str">
        <f>IF(A102="","",SUMIFS(Base_Porao_Turno!$H:$H,Base_Porao_Turno!$A:$A,A102,Base_Porao_Turno!$E:$E,B102))</f>
        <v/>
      </c>
      <c r="H102" s="13" t="str">
        <f t="shared" si="5"/>
        <v/>
      </c>
    </row>
    <row r="103" spans="1:8" x14ac:dyDescent="0.3">
      <c r="A103" s="6"/>
      <c r="B103" s="6"/>
      <c r="C103" s="8"/>
      <c r="D103" s="13" t="str">
        <f>IF(A103="","",SUMIFS(Base_Porao_Turno!$K:$K,Base_Porao_Turno!$A:$A,A103,Base_Porao_Turno!$E:$E,B103))</f>
        <v/>
      </c>
      <c r="E103" s="13" t="str">
        <f t="shared" si="3"/>
        <v/>
      </c>
      <c r="F103" s="14" t="str">
        <f t="shared" si="4"/>
        <v/>
      </c>
      <c r="G103" s="13" t="str">
        <f>IF(A103="","",SUMIFS(Base_Porao_Turno!$H:$H,Base_Porao_Turno!$A:$A,A103,Base_Porao_Turno!$E:$E,B103))</f>
        <v/>
      </c>
      <c r="H103" s="13" t="str">
        <f t="shared" si="5"/>
        <v/>
      </c>
    </row>
    <row r="104" spans="1:8" x14ac:dyDescent="0.3">
      <c r="A104" s="6"/>
      <c r="B104" s="6"/>
      <c r="C104" s="8"/>
      <c r="D104" s="13" t="str">
        <f>IF(A104="","",SUMIFS(Base_Porao_Turno!$K:$K,Base_Porao_Turno!$A:$A,A104,Base_Porao_Turno!$E:$E,B104))</f>
        <v/>
      </c>
      <c r="E104" s="13" t="str">
        <f t="shared" si="3"/>
        <v/>
      </c>
      <c r="F104" s="14" t="str">
        <f t="shared" si="4"/>
        <v/>
      </c>
      <c r="G104" s="13" t="str">
        <f>IF(A104="","",SUMIFS(Base_Porao_Turno!$H:$H,Base_Porao_Turno!$A:$A,A104,Base_Porao_Turno!$E:$E,B104))</f>
        <v/>
      </c>
      <c r="H104" s="13" t="str">
        <f t="shared" si="5"/>
        <v/>
      </c>
    </row>
    <row r="105" spans="1:8" x14ac:dyDescent="0.3">
      <c r="A105" s="6"/>
      <c r="B105" s="6"/>
      <c r="C105" s="8"/>
      <c r="D105" s="13" t="str">
        <f>IF(A105="","",SUMIFS(Base_Porao_Turno!$K:$K,Base_Porao_Turno!$A:$A,A105,Base_Porao_Turno!$E:$E,B105))</f>
        <v/>
      </c>
      <c r="E105" s="13" t="str">
        <f t="shared" si="3"/>
        <v/>
      </c>
      <c r="F105" s="14" t="str">
        <f t="shared" si="4"/>
        <v/>
      </c>
      <c r="G105" s="13" t="str">
        <f>IF(A105="","",SUMIFS(Base_Porao_Turno!$H:$H,Base_Porao_Turno!$A:$A,A105,Base_Porao_Turno!$E:$E,B105))</f>
        <v/>
      </c>
      <c r="H105" s="13" t="str">
        <f t="shared" si="5"/>
        <v/>
      </c>
    </row>
    <row r="106" spans="1:8" x14ac:dyDescent="0.3">
      <c r="A106" s="6"/>
      <c r="B106" s="6"/>
      <c r="C106" s="8"/>
      <c r="D106" s="13" t="str">
        <f>IF(A106="","",SUMIFS(Base_Porao_Turno!$K:$K,Base_Porao_Turno!$A:$A,A106,Base_Porao_Turno!$E:$E,B106))</f>
        <v/>
      </c>
      <c r="E106" s="13" t="str">
        <f t="shared" si="3"/>
        <v/>
      </c>
      <c r="F106" s="14" t="str">
        <f t="shared" si="4"/>
        <v/>
      </c>
      <c r="G106" s="13" t="str">
        <f>IF(A106="","",SUMIFS(Base_Porao_Turno!$H:$H,Base_Porao_Turno!$A:$A,A106,Base_Porao_Turno!$E:$E,B106))</f>
        <v/>
      </c>
      <c r="H106" s="13" t="str">
        <f t="shared" si="5"/>
        <v/>
      </c>
    </row>
    <row r="107" spans="1:8" x14ac:dyDescent="0.3">
      <c r="A107" s="6"/>
      <c r="B107" s="6"/>
      <c r="C107" s="8"/>
      <c r="D107" s="13" t="str">
        <f>IF(A107="","",SUMIFS(Base_Porao_Turno!$K:$K,Base_Porao_Turno!$A:$A,A107,Base_Porao_Turno!$E:$E,B107))</f>
        <v/>
      </c>
      <c r="E107" s="13" t="str">
        <f t="shared" si="3"/>
        <v/>
      </c>
      <c r="F107" s="14" t="str">
        <f t="shared" si="4"/>
        <v/>
      </c>
      <c r="G107" s="13" t="str">
        <f>IF(A107="","",SUMIFS(Base_Porao_Turno!$H:$H,Base_Porao_Turno!$A:$A,A107,Base_Porao_Turno!$E:$E,B107))</f>
        <v/>
      </c>
      <c r="H107" s="13" t="str">
        <f t="shared" si="5"/>
        <v/>
      </c>
    </row>
    <row r="108" spans="1:8" x14ac:dyDescent="0.3">
      <c r="A108" s="6"/>
      <c r="B108" s="6"/>
      <c r="C108" s="8"/>
      <c r="D108" s="13" t="str">
        <f>IF(A108="","",SUMIFS(Base_Porao_Turno!$K:$K,Base_Porao_Turno!$A:$A,A108,Base_Porao_Turno!$E:$E,B108))</f>
        <v/>
      </c>
      <c r="E108" s="13" t="str">
        <f t="shared" si="3"/>
        <v/>
      </c>
      <c r="F108" s="14" t="str">
        <f t="shared" si="4"/>
        <v/>
      </c>
      <c r="G108" s="13" t="str">
        <f>IF(A108="","",SUMIFS(Base_Porao_Turno!$H:$H,Base_Porao_Turno!$A:$A,A108,Base_Porao_Turno!$E:$E,B108))</f>
        <v/>
      </c>
      <c r="H108" s="13" t="str">
        <f t="shared" si="5"/>
        <v/>
      </c>
    </row>
    <row r="109" spans="1:8" x14ac:dyDescent="0.3">
      <c r="A109" s="6"/>
      <c r="B109" s="6"/>
      <c r="C109" s="8"/>
      <c r="D109" s="13" t="str">
        <f>IF(A109="","",SUMIFS(Base_Porao_Turno!$K:$K,Base_Porao_Turno!$A:$A,A109,Base_Porao_Turno!$E:$E,B109))</f>
        <v/>
      </c>
      <c r="E109" s="13" t="str">
        <f t="shared" si="3"/>
        <v/>
      </c>
      <c r="F109" s="14" t="str">
        <f t="shared" si="4"/>
        <v/>
      </c>
      <c r="G109" s="13" t="str">
        <f>IF(A109="","",SUMIFS(Base_Porao_Turno!$H:$H,Base_Porao_Turno!$A:$A,A109,Base_Porao_Turno!$E:$E,B109))</f>
        <v/>
      </c>
      <c r="H109" s="13" t="str">
        <f t="shared" si="5"/>
        <v/>
      </c>
    </row>
    <row r="110" spans="1:8" x14ac:dyDescent="0.3">
      <c r="A110" s="6"/>
      <c r="B110" s="6"/>
      <c r="C110" s="8"/>
      <c r="D110" s="13" t="str">
        <f>IF(A110="","",SUMIFS(Base_Porao_Turno!$K:$K,Base_Porao_Turno!$A:$A,A110,Base_Porao_Turno!$E:$E,B110))</f>
        <v/>
      </c>
      <c r="E110" s="13" t="str">
        <f t="shared" si="3"/>
        <v/>
      </c>
      <c r="F110" s="14" t="str">
        <f t="shared" si="4"/>
        <v/>
      </c>
      <c r="G110" s="13" t="str">
        <f>IF(A110="","",SUMIFS(Base_Porao_Turno!$H:$H,Base_Porao_Turno!$A:$A,A110,Base_Porao_Turno!$E:$E,B110))</f>
        <v/>
      </c>
      <c r="H110" s="13" t="str">
        <f t="shared" si="5"/>
        <v/>
      </c>
    </row>
    <row r="111" spans="1:8" x14ac:dyDescent="0.3">
      <c r="A111" s="6"/>
      <c r="B111" s="6"/>
      <c r="C111" s="8"/>
      <c r="D111" s="13" t="str">
        <f>IF(A111="","",SUMIFS(Base_Porao_Turno!$K:$K,Base_Porao_Turno!$A:$A,A111,Base_Porao_Turno!$E:$E,B111))</f>
        <v/>
      </c>
      <c r="E111" s="13" t="str">
        <f t="shared" si="3"/>
        <v/>
      </c>
      <c r="F111" s="14" t="str">
        <f t="shared" si="4"/>
        <v/>
      </c>
      <c r="G111" s="13" t="str">
        <f>IF(A111="","",SUMIFS(Base_Porao_Turno!$H:$H,Base_Porao_Turno!$A:$A,A111,Base_Porao_Turno!$E:$E,B111))</f>
        <v/>
      </c>
      <c r="H111" s="13" t="str">
        <f t="shared" si="5"/>
        <v/>
      </c>
    </row>
    <row r="112" spans="1:8" x14ac:dyDescent="0.3">
      <c r="A112" s="6"/>
      <c r="B112" s="6"/>
      <c r="C112" s="8"/>
      <c r="D112" s="13" t="str">
        <f>IF(A112="","",SUMIFS(Base_Porao_Turno!$K:$K,Base_Porao_Turno!$A:$A,A112,Base_Porao_Turno!$E:$E,B112))</f>
        <v/>
      </c>
      <c r="E112" s="13" t="str">
        <f t="shared" si="3"/>
        <v/>
      </c>
      <c r="F112" s="14" t="str">
        <f t="shared" si="4"/>
        <v/>
      </c>
      <c r="G112" s="13" t="str">
        <f>IF(A112="","",SUMIFS(Base_Porao_Turno!$H:$H,Base_Porao_Turno!$A:$A,A112,Base_Porao_Turno!$E:$E,B112))</f>
        <v/>
      </c>
      <c r="H112" s="13" t="str">
        <f t="shared" si="5"/>
        <v/>
      </c>
    </row>
    <row r="113" spans="1:8" x14ac:dyDescent="0.3">
      <c r="A113" s="6"/>
      <c r="B113" s="6"/>
      <c r="C113" s="8"/>
      <c r="D113" s="13" t="str">
        <f>IF(A113="","",SUMIFS(Base_Porao_Turno!$K:$K,Base_Porao_Turno!$A:$A,A113,Base_Porao_Turno!$E:$E,B113))</f>
        <v/>
      </c>
      <c r="E113" s="13" t="str">
        <f t="shared" si="3"/>
        <v/>
      </c>
      <c r="F113" s="14" t="str">
        <f t="shared" si="4"/>
        <v/>
      </c>
      <c r="G113" s="13" t="str">
        <f>IF(A113="","",SUMIFS(Base_Porao_Turno!$H:$H,Base_Porao_Turno!$A:$A,A113,Base_Porao_Turno!$E:$E,B113))</f>
        <v/>
      </c>
      <c r="H113" s="13" t="str">
        <f t="shared" si="5"/>
        <v/>
      </c>
    </row>
    <row r="114" spans="1:8" x14ac:dyDescent="0.3">
      <c r="A114" s="6"/>
      <c r="B114" s="6"/>
      <c r="C114" s="8"/>
      <c r="D114" s="13" t="str">
        <f>IF(A114="","",SUMIFS(Base_Porao_Turno!$K:$K,Base_Porao_Turno!$A:$A,A114,Base_Porao_Turno!$E:$E,B114))</f>
        <v/>
      </c>
      <c r="E114" s="13" t="str">
        <f t="shared" si="3"/>
        <v/>
      </c>
      <c r="F114" s="14" t="str">
        <f t="shared" si="4"/>
        <v/>
      </c>
      <c r="G114" s="13" t="str">
        <f>IF(A114="","",SUMIFS(Base_Porao_Turno!$H:$H,Base_Porao_Turno!$A:$A,A114,Base_Porao_Turno!$E:$E,B114))</f>
        <v/>
      </c>
      <c r="H114" s="13" t="str">
        <f t="shared" si="5"/>
        <v/>
      </c>
    </row>
    <row r="115" spans="1:8" x14ac:dyDescent="0.3">
      <c r="A115" s="6"/>
      <c r="B115" s="6"/>
      <c r="C115" s="8"/>
      <c r="D115" s="13" t="str">
        <f>IF(A115="","",SUMIFS(Base_Porao_Turno!$K:$K,Base_Porao_Turno!$A:$A,A115,Base_Porao_Turno!$E:$E,B115))</f>
        <v/>
      </c>
      <c r="E115" s="13" t="str">
        <f t="shared" si="3"/>
        <v/>
      </c>
      <c r="F115" s="14" t="str">
        <f t="shared" si="4"/>
        <v/>
      </c>
      <c r="G115" s="13" t="str">
        <f>IF(A115="","",SUMIFS(Base_Porao_Turno!$H:$H,Base_Porao_Turno!$A:$A,A115,Base_Porao_Turno!$E:$E,B115))</f>
        <v/>
      </c>
      <c r="H115" s="13" t="str">
        <f t="shared" si="5"/>
        <v/>
      </c>
    </row>
    <row r="116" spans="1:8" x14ac:dyDescent="0.3">
      <c r="A116" s="6"/>
      <c r="B116" s="6"/>
      <c r="C116" s="8"/>
      <c r="D116" s="13" t="str">
        <f>IF(A116="","",SUMIFS(Base_Porao_Turno!$K:$K,Base_Porao_Turno!$A:$A,A116,Base_Porao_Turno!$E:$E,B116))</f>
        <v/>
      </c>
      <c r="E116" s="13" t="str">
        <f t="shared" si="3"/>
        <v/>
      </c>
      <c r="F116" s="14" t="str">
        <f t="shared" si="4"/>
        <v/>
      </c>
      <c r="G116" s="13" t="str">
        <f>IF(A116="","",SUMIFS(Base_Porao_Turno!$H:$H,Base_Porao_Turno!$A:$A,A116,Base_Porao_Turno!$E:$E,B116))</f>
        <v/>
      </c>
      <c r="H116" s="13" t="str">
        <f t="shared" si="5"/>
        <v/>
      </c>
    </row>
    <row r="117" spans="1:8" x14ac:dyDescent="0.3">
      <c r="A117" s="6"/>
      <c r="B117" s="6"/>
      <c r="C117" s="8"/>
      <c r="D117" s="13" t="str">
        <f>IF(A117="","",SUMIFS(Base_Porao_Turno!$K:$K,Base_Porao_Turno!$A:$A,A117,Base_Porao_Turno!$E:$E,B117))</f>
        <v/>
      </c>
      <c r="E117" s="13" t="str">
        <f t="shared" si="3"/>
        <v/>
      </c>
      <c r="F117" s="14" t="str">
        <f t="shared" si="4"/>
        <v/>
      </c>
      <c r="G117" s="13" t="str">
        <f>IF(A117="","",SUMIFS(Base_Porao_Turno!$H:$H,Base_Porao_Turno!$A:$A,A117,Base_Porao_Turno!$E:$E,B117))</f>
        <v/>
      </c>
      <c r="H117" s="13" t="str">
        <f t="shared" si="5"/>
        <v/>
      </c>
    </row>
    <row r="118" spans="1:8" x14ac:dyDescent="0.3">
      <c r="A118" s="6"/>
      <c r="B118" s="6"/>
      <c r="C118" s="8"/>
      <c r="D118" s="13" t="str">
        <f>IF(A118="","",SUMIFS(Base_Porao_Turno!$K:$K,Base_Porao_Turno!$A:$A,A118,Base_Porao_Turno!$E:$E,B118))</f>
        <v/>
      </c>
      <c r="E118" s="13" t="str">
        <f t="shared" si="3"/>
        <v/>
      </c>
      <c r="F118" s="14" t="str">
        <f t="shared" si="4"/>
        <v/>
      </c>
      <c r="G118" s="13" t="str">
        <f>IF(A118="","",SUMIFS(Base_Porao_Turno!$H:$H,Base_Porao_Turno!$A:$A,A118,Base_Porao_Turno!$E:$E,B118))</f>
        <v/>
      </c>
      <c r="H118" s="13" t="str">
        <f t="shared" si="5"/>
        <v/>
      </c>
    </row>
    <row r="119" spans="1:8" x14ac:dyDescent="0.3">
      <c r="A119" s="6"/>
      <c r="B119" s="6"/>
      <c r="C119" s="8"/>
      <c r="D119" s="13" t="str">
        <f>IF(A119="","",SUMIFS(Base_Porao_Turno!$K:$K,Base_Porao_Turno!$A:$A,A119,Base_Porao_Turno!$E:$E,B119))</f>
        <v/>
      </c>
      <c r="E119" s="13" t="str">
        <f t="shared" si="3"/>
        <v/>
      </c>
      <c r="F119" s="14" t="str">
        <f t="shared" si="4"/>
        <v/>
      </c>
      <c r="G119" s="13" t="str">
        <f>IF(A119="","",SUMIFS(Base_Porao_Turno!$H:$H,Base_Porao_Turno!$A:$A,A119,Base_Porao_Turno!$E:$E,B119))</f>
        <v/>
      </c>
      <c r="H119" s="13" t="str">
        <f t="shared" si="5"/>
        <v/>
      </c>
    </row>
    <row r="120" spans="1:8" x14ac:dyDescent="0.3">
      <c r="A120" s="6"/>
      <c r="B120" s="6"/>
      <c r="C120" s="8"/>
      <c r="D120" s="13" t="str">
        <f>IF(A120="","",SUMIFS(Base_Porao_Turno!$K:$K,Base_Porao_Turno!$A:$A,A120,Base_Porao_Turno!$E:$E,B120))</f>
        <v/>
      </c>
      <c r="E120" s="13" t="str">
        <f t="shared" si="3"/>
        <v/>
      </c>
      <c r="F120" s="14" t="str">
        <f t="shared" si="4"/>
        <v/>
      </c>
      <c r="G120" s="13" t="str">
        <f>IF(A120="","",SUMIFS(Base_Porao_Turno!$H:$H,Base_Porao_Turno!$A:$A,A120,Base_Porao_Turno!$E:$E,B120))</f>
        <v/>
      </c>
      <c r="H120" s="13" t="str">
        <f t="shared" si="5"/>
        <v/>
      </c>
    </row>
    <row r="121" spans="1:8" x14ac:dyDescent="0.3">
      <c r="A121" s="6"/>
      <c r="B121" s="6"/>
      <c r="C121" s="8"/>
      <c r="D121" s="13" t="str">
        <f>IF(A121="","",SUMIFS(Base_Porao_Turno!$K:$K,Base_Porao_Turno!$A:$A,A121,Base_Porao_Turno!$E:$E,B121))</f>
        <v/>
      </c>
      <c r="E121" s="13" t="str">
        <f t="shared" si="3"/>
        <v/>
      </c>
      <c r="F121" s="14" t="str">
        <f t="shared" si="4"/>
        <v/>
      </c>
      <c r="G121" s="13" t="str">
        <f>IF(A121="","",SUMIFS(Base_Porao_Turno!$H:$H,Base_Porao_Turno!$A:$A,A121,Base_Porao_Turno!$E:$E,B121))</f>
        <v/>
      </c>
      <c r="H121" s="13" t="str">
        <f t="shared" si="5"/>
        <v/>
      </c>
    </row>
    <row r="122" spans="1:8" x14ac:dyDescent="0.3">
      <c r="A122" s="6"/>
      <c r="B122" s="6"/>
      <c r="C122" s="8"/>
      <c r="D122" s="13" t="str">
        <f>IF(A122="","",SUMIFS(Base_Porao_Turno!$K:$K,Base_Porao_Turno!$A:$A,A122,Base_Porao_Turno!$E:$E,B122))</f>
        <v/>
      </c>
      <c r="E122" s="13" t="str">
        <f t="shared" si="3"/>
        <v/>
      </c>
      <c r="F122" s="14" t="str">
        <f t="shared" si="4"/>
        <v/>
      </c>
      <c r="G122" s="13" t="str">
        <f>IF(A122="","",SUMIFS(Base_Porao_Turno!$H:$H,Base_Porao_Turno!$A:$A,A122,Base_Porao_Turno!$E:$E,B122))</f>
        <v/>
      </c>
      <c r="H122" s="13" t="str">
        <f t="shared" si="5"/>
        <v/>
      </c>
    </row>
    <row r="123" spans="1:8" x14ac:dyDescent="0.3">
      <c r="A123" s="6"/>
      <c r="B123" s="6"/>
      <c r="C123" s="8"/>
      <c r="D123" s="13" t="str">
        <f>IF(A123="","",SUMIFS(Base_Porao_Turno!$K:$K,Base_Porao_Turno!$A:$A,A123,Base_Porao_Turno!$E:$E,B123))</f>
        <v/>
      </c>
      <c r="E123" s="13" t="str">
        <f t="shared" si="3"/>
        <v/>
      </c>
      <c r="F123" s="14" t="str">
        <f t="shared" si="4"/>
        <v/>
      </c>
      <c r="G123" s="13" t="str">
        <f>IF(A123="","",SUMIFS(Base_Porao_Turno!$H:$H,Base_Porao_Turno!$A:$A,A123,Base_Porao_Turno!$E:$E,B123))</f>
        <v/>
      </c>
      <c r="H123" s="13" t="str">
        <f t="shared" si="5"/>
        <v/>
      </c>
    </row>
    <row r="124" spans="1:8" x14ac:dyDescent="0.3">
      <c r="A124" s="6"/>
      <c r="B124" s="6"/>
      <c r="C124" s="8"/>
      <c r="D124" s="13" t="str">
        <f>IF(A124="","",SUMIFS(Base_Porao_Turno!$K:$K,Base_Porao_Turno!$A:$A,A124,Base_Porao_Turno!$E:$E,B124))</f>
        <v/>
      </c>
      <c r="E124" s="13" t="str">
        <f t="shared" si="3"/>
        <v/>
      </c>
      <c r="F124" s="14" t="str">
        <f t="shared" si="4"/>
        <v/>
      </c>
      <c r="G124" s="13" t="str">
        <f>IF(A124="","",SUMIFS(Base_Porao_Turno!$H:$H,Base_Porao_Turno!$A:$A,A124,Base_Porao_Turno!$E:$E,B124))</f>
        <v/>
      </c>
      <c r="H124" s="13" t="str">
        <f t="shared" si="5"/>
        <v/>
      </c>
    </row>
    <row r="125" spans="1:8" x14ac:dyDescent="0.3">
      <c r="A125" s="6"/>
      <c r="B125" s="6"/>
      <c r="C125" s="8"/>
      <c r="D125" s="13" t="str">
        <f>IF(A125="","",SUMIFS(Base_Porao_Turno!$K:$K,Base_Porao_Turno!$A:$A,A125,Base_Porao_Turno!$E:$E,B125))</f>
        <v/>
      </c>
      <c r="E125" s="13" t="str">
        <f t="shared" si="3"/>
        <v/>
      </c>
      <c r="F125" s="14" t="str">
        <f t="shared" si="4"/>
        <v/>
      </c>
      <c r="G125" s="13" t="str">
        <f>IF(A125="","",SUMIFS(Base_Porao_Turno!$H:$H,Base_Porao_Turno!$A:$A,A125,Base_Porao_Turno!$E:$E,B125))</f>
        <v/>
      </c>
      <c r="H125" s="13" t="str">
        <f t="shared" si="5"/>
        <v/>
      </c>
    </row>
    <row r="126" spans="1:8" x14ac:dyDescent="0.3">
      <c r="A126" s="6"/>
      <c r="B126" s="6"/>
      <c r="C126" s="8"/>
      <c r="D126" s="13" t="str">
        <f>IF(A126="","",SUMIFS(Base_Porao_Turno!$K:$K,Base_Porao_Turno!$A:$A,A126,Base_Porao_Turno!$E:$E,B126))</f>
        <v/>
      </c>
      <c r="E126" s="13" t="str">
        <f t="shared" si="3"/>
        <v/>
      </c>
      <c r="F126" s="14" t="str">
        <f t="shared" si="4"/>
        <v/>
      </c>
      <c r="G126" s="13" t="str">
        <f>IF(A126="","",SUMIFS(Base_Porao_Turno!$H:$H,Base_Porao_Turno!$A:$A,A126,Base_Porao_Turno!$E:$E,B126))</f>
        <v/>
      </c>
      <c r="H126" s="13" t="str">
        <f t="shared" si="5"/>
        <v/>
      </c>
    </row>
    <row r="127" spans="1:8" x14ac:dyDescent="0.3">
      <c r="A127" s="6"/>
      <c r="B127" s="6"/>
      <c r="C127" s="8"/>
      <c r="D127" s="13" t="str">
        <f>IF(A127="","",SUMIFS(Base_Porao_Turno!$K:$K,Base_Porao_Turno!$A:$A,A127,Base_Porao_Turno!$E:$E,B127))</f>
        <v/>
      </c>
      <c r="E127" s="13" t="str">
        <f t="shared" si="3"/>
        <v/>
      </c>
      <c r="F127" s="14" t="str">
        <f t="shared" si="4"/>
        <v/>
      </c>
      <c r="G127" s="13" t="str">
        <f>IF(A127="","",SUMIFS(Base_Porao_Turno!$H:$H,Base_Porao_Turno!$A:$A,A127,Base_Porao_Turno!$E:$E,B127))</f>
        <v/>
      </c>
      <c r="H127" s="13" t="str">
        <f t="shared" si="5"/>
        <v/>
      </c>
    </row>
    <row r="128" spans="1:8" x14ac:dyDescent="0.3">
      <c r="A128" s="6"/>
      <c r="B128" s="6"/>
      <c r="C128" s="8"/>
      <c r="D128" s="13" t="str">
        <f>IF(A128="","",SUMIFS(Base_Porao_Turno!$K:$K,Base_Porao_Turno!$A:$A,A128,Base_Porao_Turno!$E:$E,B128))</f>
        <v/>
      </c>
      <c r="E128" s="13" t="str">
        <f t="shared" si="3"/>
        <v/>
      </c>
      <c r="F128" s="14" t="str">
        <f t="shared" si="4"/>
        <v/>
      </c>
      <c r="G128" s="13" t="str">
        <f>IF(A128="","",SUMIFS(Base_Porao_Turno!$H:$H,Base_Porao_Turno!$A:$A,A128,Base_Porao_Turno!$E:$E,B128))</f>
        <v/>
      </c>
      <c r="H128" s="13" t="str">
        <f t="shared" si="5"/>
        <v/>
      </c>
    </row>
    <row r="129" spans="1:8" x14ac:dyDescent="0.3">
      <c r="A129" s="6"/>
      <c r="B129" s="6"/>
      <c r="C129" s="8"/>
      <c r="D129" s="13" t="str">
        <f>IF(A129="","",SUMIFS(Base_Porao_Turno!$K:$K,Base_Porao_Turno!$A:$A,A129,Base_Porao_Turno!$E:$E,B129))</f>
        <v/>
      </c>
      <c r="E129" s="13" t="str">
        <f t="shared" si="3"/>
        <v/>
      </c>
      <c r="F129" s="14" t="str">
        <f t="shared" si="4"/>
        <v/>
      </c>
      <c r="G129" s="13" t="str">
        <f>IF(A129="","",SUMIFS(Base_Porao_Turno!$H:$H,Base_Porao_Turno!$A:$A,A129,Base_Porao_Turno!$E:$E,B129))</f>
        <v/>
      </c>
      <c r="H129" s="13" t="str">
        <f t="shared" si="5"/>
        <v/>
      </c>
    </row>
    <row r="130" spans="1:8" x14ac:dyDescent="0.3">
      <c r="A130" s="6"/>
      <c r="B130" s="6"/>
      <c r="C130" s="8"/>
      <c r="D130" s="13" t="str">
        <f>IF(A130="","",SUMIFS(Base_Porao_Turno!$K:$K,Base_Porao_Turno!$A:$A,A130,Base_Porao_Turno!$E:$E,B130))</f>
        <v/>
      </c>
      <c r="E130" s="13" t="str">
        <f t="shared" ref="E130:E193" si="6">IF(OR(C130="",D130=""),"",C130-D130)</f>
        <v/>
      </c>
      <c r="F130" s="14" t="str">
        <f t="shared" ref="F130:F193" si="7">IFERROR(D130/C130,"")</f>
        <v/>
      </c>
      <c r="G130" s="13" t="str">
        <f>IF(A130="","",SUMIFS(Base_Porao_Turno!$H:$H,Base_Porao_Turno!$A:$A,A130,Base_Porao_Turno!$E:$E,B130))</f>
        <v/>
      </c>
      <c r="H130" s="13" t="str">
        <f t="shared" ref="H130:H193" si="8">IFERROR(D130/G130,"")</f>
        <v/>
      </c>
    </row>
    <row r="131" spans="1:8" x14ac:dyDescent="0.3">
      <c r="A131" s="6"/>
      <c r="B131" s="6"/>
      <c r="C131" s="8"/>
      <c r="D131" s="13" t="str">
        <f>IF(A131="","",SUMIFS(Base_Porao_Turno!$K:$K,Base_Porao_Turno!$A:$A,A131,Base_Porao_Turno!$E:$E,B131))</f>
        <v/>
      </c>
      <c r="E131" s="13" t="str">
        <f t="shared" si="6"/>
        <v/>
      </c>
      <c r="F131" s="14" t="str">
        <f t="shared" si="7"/>
        <v/>
      </c>
      <c r="G131" s="13" t="str">
        <f>IF(A131="","",SUMIFS(Base_Porao_Turno!$H:$H,Base_Porao_Turno!$A:$A,A131,Base_Porao_Turno!$E:$E,B131))</f>
        <v/>
      </c>
      <c r="H131" s="13" t="str">
        <f t="shared" si="8"/>
        <v/>
      </c>
    </row>
    <row r="132" spans="1:8" x14ac:dyDescent="0.3">
      <c r="A132" s="6"/>
      <c r="B132" s="6"/>
      <c r="C132" s="8"/>
      <c r="D132" s="13" t="str">
        <f>IF(A132="","",SUMIFS(Base_Porao_Turno!$K:$K,Base_Porao_Turno!$A:$A,A132,Base_Porao_Turno!$E:$E,B132))</f>
        <v/>
      </c>
      <c r="E132" s="13" t="str">
        <f t="shared" si="6"/>
        <v/>
      </c>
      <c r="F132" s="14" t="str">
        <f t="shared" si="7"/>
        <v/>
      </c>
      <c r="G132" s="13" t="str">
        <f>IF(A132="","",SUMIFS(Base_Porao_Turno!$H:$H,Base_Porao_Turno!$A:$A,A132,Base_Porao_Turno!$E:$E,B132))</f>
        <v/>
      </c>
      <c r="H132" s="13" t="str">
        <f t="shared" si="8"/>
        <v/>
      </c>
    </row>
    <row r="133" spans="1:8" x14ac:dyDescent="0.3">
      <c r="A133" s="6"/>
      <c r="B133" s="6"/>
      <c r="C133" s="8"/>
      <c r="D133" s="13" t="str">
        <f>IF(A133="","",SUMIFS(Base_Porao_Turno!$K:$K,Base_Porao_Turno!$A:$A,A133,Base_Porao_Turno!$E:$E,B133))</f>
        <v/>
      </c>
      <c r="E133" s="13" t="str">
        <f t="shared" si="6"/>
        <v/>
      </c>
      <c r="F133" s="14" t="str">
        <f t="shared" si="7"/>
        <v/>
      </c>
      <c r="G133" s="13" t="str">
        <f>IF(A133="","",SUMIFS(Base_Porao_Turno!$H:$H,Base_Porao_Turno!$A:$A,A133,Base_Porao_Turno!$E:$E,B133))</f>
        <v/>
      </c>
      <c r="H133" s="13" t="str">
        <f t="shared" si="8"/>
        <v/>
      </c>
    </row>
    <row r="134" spans="1:8" x14ac:dyDescent="0.3">
      <c r="A134" s="6"/>
      <c r="B134" s="6"/>
      <c r="C134" s="8"/>
      <c r="D134" s="13" t="str">
        <f>IF(A134="","",SUMIFS(Base_Porao_Turno!$K:$K,Base_Porao_Turno!$A:$A,A134,Base_Porao_Turno!$E:$E,B134))</f>
        <v/>
      </c>
      <c r="E134" s="13" t="str">
        <f t="shared" si="6"/>
        <v/>
      </c>
      <c r="F134" s="14" t="str">
        <f t="shared" si="7"/>
        <v/>
      </c>
      <c r="G134" s="13" t="str">
        <f>IF(A134="","",SUMIFS(Base_Porao_Turno!$H:$H,Base_Porao_Turno!$A:$A,A134,Base_Porao_Turno!$E:$E,B134))</f>
        <v/>
      </c>
      <c r="H134" s="13" t="str">
        <f t="shared" si="8"/>
        <v/>
      </c>
    </row>
    <row r="135" spans="1:8" x14ac:dyDescent="0.3">
      <c r="A135" s="6"/>
      <c r="B135" s="6"/>
      <c r="C135" s="8"/>
      <c r="D135" s="13" t="str">
        <f>IF(A135="","",SUMIFS(Base_Porao_Turno!$K:$K,Base_Porao_Turno!$A:$A,A135,Base_Porao_Turno!$E:$E,B135))</f>
        <v/>
      </c>
      <c r="E135" s="13" t="str">
        <f t="shared" si="6"/>
        <v/>
      </c>
      <c r="F135" s="14" t="str">
        <f t="shared" si="7"/>
        <v/>
      </c>
      <c r="G135" s="13" t="str">
        <f>IF(A135="","",SUMIFS(Base_Porao_Turno!$H:$H,Base_Porao_Turno!$A:$A,A135,Base_Porao_Turno!$E:$E,B135))</f>
        <v/>
      </c>
      <c r="H135" s="13" t="str">
        <f t="shared" si="8"/>
        <v/>
      </c>
    </row>
    <row r="136" spans="1:8" x14ac:dyDescent="0.3">
      <c r="A136" s="6"/>
      <c r="B136" s="6"/>
      <c r="C136" s="8"/>
      <c r="D136" s="13" t="str">
        <f>IF(A136="","",SUMIFS(Base_Porao_Turno!$K:$K,Base_Porao_Turno!$A:$A,A136,Base_Porao_Turno!$E:$E,B136))</f>
        <v/>
      </c>
      <c r="E136" s="13" t="str">
        <f t="shared" si="6"/>
        <v/>
      </c>
      <c r="F136" s="14" t="str">
        <f t="shared" si="7"/>
        <v/>
      </c>
      <c r="G136" s="13" t="str">
        <f>IF(A136="","",SUMIFS(Base_Porao_Turno!$H:$H,Base_Porao_Turno!$A:$A,A136,Base_Porao_Turno!$E:$E,B136))</f>
        <v/>
      </c>
      <c r="H136" s="13" t="str">
        <f t="shared" si="8"/>
        <v/>
      </c>
    </row>
    <row r="137" spans="1:8" x14ac:dyDescent="0.3">
      <c r="A137" s="6"/>
      <c r="B137" s="6"/>
      <c r="C137" s="8"/>
      <c r="D137" s="13" t="str">
        <f>IF(A137="","",SUMIFS(Base_Porao_Turno!$K:$K,Base_Porao_Turno!$A:$A,A137,Base_Porao_Turno!$E:$E,B137))</f>
        <v/>
      </c>
      <c r="E137" s="13" t="str">
        <f t="shared" si="6"/>
        <v/>
      </c>
      <c r="F137" s="14" t="str">
        <f t="shared" si="7"/>
        <v/>
      </c>
      <c r="G137" s="13" t="str">
        <f>IF(A137="","",SUMIFS(Base_Porao_Turno!$H:$H,Base_Porao_Turno!$A:$A,A137,Base_Porao_Turno!$E:$E,B137))</f>
        <v/>
      </c>
      <c r="H137" s="13" t="str">
        <f t="shared" si="8"/>
        <v/>
      </c>
    </row>
    <row r="138" spans="1:8" x14ac:dyDescent="0.3">
      <c r="A138" s="6"/>
      <c r="B138" s="6"/>
      <c r="C138" s="8"/>
      <c r="D138" s="13" t="str">
        <f>IF(A138="","",SUMIFS(Base_Porao_Turno!$K:$K,Base_Porao_Turno!$A:$A,A138,Base_Porao_Turno!$E:$E,B138))</f>
        <v/>
      </c>
      <c r="E138" s="13" t="str">
        <f t="shared" si="6"/>
        <v/>
      </c>
      <c r="F138" s="14" t="str">
        <f t="shared" si="7"/>
        <v/>
      </c>
      <c r="G138" s="13" t="str">
        <f>IF(A138="","",SUMIFS(Base_Porao_Turno!$H:$H,Base_Porao_Turno!$A:$A,A138,Base_Porao_Turno!$E:$E,B138))</f>
        <v/>
      </c>
      <c r="H138" s="13" t="str">
        <f t="shared" si="8"/>
        <v/>
      </c>
    </row>
    <row r="139" spans="1:8" x14ac:dyDescent="0.3">
      <c r="A139" s="6"/>
      <c r="B139" s="6"/>
      <c r="C139" s="8"/>
      <c r="D139" s="13" t="str">
        <f>IF(A139="","",SUMIFS(Base_Porao_Turno!$K:$K,Base_Porao_Turno!$A:$A,A139,Base_Porao_Turno!$E:$E,B139))</f>
        <v/>
      </c>
      <c r="E139" s="13" t="str">
        <f t="shared" si="6"/>
        <v/>
      </c>
      <c r="F139" s="14" t="str">
        <f t="shared" si="7"/>
        <v/>
      </c>
      <c r="G139" s="13" t="str">
        <f>IF(A139="","",SUMIFS(Base_Porao_Turno!$H:$H,Base_Porao_Turno!$A:$A,A139,Base_Porao_Turno!$E:$E,B139))</f>
        <v/>
      </c>
      <c r="H139" s="13" t="str">
        <f t="shared" si="8"/>
        <v/>
      </c>
    </row>
    <row r="140" spans="1:8" x14ac:dyDescent="0.3">
      <c r="A140" s="6"/>
      <c r="B140" s="6"/>
      <c r="C140" s="8"/>
      <c r="D140" s="13" t="str">
        <f>IF(A140="","",SUMIFS(Base_Porao_Turno!$K:$K,Base_Porao_Turno!$A:$A,A140,Base_Porao_Turno!$E:$E,B140))</f>
        <v/>
      </c>
      <c r="E140" s="13" t="str">
        <f t="shared" si="6"/>
        <v/>
      </c>
      <c r="F140" s="14" t="str">
        <f t="shared" si="7"/>
        <v/>
      </c>
      <c r="G140" s="13" t="str">
        <f>IF(A140="","",SUMIFS(Base_Porao_Turno!$H:$H,Base_Porao_Turno!$A:$A,A140,Base_Porao_Turno!$E:$E,B140))</f>
        <v/>
      </c>
      <c r="H140" s="13" t="str">
        <f t="shared" si="8"/>
        <v/>
      </c>
    </row>
    <row r="141" spans="1:8" x14ac:dyDescent="0.3">
      <c r="A141" s="6"/>
      <c r="B141" s="6"/>
      <c r="C141" s="8"/>
      <c r="D141" s="13" t="str">
        <f>IF(A141="","",SUMIFS(Base_Porao_Turno!$K:$K,Base_Porao_Turno!$A:$A,A141,Base_Porao_Turno!$E:$E,B141))</f>
        <v/>
      </c>
      <c r="E141" s="13" t="str">
        <f t="shared" si="6"/>
        <v/>
      </c>
      <c r="F141" s="14" t="str">
        <f t="shared" si="7"/>
        <v/>
      </c>
      <c r="G141" s="13" t="str">
        <f>IF(A141="","",SUMIFS(Base_Porao_Turno!$H:$H,Base_Porao_Turno!$A:$A,A141,Base_Porao_Turno!$E:$E,B141))</f>
        <v/>
      </c>
      <c r="H141" s="13" t="str">
        <f t="shared" si="8"/>
        <v/>
      </c>
    </row>
    <row r="142" spans="1:8" x14ac:dyDescent="0.3">
      <c r="A142" s="6"/>
      <c r="B142" s="6"/>
      <c r="C142" s="8"/>
      <c r="D142" s="13" t="str">
        <f>IF(A142="","",SUMIFS(Base_Porao_Turno!$K:$K,Base_Porao_Turno!$A:$A,A142,Base_Porao_Turno!$E:$E,B142))</f>
        <v/>
      </c>
      <c r="E142" s="13" t="str">
        <f t="shared" si="6"/>
        <v/>
      </c>
      <c r="F142" s="14" t="str">
        <f t="shared" si="7"/>
        <v/>
      </c>
      <c r="G142" s="13" t="str">
        <f>IF(A142="","",SUMIFS(Base_Porao_Turno!$H:$H,Base_Porao_Turno!$A:$A,A142,Base_Porao_Turno!$E:$E,B142))</f>
        <v/>
      </c>
      <c r="H142" s="13" t="str">
        <f t="shared" si="8"/>
        <v/>
      </c>
    </row>
    <row r="143" spans="1:8" x14ac:dyDescent="0.3">
      <c r="A143" s="6"/>
      <c r="B143" s="6"/>
      <c r="C143" s="8"/>
      <c r="D143" s="13" t="str">
        <f>IF(A143="","",SUMIFS(Base_Porao_Turno!$K:$K,Base_Porao_Turno!$A:$A,A143,Base_Porao_Turno!$E:$E,B143))</f>
        <v/>
      </c>
      <c r="E143" s="13" t="str">
        <f t="shared" si="6"/>
        <v/>
      </c>
      <c r="F143" s="14" t="str">
        <f t="shared" si="7"/>
        <v/>
      </c>
      <c r="G143" s="13" t="str">
        <f>IF(A143="","",SUMIFS(Base_Porao_Turno!$H:$H,Base_Porao_Turno!$A:$A,A143,Base_Porao_Turno!$E:$E,B143))</f>
        <v/>
      </c>
      <c r="H143" s="13" t="str">
        <f t="shared" si="8"/>
        <v/>
      </c>
    </row>
    <row r="144" spans="1:8" x14ac:dyDescent="0.3">
      <c r="A144" s="6"/>
      <c r="B144" s="6"/>
      <c r="C144" s="8"/>
      <c r="D144" s="13" t="str">
        <f>IF(A144="","",SUMIFS(Base_Porao_Turno!$K:$K,Base_Porao_Turno!$A:$A,A144,Base_Porao_Turno!$E:$E,B144))</f>
        <v/>
      </c>
      <c r="E144" s="13" t="str">
        <f t="shared" si="6"/>
        <v/>
      </c>
      <c r="F144" s="14" t="str">
        <f t="shared" si="7"/>
        <v/>
      </c>
      <c r="G144" s="13" t="str">
        <f>IF(A144="","",SUMIFS(Base_Porao_Turno!$H:$H,Base_Porao_Turno!$A:$A,A144,Base_Porao_Turno!$E:$E,B144))</f>
        <v/>
      </c>
      <c r="H144" s="13" t="str">
        <f t="shared" si="8"/>
        <v/>
      </c>
    </row>
    <row r="145" spans="1:8" x14ac:dyDescent="0.3">
      <c r="A145" s="6"/>
      <c r="B145" s="6"/>
      <c r="C145" s="8"/>
      <c r="D145" s="13" t="str">
        <f>IF(A145="","",SUMIFS(Base_Porao_Turno!$K:$K,Base_Porao_Turno!$A:$A,A145,Base_Porao_Turno!$E:$E,B145))</f>
        <v/>
      </c>
      <c r="E145" s="13" t="str">
        <f t="shared" si="6"/>
        <v/>
      </c>
      <c r="F145" s="14" t="str">
        <f t="shared" si="7"/>
        <v/>
      </c>
      <c r="G145" s="13" t="str">
        <f>IF(A145="","",SUMIFS(Base_Porao_Turno!$H:$H,Base_Porao_Turno!$A:$A,A145,Base_Porao_Turno!$E:$E,B145))</f>
        <v/>
      </c>
      <c r="H145" s="13" t="str">
        <f t="shared" si="8"/>
        <v/>
      </c>
    </row>
    <row r="146" spans="1:8" x14ac:dyDescent="0.3">
      <c r="A146" s="6"/>
      <c r="B146" s="6"/>
      <c r="C146" s="8"/>
      <c r="D146" s="13" t="str">
        <f>IF(A146="","",SUMIFS(Base_Porao_Turno!$K:$K,Base_Porao_Turno!$A:$A,A146,Base_Porao_Turno!$E:$E,B146))</f>
        <v/>
      </c>
      <c r="E146" s="13" t="str">
        <f t="shared" si="6"/>
        <v/>
      </c>
      <c r="F146" s="14" t="str">
        <f t="shared" si="7"/>
        <v/>
      </c>
      <c r="G146" s="13" t="str">
        <f>IF(A146="","",SUMIFS(Base_Porao_Turno!$H:$H,Base_Porao_Turno!$A:$A,A146,Base_Porao_Turno!$E:$E,B146))</f>
        <v/>
      </c>
      <c r="H146" s="13" t="str">
        <f t="shared" si="8"/>
        <v/>
      </c>
    </row>
    <row r="147" spans="1:8" x14ac:dyDescent="0.3">
      <c r="A147" s="6"/>
      <c r="B147" s="6"/>
      <c r="C147" s="8"/>
      <c r="D147" s="13" t="str">
        <f>IF(A147="","",SUMIFS(Base_Porao_Turno!$K:$K,Base_Porao_Turno!$A:$A,A147,Base_Porao_Turno!$E:$E,B147))</f>
        <v/>
      </c>
      <c r="E147" s="13" t="str">
        <f t="shared" si="6"/>
        <v/>
      </c>
      <c r="F147" s="14" t="str">
        <f t="shared" si="7"/>
        <v/>
      </c>
      <c r="G147" s="13" t="str">
        <f>IF(A147="","",SUMIFS(Base_Porao_Turno!$H:$H,Base_Porao_Turno!$A:$A,A147,Base_Porao_Turno!$E:$E,B147))</f>
        <v/>
      </c>
      <c r="H147" s="13" t="str">
        <f t="shared" si="8"/>
        <v/>
      </c>
    </row>
    <row r="148" spans="1:8" x14ac:dyDescent="0.3">
      <c r="A148" s="6"/>
      <c r="B148" s="6"/>
      <c r="C148" s="8"/>
      <c r="D148" s="13" t="str">
        <f>IF(A148="","",SUMIFS(Base_Porao_Turno!$K:$K,Base_Porao_Turno!$A:$A,A148,Base_Porao_Turno!$E:$E,B148))</f>
        <v/>
      </c>
      <c r="E148" s="13" t="str">
        <f t="shared" si="6"/>
        <v/>
      </c>
      <c r="F148" s="14" t="str">
        <f t="shared" si="7"/>
        <v/>
      </c>
      <c r="G148" s="13" t="str">
        <f>IF(A148="","",SUMIFS(Base_Porao_Turno!$H:$H,Base_Porao_Turno!$A:$A,A148,Base_Porao_Turno!$E:$E,B148))</f>
        <v/>
      </c>
      <c r="H148" s="13" t="str">
        <f t="shared" si="8"/>
        <v/>
      </c>
    </row>
    <row r="149" spans="1:8" x14ac:dyDescent="0.3">
      <c r="A149" s="6"/>
      <c r="B149" s="6"/>
      <c r="C149" s="8"/>
      <c r="D149" s="13" t="str">
        <f>IF(A149="","",SUMIFS(Base_Porao_Turno!$K:$K,Base_Porao_Turno!$A:$A,A149,Base_Porao_Turno!$E:$E,B149))</f>
        <v/>
      </c>
      <c r="E149" s="13" t="str">
        <f t="shared" si="6"/>
        <v/>
      </c>
      <c r="F149" s="14" t="str">
        <f t="shared" si="7"/>
        <v/>
      </c>
      <c r="G149" s="13" t="str">
        <f>IF(A149="","",SUMIFS(Base_Porao_Turno!$H:$H,Base_Porao_Turno!$A:$A,A149,Base_Porao_Turno!$E:$E,B149))</f>
        <v/>
      </c>
      <c r="H149" s="13" t="str">
        <f t="shared" si="8"/>
        <v/>
      </c>
    </row>
    <row r="150" spans="1:8" x14ac:dyDescent="0.3">
      <c r="A150" s="6"/>
      <c r="B150" s="6"/>
      <c r="C150" s="8"/>
      <c r="D150" s="13" t="str">
        <f>IF(A150="","",SUMIFS(Base_Porao_Turno!$K:$K,Base_Porao_Turno!$A:$A,A150,Base_Porao_Turno!$E:$E,B150))</f>
        <v/>
      </c>
      <c r="E150" s="13" t="str">
        <f t="shared" si="6"/>
        <v/>
      </c>
      <c r="F150" s="14" t="str">
        <f t="shared" si="7"/>
        <v/>
      </c>
      <c r="G150" s="13" t="str">
        <f>IF(A150="","",SUMIFS(Base_Porao_Turno!$H:$H,Base_Porao_Turno!$A:$A,A150,Base_Porao_Turno!$E:$E,B150))</f>
        <v/>
      </c>
      <c r="H150" s="13" t="str">
        <f t="shared" si="8"/>
        <v/>
      </c>
    </row>
    <row r="151" spans="1:8" x14ac:dyDescent="0.3">
      <c r="A151" s="6"/>
      <c r="B151" s="6"/>
      <c r="C151" s="8"/>
      <c r="D151" s="13" t="str">
        <f>IF(A151="","",SUMIFS(Base_Porao_Turno!$K:$K,Base_Porao_Turno!$A:$A,A151,Base_Porao_Turno!$E:$E,B151))</f>
        <v/>
      </c>
      <c r="E151" s="13" t="str">
        <f t="shared" si="6"/>
        <v/>
      </c>
      <c r="F151" s="14" t="str">
        <f t="shared" si="7"/>
        <v/>
      </c>
      <c r="G151" s="13" t="str">
        <f>IF(A151="","",SUMIFS(Base_Porao_Turno!$H:$H,Base_Porao_Turno!$A:$A,A151,Base_Porao_Turno!$E:$E,B151))</f>
        <v/>
      </c>
      <c r="H151" s="13" t="str">
        <f t="shared" si="8"/>
        <v/>
      </c>
    </row>
    <row r="152" spans="1:8" x14ac:dyDescent="0.3">
      <c r="A152" s="6"/>
      <c r="B152" s="6"/>
      <c r="C152" s="8"/>
      <c r="D152" s="13" t="str">
        <f>IF(A152="","",SUMIFS(Base_Porao_Turno!$K:$K,Base_Porao_Turno!$A:$A,A152,Base_Porao_Turno!$E:$E,B152))</f>
        <v/>
      </c>
      <c r="E152" s="13" t="str">
        <f t="shared" si="6"/>
        <v/>
      </c>
      <c r="F152" s="14" t="str">
        <f t="shared" si="7"/>
        <v/>
      </c>
      <c r="G152" s="13" t="str">
        <f>IF(A152="","",SUMIFS(Base_Porao_Turno!$H:$H,Base_Porao_Turno!$A:$A,A152,Base_Porao_Turno!$E:$E,B152))</f>
        <v/>
      </c>
      <c r="H152" s="13" t="str">
        <f t="shared" si="8"/>
        <v/>
      </c>
    </row>
    <row r="153" spans="1:8" x14ac:dyDescent="0.3">
      <c r="A153" s="6"/>
      <c r="B153" s="6"/>
      <c r="C153" s="8"/>
      <c r="D153" s="13" t="str">
        <f>IF(A153="","",SUMIFS(Base_Porao_Turno!$K:$K,Base_Porao_Turno!$A:$A,A153,Base_Porao_Turno!$E:$E,B153))</f>
        <v/>
      </c>
      <c r="E153" s="13" t="str">
        <f t="shared" si="6"/>
        <v/>
      </c>
      <c r="F153" s="14" t="str">
        <f t="shared" si="7"/>
        <v/>
      </c>
      <c r="G153" s="13" t="str">
        <f>IF(A153="","",SUMIFS(Base_Porao_Turno!$H:$H,Base_Porao_Turno!$A:$A,A153,Base_Porao_Turno!$E:$E,B153))</f>
        <v/>
      </c>
      <c r="H153" s="13" t="str">
        <f t="shared" si="8"/>
        <v/>
      </c>
    </row>
    <row r="154" spans="1:8" x14ac:dyDescent="0.3">
      <c r="A154" s="6"/>
      <c r="B154" s="6"/>
      <c r="C154" s="8"/>
      <c r="D154" s="13" t="str">
        <f>IF(A154="","",SUMIFS(Base_Porao_Turno!$K:$K,Base_Porao_Turno!$A:$A,A154,Base_Porao_Turno!$E:$E,B154))</f>
        <v/>
      </c>
      <c r="E154" s="13" t="str">
        <f t="shared" si="6"/>
        <v/>
      </c>
      <c r="F154" s="14" t="str">
        <f t="shared" si="7"/>
        <v/>
      </c>
      <c r="G154" s="13" t="str">
        <f>IF(A154="","",SUMIFS(Base_Porao_Turno!$H:$H,Base_Porao_Turno!$A:$A,A154,Base_Porao_Turno!$E:$E,B154))</f>
        <v/>
      </c>
      <c r="H154" s="13" t="str">
        <f t="shared" si="8"/>
        <v/>
      </c>
    </row>
    <row r="155" spans="1:8" x14ac:dyDescent="0.3">
      <c r="A155" s="6"/>
      <c r="B155" s="6"/>
      <c r="C155" s="8"/>
      <c r="D155" s="13" t="str">
        <f>IF(A155="","",SUMIFS(Base_Porao_Turno!$K:$K,Base_Porao_Turno!$A:$A,A155,Base_Porao_Turno!$E:$E,B155))</f>
        <v/>
      </c>
      <c r="E155" s="13" t="str">
        <f t="shared" si="6"/>
        <v/>
      </c>
      <c r="F155" s="14" t="str">
        <f t="shared" si="7"/>
        <v/>
      </c>
      <c r="G155" s="13" t="str">
        <f>IF(A155="","",SUMIFS(Base_Porao_Turno!$H:$H,Base_Porao_Turno!$A:$A,A155,Base_Porao_Turno!$E:$E,B155))</f>
        <v/>
      </c>
      <c r="H155" s="13" t="str">
        <f t="shared" si="8"/>
        <v/>
      </c>
    </row>
    <row r="156" spans="1:8" x14ac:dyDescent="0.3">
      <c r="A156" s="6"/>
      <c r="B156" s="6"/>
      <c r="C156" s="8"/>
      <c r="D156" s="13" t="str">
        <f>IF(A156="","",SUMIFS(Base_Porao_Turno!$K:$K,Base_Porao_Turno!$A:$A,A156,Base_Porao_Turno!$E:$E,B156))</f>
        <v/>
      </c>
      <c r="E156" s="13" t="str">
        <f t="shared" si="6"/>
        <v/>
      </c>
      <c r="F156" s="14" t="str">
        <f t="shared" si="7"/>
        <v/>
      </c>
      <c r="G156" s="13" t="str">
        <f>IF(A156="","",SUMIFS(Base_Porao_Turno!$H:$H,Base_Porao_Turno!$A:$A,A156,Base_Porao_Turno!$E:$E,B156))</f>
        <v/>
      </c>
      <c r="H156" s="13" t="str">
        <f t="shared" si="8"/>
        <v/>
      </c>
    </row>
    <row r="157" spans="1:8" x14ac:dyDescent="0.3">
      <c r="A157" s="6"/>
      <c r="B157" s="6"/>
      <c r="C157" s="8"/>
      <c r="D157" s="13" t="str">
        <f>IF(A157="","",SUMIFS(Base_Porao_Turno!$K:$K,Base_Porao_Turno!$A:$A,A157,Base_Porao_Turno!$E:$E,B157))</f>
        <v/>
      </c>
      <c r="E157" s="13" t="str">
        <f t="shared" si="6"/>
        <v/>
      </c>
      <c r="F157" s="14" t="str">
        <f t="shared" si="7"/>
        <v/>
      </c>
      <c r="G157" s="13" t="str">
        <f>IF(A157="","",SUMIFS(Base_Porao_Turno!$H:$H,Base_Porao_Turno!$A:$A,A157,Base_Porao_Turno!$E:$E,B157))</f>
        <v/>
      </c>
      <c r="H157" s="13" t="str">
        <f t="shared" si="8"/>
        <v/>
      </c>
    </row>
    <row r="158" spans="1:8" x14ac:dyDescent="0.3">
      <c r="A158" s="6"/>
      <c r="B158" s="6"/>
      <c r="C158" s="8"/>
      <c r="D158" s="13" t="str">
        <f>IF(A158="","",SUMIFS(Base_Porao_Turno!$K:$K,Base_Porao_Turno!$A:$A,A158,Base_Porao_Turno!$E:$E,B158))</f>
        <v/>
      </c>
      <c r="E158" s="13" t="str">
        <f t="shared" si="6"/>
        <v/>
      </c>
      <c r="F158" s="14" t="str">
        <f t="shared" si="7"/>
        <v/>
      </c>
      <c r="G158" s="13" t="str">
        <f>IF(A158="","",SUMIFS(Base_Porao_Turno!$H:$H,Base_Porao_Turno!$A:$A,A158,Base_Porao_Turno!$E:$E,B158))</f>
        <v/>
      </c>
      <c r="H158" s="13" t="str">
        <f t="shared" si="8"/>
        <v/>
      </c>
    </row>
    <row r="159" spans="1:8" x14ac:dyDescent="0.3">
      <c r="A159" s="6"/>
      <c r="B159" s="6"/>
      <c r="C159" s="8"/>
      <c r="D159" s="13" t="str">
        <f>IF(A159="","",SUMIFS(Base_Porao_Turno!$K:$K,Base_Porao_Turno!$A:$A,A159,Base_Porao_Turno!$E:$E,B159))</f>
        <v/>
      </c>
      <c r="E159" s="13" t="str">
        <f t="shared" si="6"/>
        <v/>
      </c>
      <c r="F159" s="14" t="str">
        <f t="shared" si="7"/>
        <v/>
      </c>
      <c r="G159" s="13" t="str">
        <f>IF(A159="","",SUMIFS(Base_Porao_Turno!$H:$H,Base_Porao_Turno!$A:$A,A159,Base_Porao_Turno!$E:$E,B159))</f>
        <v/>
      </c>
      <c r="H159" s="13" t="str">
        <f t="shared" si="8"/>
        <v/>
      </c>
    </row>
    <row r="160" spans="1:8" x14ac:dyDescent="0.3">
      <c r="A160" s="6"/>
      <c r="B160" s="6"/>
      <c r="C160" s="8"/>
      <c r="D160" s="13" t="str">
        <f>IF(A160="","",SUMIFS(Base_Porao_Turno!$K:$K,Base_Porao_Turno!$A:$A,A160,Base_Porao_Turno!$E:$E,B160))</f>
        <v/>
      </c>
      <c r="E160" s="13" t="str">
        <f t="shared" si="6"/>
        <v/>
      </c>
      <c r="F160" s="14" t="str">
        <f t="shared" si="7"/>
        <v/>
      </c>
      <c r="G160" s="13" t="str">
        <f>IF(A160="","",SUMIFS(Base_Porao_Turno!$H:$H,Base_Porao_Turno!$A:$A,A160,Base_Porao_Turno!$E:$E,B160))</f>
        <v/>
      </c>
      <c r="H160" s="13" t="str">
        <f t="shared" si="8"/>
        <v/>
      </c>
    </row>
    <row r="161" spans="1:8" x14ac:dyDescent="0.3">
      <c r="A161" s="6"/>
      <c r="B161" s="6"/>
      <c r="C161" s="8"/>
      <c r="D161" s="13" t="str">
        <f>IF(A161="","",SUMIFS(Base_Porao_Turno!$K:$K,Base_Porao_Turno!$A:$A,A161,Base_Porao_Turno!$E:$E,B161))</f>
        <v/>
      </c>
      <c r="E161" s="13" t="str">
        <f t="shared" si="6"/>
        <v/>
      </c>
      <c r="F161" s="14" t="str">
        <f t="shared" si="7"/>
        <v/>
      </c>
      <c r="G161" s="13" t="str">
        <f>IF(A161="","",SUMIFS(Base_Porao_Turno!$H:$H,Base_Porao_Turno!$A:$A,A161,Base_Porao_Turno!$E:$E,B161))</f>
        <v/>
      </c>
      <c r="H161" s="13" t="str">
        <f t="shared" si="8"/>
        <v/>
      </c>
    </row>
    <row r="162" spans="1:8" x14ac:dyDescent="0.3">
      <c r="A162" s="6"/>
      <c r="B162" s="6"/>
      <c r="C162" s="8"/>
      <c r="D162" s="13" t="str">
        <f>IF(A162="","",SUMIFS(Base_Porao_Turno!$K:$K,Base_Porao_Turno!$A:$A,A162,Base_Porao_Turno!$E:$E,B162))</f>
        <v/>
      </c>
      <c r="E162" s="13" t="str">
        <f t="shared" si="6"/>
        <v/>
      </c>
      <c r="F162" s="14" t="str">
        <f t="shared" si="7"/>
        <v/>
      </c>
      <c r="G162" s="13" t="str">
        <f>IF(A162="","",SUMIFS(Base_Porao_Turno!$H:$H,Base_Porao_Turno!$A:$A,A162,Base_Porao_Turno!$E:$E,B162))</f>
        <v/>
      </c>
      <c r="H162" s="13" t="str">
        <f t="shared" si="8"/>
        <v/>
      </c>
    </row>
    <row r="163" spans="1:8" x14ac:dyDescent="0.3">
      <c r="A163" s="6"/>
      <c r="B163" s="6"/>
      <c r="C163" s="8"/>
      <c r="D163" s="13" t="str">
        <f>IF(A163="","",SUMIFS(Base_Porao_Turno!$K:$K,Base_Porao_Turno!$A:$A,A163,Base_Porao_Turno!$E:$E,B163))</f>
        <v/>
      </c>
      <c r="E163" s="13" t="str">
        <f t="shared" si="6"/>
        <v/>
      </c>
      <c r="F163" s="14" t="str">
        <f t="shared" si="7"/>
        <v/>
      </c>
      <c r="G163" s="13" t="str">
        <f>IF(A163="","",SUMIFS(Base_Porao_Turno!$H:$H,Base_Porao_Turno!$A:$A,A163,Base_Porao_Turno!$E:$E,B163))</f>
        <v/>
      </c>
      <c r="H163" s="13" t="str">
        <f t="shared" si="8"/>
        <v/>
      </c>
    </row>
    <row r="164" spans="1:8" x14ac:dyDescent="0.3">
      <c r="A164" s="6"/>
      <c r="B164" s="6"/>
      <c r="C164" s="8"/>
      <c r="D164" s="13" t="str">
        <f>IF(A164="","",SUMIFS(Base_Porao_Turno!$K:$K,Base_Porao_Turno!$A:$A,A164,Base_Porao_Turno!$E:$E,B164))</f>
        <v/>
      </c>
      <c r="E164" s="13" t="str">
        <f t="shared" si="6"/>
        <v/>
      </c>
      <c r="F164" s="14" t="str">
        <f t="shared" si="7"/>
        <v/>
      </c>
      <c r="G164" s="13" t="str">
        <f>IF(A164="","",SUMIFS(Base_Porao_Turno!$H:$H,Base_Porao_Turno!$A:$A,A164,Base_Porao_Turno!$E:$E,B164))</f>
        <v/>
      </c>
      <c r="H164" s="13" t="str">
        <f t="shared" si="8"/>
        <v/>
      </c>
    </row>
    <row r="165" spans="1:8" x14ac:dyDescent="0.3">
      <c r="A165" s="6"/>
      <c r="B165" s="6"/>
      <c r="C165" s="8"/>
      <c r="D165" s="13" t="str">
        <f>IF(A165="","",SUMIFS(Base_Porao_Turno!$K:$K,Base_Porao_Turno!$A:$A,A165,Base_Porao_Turno!$E:$E,B165))</f>
        <v/>
      </c>
      <c r="E165" s="13" t="str">
        <f t="shared" si="6"/>
        <v/>
      </c>
      <c r="F165" s="14" t="str">
        <f t="shared" si="7"/>
        <v/>
      </c>
      <c r="G165" s="13" t="str">
        <f>IF(A165="","",SUMIFS(Base_Porao_Turno!$H:$H,Base_Porao_Turno!$A:$A,A165,Base_Porao_Turno!$E:$E,B165))</f>
        <v/>
      </c>
      <c r="H165" s="13" t="str">
        <f t="shared" si="8"/>
        <v/>
      </c>
    </row>
    <row r="166" spans="1:8" x14ac:dyDescent="0.3">
      <c r="A166" s="6"/>
      <c r="B166" s="6"/>
      <c r="C166" s="8"/>
      <c r="D166" s="13" t="str">
        <f>IF(A166="","",SUMIFS(Base_Porao_Turno!$K:$K,Base_Porao_Turno!$A:$A,A166,Base_Porao_Turno!$E:$E,B166))</f>
        <v/>
      </c>
      <c r="E166" s="13" t="str">
        <f t="shared" si="6"/>
        <v/>
      </c>
      <c r="F166" s="14" t="str">
        <f t="shared" si="7"/>
        <v/>
      </c>
      <c r="G166" s="13" t="str">
        <f>IF(A166="","",SUMIFS(Base_Porao_Turno!$H:$H,Base_Porao_Turno!$A:$A,A166,Base_Porao_Turno!$E:$E,B166))</f>
        <v/>
      </c>
      <c r="H166" s="13" t="str">
        <f t="shared" si="8"/>
        <v/>
      </c>
    </row>
    <row r="167" spans="1:8" x14ac:dyDescent="0.3">
      <c r="A167" s="6"/>
      <c r="B167" s="6"/>
      <c r="C167" s="8"/>
      <c r="D167" s="13" t="str">
        <f>IF(A167="","",SUMIFS(Base_Porao_Turno!$K:$K,Base_Porao_Turno!$A:$A,A167,Base_Porao_Turno!$E:$E,B167))</f>
        <v/>
      </c>
      <c r="E167" s="13" t="str">
        <f t="shared" si="6"/>
        <v/>
      </c>
      <c r="F167" s="14" t="str">
        <f t="shared" si="7"/>
        <v/>
      </c>
      <c r="G167" s="13" t="str">
        <f>IF(A167="","",SUMIFS(Base_Porao_Turno!$H:$H,Base_Porao_Turno!$A:$A,A167,Base_Porao_Turno!$E:$E,B167))</f>
        <v/>
      </c>
      <c r="H167" s="13" t="str">
        <f t="shared" si="8"/>
        <v/>
      </c>
    </row>
    <row r="168" spans="1:8" x14ac:dyDescent="0.3">
      <c r="A168" s="6"/>
      <c r="B168" s="6"/>
      <c r="C168" s="8"/>
      <c r="D168" s="13" t="str">
        <f>IF(A168="","",SUMIFS(Base_Porao_Turno!$K:$K,Base_Porao_Turno!$A:$A,A168,Base_Porao_Turno!$E:$E,B168))</f>
        <v/>
      </c>
      <c r="E168" s="13" t="str">
        <f t="shared" si="6"/>
        <v/>
      </c>
      <c r="F168" s="14" t="str">
        <f t="shared" si="7"/>
        <v/>
      </c>
      <c r="G168" s="13" t="str">
        <f>IF(A168="","",SUMIFS(Base_Porao_Turno!$H:$H,Base_Porao_Turno!$A:$A,A168,Base_Porao_Turno!$E:$E,B168))</f>
        <v/>
      </c>
      <c r="H168" s="13" t="str">
        <f t="shared" si="8"/>
        <v/>
      </c>
    </row>
    <row r="169" spans="1:8" x14ac:dyDescent="0.3">
      <c r="A169" s="6"/>
      <c r="B169" s="6"/>
      <c r="C169" s="8"/>
      <c r="D169" s="13" t="str">
        <f>IF(A169="","",SUMIFS(Base_Porao_Turno!$K:$K,Base_Porao_Turno!$A:$A,A169,Base_Porao_Turno!$E:$E,B169))</f>
        <v/>
      </c>
      <c r="E169" s="13" t="str">
        <f t="shared" si="6"/>
        <v/>
      </c>
      <c r="F169" s="14" t="str">
        <f t="shared" si="7"/>
        <v/>
      </c>
      <c r="G169" s="13" t="str">
        <f>IF(A169="","",SUMIFS(Base_Porao_Turno!$H:$H,Base_Porao_Turno!$A:$A,A169,Base_Porao_Turno!$E:$E,B169))</f>
        <v/>
      </c>
      <c r="H169" s="13" t="str">
        <f t="shared" si="8"/>
        <v/>
      </c>
    </row>
    <row r="170" spans="1:8" x14ac:dyDescent="0.3">
      <c r="A170" s="6"/>
      <c r="B170" s="6"/>
      <c r="C170" s="8"/>
      <c r="D170" s="13" t="str">
        <f>IF(A170="","",SUMIFS(Base_Porao_Turno!$K:$K,Base_Porao_Turno!$A:$A,A170,Base_Porao_Turno!$E:$E,B170))</f>
        <v/>
      </c>
      <c r="E170" s="13" t="str">
        <f t="shared" si="6"/>
        <v/>
      </c>
      <c r="F170" s="14" t="str">
        <f t="shared" si="7"/>
        <v/>
      </c>
      <c r="G170" s="13" t="str">
        <f>IF(A170="","",SUMIFS(Base_Porao_Turno!$H:$H,Base_Porao_Turno!$A:$A,A170,Base_Porao_Turno!$E:$E,B170))</f>
        <v/>
      </c>
      <c r="H170" s="13" t="str">
        <f t="shared" si="8"/>
        <v/>
      </c>
    </row>
    <row r="171" spans="1:8" x14ac:dyDescent="0.3">
      <c r="A171" s="6"/>
      <c r="B171" s="6"/>
      <c r="C171" s="8"/>
      <c r="D171" s="13" t="str">
        <f>IF(A171="","",SUMIFS(Base_Porao_Turno!$K:$K,Base_Porao_Turno!$A:$A,A171,Base_Porao_Turno!$E:$E,B171))</f>
        <v/>
      </c>
      <c r="E171" s="13" t="str">
        <f t="shared" si="6"/>
        <v/>
      </c>
      <c r="F171" s="14" t="str">
        <f t="shared" si="7"/>
        <v/>
      </c>
      <c r="G171" s="13" t="str">
        <f>IF(A171="","",SUMIFS(Base_Porao_Turno!$H:$H,Base_Porao_Turno!$A:$A,A171,Base_Porao_Turno!$E:$E,B171))</f>
        <v/>
      </c>
      <c r="H171" s="13" t="str">
        <f t="shared" si="8"/>
        <v/>
      </c>
    </row>
    <row r="172" spans="1:8" x14ac:dyDescent="0.3">
      <c r="A172" s="6"/>
      <c r="B172" s="6"/>
      <c r="C172" s="8"/>
      <c r="D172" s="13" t="str">
        <f>IF(A172="","",SUMIFS(Base_Porao_Turno!$K:$K,Base_Porao_Turno!$A:$A,A172,Base_Porao_Turno!$E:$E,B172))</f>
        <v/>
      </c>
      <c r="E172" s="13" t="str">
        <f t="shared" si="6"/>
        <v/>
      </c>
      <c r="F172" s="14" t="str">
        <f t="shared" si="7"/>
        <v/>
      </c>
      <c r="G172" s="13" t="str">
        <f>IF(A172="","",SUMIFS(Base_Porao_Turno!$H:$H,Base_Porao_Turno!$A:$A,A172,Base_Porao_Turno!$E:$E,B172))</f>
        <v/>
      </c>
      <c r="H172" s="13" t="str">
        <f t="shared" si="8"/>
        <v/>
      </c>
    </row>
    <row r="173" spans="1:8" x14ac:dyDescent="0.3">
      <c r="A173" s="6"/>
      <c r="B173" s="6"/>
      <c r="C173" s="8"/>
      <c r="D173" s="13" t="str">
        <f>IF(A173="","",SUMIFS(Base_Porao_Turno!$K:$K,Base_Porao_Turno!$A:$A,A173,Base_Porao_Turno!$E:$E,B173))</f>
        <v/>
      </c>
      <c r="E173" s="13" t="str">
        <f t="shared" si="6"/>
        <v/>
      </c>
      <c r="F173" s="14" t="str">
        <f t="shared" si="7"/>
        <v/>
      </c>
      <c r="G173" s="13" t="str">
        <f>IF(A173="","",SUMIFS(Base_Porao_Turno!$H:$H,Base_Porao_Turno!$A:$A,A173,Base_Porao_Turno!$E:$E,B173))</f>
        <v/>
      </c>
      <c r="H173" s="13" t="str">
        <f t="shared" si="8"/>
        <v/>
      </c>
    </row>
    <row r="174" spans="1:8" x14ac:dyDescent="0.3">
      <c r="A174" s="6"/>
      <c r="B174" s="6"/>
      <c r="C174" s="8"/>
      <c r="D174" s="13" t="str">
        <f>IF(A174="","",SUMIFS(Base_Porao_Turno!$K:$K,Base_Porao_Turno!$A:$A,A174,Base_Porao_Turno!$E:$E,B174))</f>
        <v/>
      </c>
      <c r="E174" s="13" t="str">
        <f t="shared" si="6"/>
        <v/>
      </c>
      <c r="F174" s="14" t="str">
        <f t="shared" si="7"/>
        <v/>
      </c>
      <c r="G174" s="13" t="str">
        <f>IF(A174="","",SUMIFS(Base_Porao_Turno!$H:$H,Base_Porao_Turno!$A:$A,A174,Base_Porao_Turno!$E:$E,B174))</f>
        <v/>
      </c>
      <c r="H174" s="13" t="str">
        <f t="shared" si="8"/>
        <v/>
      </c>
    </row>
    <row r="175" spans="1:8" x14ac:dyDescent="0.3">
      <c r="A175" s="6"/>
      <c r="B175" s="6"/>
      <c r="C175" s="8"/>
      <c r="D175" s="13" t="str">
        <f>IF(A175="","",SUMIFS(Base_Porao_Turno!$K:$K,Base_Porao_Turno!$A:$A,A175,Base_Porao_Turno!$E:$E,B175))</f>
        <v/>
      </c>
      <c r="E175" s="13" t="str">
        <f t="shared" si="6"/>
        <v/>
      </c>
      <c r="F175" s="14" t="str">
        <f t="shared" si="7"/>
        <v/>
      </c>
      <c r="G175" s="13" t="str">
        <f>IF(A175="","",SUMIFS(Base_Porao_Turno!$H:$H,Base_Porao_Turno!$A:$A,A175,Base_Porao_Turno!$E:$E,B175))</f>
        <v/>
      </c>
      <c r="H175" s="13" t="str">
        <f t="shared" si="8"/>
        <v/>
      </c>
    </row>
    <row r="176" spans="1:8" x14ac:dyDescent="0.3">
      <c r="A176" s="6"/>
      <c r="B176" s="6"/>
      <c r="C176" s="8"/>
      <c r="D176" s="13" t="str">
        <f>IF(A176="","",SUMIFS(Base_Porao_Turno!$K:$K,Base_Porao_Turno!$A:$A,A176,Base_Porao_Turno!$E:$E,B176))</f>
        <v/>
      </c>
      <c r="E176" s="13" t="str">
        <f t="shared" si="6"/>
        <v/>
      </c>
      <c r="F176" s="14" t="str">
        <f t="shared" si="7"/>
        <v/>
      </c>
      <c r="G176" s="13" t="str">
        <f>IF(A176="","",SUMIFS(Base_Porao_Turno!$H:$H,Base_Porao_Turno!$A:$A,A176,Base_Porao_Turno!$E:$E,B176))</f>
        <v/>
      </c>
      <c r="H176" s="13" t="str">
        <f t="shared" si="8"/>
        <v/>
      </c>
    </row>
    <row r="177" spans="1:8" x14ac:dyDescent="0.3">
      <c r="A177" s="6"/>
      <c r="B177" s="6"/>
      <c r="C177" s="8"/>
      <c r="D177" s="13" t="str">
        <f>IF(A177="","",SUMIFS(Base_Porao_Turno!$K:$K,Base_Porao_Turno!$A:$A,A177,Base_Porao_Turno!$E:$E,B177))</f>
        <v/>
      </c>
      <c r="E177" s="13" t="str">
        <f t="shared" si="6"/>
        <v/>
      </c>
      <c r="F177" s="14" t="str">
        <f t="shared" si="7"/>
        <v/>
      </c>
      <c r="G177" s="13" t="str">
        <f>IF(A177="","",SUMIFS(Base_Porao_Turno!$H:$H,Base_Porao_Turno!$A:$A,A177,Base_Porao_Turno!$E:$E,B177))</f>
        <v/>
      </c>
      <c r="H177" s="13" t="str">
        <f t="shared" si="8"/>
        <v/>
      </c>
    </row>
    <row r="178" spans="1:8" x14ac:dyDescent="0.3">
      <c r="A178" s="6"/>
      <c r="B178" s="6"/>
      <c r="C178" s="8"/>
      <c r="D178" s="13" t="str">
        <f>IF(A178="","",SUMIFS(Base_Porao_Turno!$K:$K,Base_Porao_Turno!$A:$A,A178,Base_Porao_Turno!$E:$E,B178))</f>
        <v/>
      </c>
      <c r="E178" s="13" t="str">
        <f t="shared" si="6"/>
        <v/>
      </c>
      <c r="F178" s="14" t="str">
        <f t="shared" si="7"/>
        <v/>
      </c>
      <c r="G178" s="13" t="str">
        <f>IF(A178="","",SUMIFS(Base_Porao_Turno!$H:$H,Base_Porao_Turno!$A:$A,A178,Base_Porao_Turno!$E:$E,B178))</f>
        <v/>
      </c>
      <c r="H178" s="13" t="str">
        <f t="shared" si="8"/>
        <v/>
      </c>
    </row>
    <row r="179" spans="1:8" x14ac:dyDescent="0.3">
      <c r="A179" s="6"/>
      <c r="B179" s="6"/>
      <c r="C179" s="8"/>
      <c r="D179" s="13" t="str">
        <f>IF(A179="","",SUMIFS(Base_Porao_Turno!$K:$K,Base_Porao_Turno!$A:$A,A179,Base_Porao_Turno!$E:$E,B179))</f>
        <v/>
      </c>
      <c r="E179" s="13" t="str">
        <f t="shared" si="6"/>
        <v/>
      </c>
      <c r="F179" s="14" t="str">
        <f t="shared" si="7"/>
        <v/>
      </c>
      <c r="G179" s="13" t="str">
        <f>IF(A179="","",SUMIFS(Base_Porao_Turno!$H:$H,Base_Porao_Turno!$A:$A,A179,Base_Porao_Turno!$E:$E,B179))</f>
        <v/>
      </c>
      <c r="H179" s="13" t="str">
        <f t="shared" si="8"/>
        <v/>
      </c>
    </row>
    <row r="180" spans="1:8" x14ac:dyDescent="0.3">
      <c r="A180" s="6"/>
      <c r="B180" s="6"/>
      <c r="C180" s="8"/>
      <c r="D180" s="13" t="str">
        <f>IF(A180="","",SUMIFS(Base_Porao_Turno!$K:$K,Base_Porao_Turno!$A:$A,A180,Base_Porao_Turno!$E:$E,B180))</f>
        <v/>
      </c>
      <c r="E180" s="13" t="str">
        <f t="shared" si="6"/>
        <v/>
      </c>
      <c r="F180" s="14" t="str">
        <f t="shared" si="7"/>
        <v/>
      </c>
      <c r="G180" s="13" t="str">
        <f>IF(A180="","",SUMIFS(Base_Porao_Turno!$H:$H,Base_Porao_Turno!$A:$A,A180,Base_Porao_Turno!$E:$E,B180))</f>
        <v/>
      </c>
      <c r="H180" s="13" t="str">
        <f t="shared" si="8"/>
        <v/>
      </c>
    </row>
    <row r="181" spans="1:8" x14ac:dyDescent="0.3">
      <c r="A181" s="6"/>
      <c r="B181" s="6"/>
      <c r="C181" s="8"/>
      <c r="D181" s="13" t="str">
        <f>IF(A181="","",SUMIFS(Base_Porao_Turno!$K:$K,Base_Porao_Turno!$A:$A,A181,Base_Porao_Turno!$E:$E,B181))</f>
        <v/>
      </c>
      <c r="E181" s="13" t="str">
        <f t="shared" si="6"/>
        <v/>
      </c>
      <c r="F181" s="14" t="str">
        <f t="shared" si="7"/>
        <v/>
      </c>
      <c r="G181" s="13" t="str">
        <f>IF(A181="","",SUMIFS(Base_Porao_Turno!$H:$H,Base_Porao_Turno!$A:$A,A181,Base_Porao_Turno!$E:$E,B181))</f>
        <v/>
      </c>
      <c r="H181" s="13" t="str">
        <f t="shared" si="8"/>
        <v/>
      </c>
    </row>
    <row r="182" spans="1:8" x14ac:dyDescent="0.3">
      <c r="A182" s="6"/>
      <c r="B182" s="6"/>
      <c r="C182" s="8"/>
      <c r="D182" s="13" t="str">
        <f>IF(A182="","",SUMIFS(Base_Porao_Turno!$K:$K,Base_Porao_Turno!$A:$A,A182,Base_Porao_Turno!$E:$E,B182))</f>
        <v/>
      </c>
      <c r="E182" s="13" t="str">
        <f t="shared" si="6"/>
        <v/>
      </c>
      <c r="F182" s="14" t="str">
        <f t="shared" si="7"/>
        <v/>
      </c>
      <c r="G182" s="13" t="str">
        <f>IF(A182="","",SUMIFS(Base_Porao_Turno!$H:$H,Base_Porao_Turno!$A:$A,A182,Base_Porao_Turno!$E:$E,B182))</f>
        <v/>
      </c>
      <c r="H182" s="13" t="str">
        <f t="shared" si="8"/>
        <v/>
      </c>
    </row>
    <row r="183" spans="1:8" x14ac:dyDescent="0.3">
      <c r="A183" s="6"/>
      <c r="B183" s="6"/>
      <c r="C183" s="8"/>
      <c r="D183" s="13" t="str">
        <f>IF(A183="","",SUMIFS(Base_Porao_Turno!$K:$K,Base_Porao_Turno!$A:$A,A183,Base_Porao_Turno!$E:$E,B183))</f>
        <v/>
      </c>
      <c r="E183" s="13" t="str">
        <f t="shared" si="6"/>
        <v/>
      </c>
      <c r="F183" s="14" t="str">
        <f t="shared" si="7"/>
        <v/>
      </c>
      <c r="G183" s="13" t="str">
        <f>IF(A183="","",SUMIFS(Base_Porao_Turno!$H:$H,Base_Porao_Turno!$A:$A,A183,Base_Porao_Turno!$E:$E,B183))</f>
        <v/>
      </c>
      <c r="H183" s="13" t="str">
        <f t="shared" si="8"/>
        <v/>
      </c>
    </row>
    <row r="184" spans="1:8" x14ac:dyDescent="0.3">
      <c r="A184" s="6"/>
      <c r="B184" s="6"/>
      <c r="C184" s="8"/>
      <c r="D184" s="13" t="str">
        <f>IF(A184="","",SUMIFS(Base_Porao_Turno!$K:$K,Base_Porao_Turno!$A:$A,A184,Base_Porao_Turno!$E:$E,B184))</f>
        <v/>
      </c>
      <c r="E184" s="13" t="str">
        <f t="shared" si="6"/>
        <v/>
      </c>
      <c r="F184" s="14" t="str">
        <f t="shared" si="7"/>
        <v/>
      </c>
      <c r="G184" s="13" t="str">
        <f>IF(A184="","",SUMIFS(Base_Porao_Turno!$H:$H,Base_Porao_Turno!$A:$A,A184,Base_Porao_Turno!$E:$E,B184))</f>
        <v/>
      </c>
      <c r="H184" s="13" t="str">
        <f t="shared" si="8"/>
        <v/>
      </c>
    </row>
    <row r="185" spans="1:8" x14ac:dyDescent="0.3">
      <c r="A185" s="6"/>
      <c r="B185" s="6"/>
      <c r="C185" s="8"/>
      <c r="D185" s="13" t="str">
        <f>IF(A185="","",SUMIFS(Base_Porao_Turno!$K:$K,Base_Porao_Turno!$A:$A,A185,Base_Porao_Turno!$E:$E,B185))</f>
        <v/>
      </c>
      <c r="E185" s="13" t="str">
        <f t="shared" si="6"/>
        <v/>
      </c>
      <c r="F185" s="14" t="str">
        <f t="shared" si="7"/>
        <v/>
      </c>
      <c r="G185" s="13" t="str">
        <f>IF(A185="","",SUMIFS(Base_Porao_Turno!$H:$H,Base_Porao_Turno!$A:$A,A185,Base_Porao_Turno!$E:$E,B185))</f>
        <v/>
      </c>
      <c r="H185" s="13" t="str">
        <f t="shared" si="8"/>
        <v/>
      </c>
    </row>
    <row r="186" spans="1:8" x14ac:dyDescent="0.3">
      <c r="A186" s="6"/>
      <c r="B186" s="6"/>
      <c r="C186" s="8"/>
      <c r="D186" s="13" t="str">
        <f>IF(A186="","",SUMIFS(Base_Porao_Turno!$K:$K,Base_Porao_Turno!$A:$A,A186,Base_Porao_Turno!$E:$E,B186))</f>
        <v/>
      </c>
      <c r="E186" s="13" t="str">
        <f t="shared" si="6"/>
        <v/>
      </c>
      <c r="F186" s="14" t="str">
        <f t="shared" si="7"/>
        <v/>
      </c>
      <c r="G186" s="13" t="str">
        <f>IF(A186="","",SUMIFS(Base_Porao_Turno!$H:$H,Base_Porao_Turno!$A:$A,A186,Base_Porao_Turno!$E:$E,B186))</f>
        <v/>
      </c>
      <c r="H186" s="13" t="str">
        <f t="shared" si="8"/>
        <v/>
      </c>
    </row>
    <row r="187" spans="1:8" x14ac:dyDescent="0.3">
      <c r="A187" s="6"/>
      <c r="B187" s="6"/>
      <c r="C187" s="8"/>
      <c r="D187" s="13" t="str">
        <f>IF(A187="","",SUMIFS(Base_Porao_Turno!$K:$K,Base_Porao_Turno!$A:$A,A187,Base_Porao_Turno!$E:$E,B187))</f>
        <v/>
      </c>
      <c r="E187" s="13" t="str">
        <f t="shared" si="6"/>
        <v/>
      </c>
      <c r="F187" s="14" t="str">
        <f t="shared" si="7"/>
        <v/>
      </c>
      <c r="G187" s="13" t="str">
        <f>IF(A187="","",SUMIFS(Base_Porao_Turno!$H:$H,Base_Porao_Turno!$A:$A,A187,Base_Porao_Turno!$E:$E,B187))</f>
        <v/>
      </c>
      <c r="H187" s="13" t="str">
        <f t="shared" si="8"/>
        <v/>
      </c>
    </row>
    <row r="188" spans="1:8" x14ac:dyDescent="0.3">
      <c r="A188" s="6"/>
      <c r="B188" s="6"/>
      <c r="C188" s="8"/>
      <c r="D188" s="13" t="str">
        <f>IF(A188="","",SUMIFS(Base_Porao_Turno!$K:$K,Base_Porao_Turno!$A:$A,A188,Base_Porao_Turno!$E:$E,B188))</f>
        <v/>
      </c>
      <c r="E188" s="13" t="str">
        <f t="shared" si="6"/>
        <v/>
      </c>
      <c r="F188" s="14" t="str">
        <f t="shared" si="7"/>
        <v/>
      </c>
      <c r="G188" s="13" t="str">
        <f>IF(A188="","",SUMIFS(Base_Porao_Turno!$H:$H,Base_Porao_Turno!$A:$A,A188,Base_Porao_Turno!$E:$E,B188))</f>
        <v/>
      </c>
      <c r="H188" s="13" t="str">
        <f t="shared" si="8"/>
        <v/>
      </c>
    </row>
    <row r="189" spans="1:8" x14ac:dyDescent="0.3">
      <c r="A189" s="6"/>
      <c r="B189" s="6"/>
      <c r="C189" s="8"/>
      <c r="D189" s="13" t="str">
        <f>IF(A189="","",SUMIFS(Base_Porao_Turno!$K:$K,Base_Porao_Turno!$A:$A,A189,Base_Porao_Turno!$E:$E,B189))</f>
        <v/>
      </c>
      <c r="E189" s="13" t="str">
        <f t="shared" si="6"/>
        <v/>
      </c>
      <c r="F189" s="14" t="str">
        <f t="shared" si="7"/>
        <v/>
      </c>
      <c r="G189" s="13" t="str">
        <f>IF(A189="","",SUMIFS(Base_Porao_Turno!$H:$H,Base_Porao_Turno!$A:$A,A189,Base_Porao_Turno!$E:$E,B189))</f>
        <v/>
      </c>
      <c r="H189" s="13" t="str">
        <f t="shared" si="8"/>
        <v/>
      </c>
    </row>
    <row r="190" spans="1:8" x14ac:dyDescent="0.3">
      <c r="A190" s="6"/>
      <c r="B190" s="6"/>
      <c r="C190" s="8"/>
      <c r="D190" s="13" t="str">
        <f>IF(A190="","",SUMIFS(Base_Porao_Turno!$K:$K,Base_Porao_Turno!$A:$A,A190,Base_Porao_Turno!$E:$E,B190))</f>
        <v/>
      </c>
      <c r="E190" s="13" t="str">
        <f t="shared" si="6"/>
        <v/>
      </c>
      <c r="F190" s="14" t="str">
        <f t="shared" si="7"/>
        <v/>
      </c>
      <c r="G190" s="13" t="str">
        <f>IF(A190="","",SUMIFS(Base_Porao_Turno!$H:$H,Base_Porao_Turno!$A:$A,A190,Base_Porao_Turno!$E:$E,B190))</f>
        <v/>
      </c>
      <c r="H190" s="13" t="str">
        <f t="shared" si="8"/>
        <v/>
      </c>
    </row>
    <row r="191" spans="1:8" x14ac:dyDescent="0.3">
      <c r="A191" s="6"/>
      <c r="B191" s="6"/>
      <c r="C191" s="8"/>
      <c r="D191" s="13" t="str">
        <f>IF(A191="","",SUMIFS(Base_Porao_Turno!$K:$K,Base_Porao_Turno!$A:$A,A191,Base_Porao_Turno!$E:$E,B191))</f>
        <v/>
      </c>
      <c r="E191" s="13" t="str">
        <f t="shared" si="6"/>
        <v/>
      </c>
      <c r="F191" s="14" t="str">
        <f t="shared" si="7"/>
        <v/>
      </c>
      <c r="G191" s="13" t="str">
        <f>IF(A191="","",SUMIFS(Base_Porao_Turno!$H:$H,Base_Porao_Turno!$A:$A,A191,Base_Porao_Turno!$E:$E,B191))</f>
        <v/>
      </c>
      <c r="H191" s="13" t="str">
        <f t="shared" si="8"/>
        <v/>
      </c>
    </row>
    <row r="192" spans="1:8" x14ac:dyDescent="0.3">
      <c r="A192" s="6"/>
      <c r="B192" s="6"/>
      <c r="C192" s="8"/>
      <c r="D192" s="13" t="str">
        <f>IF(A192="","",SUMIFS(Base_Porao_Turno!$K:$K,Base_Porao_Turno!$A:$A,A192,Base_Porao_Turno!$E:$E,B192))</f>
        <v/>
      </c>
      <c r="E192" s="13" t="str">
        <f t="shared" si="6"/>
        <v/>
      </c>
      <c r="F192" s="14" t="str">
        <f t="shared" si="7"/>
        <v/>
      </c>
      <c r="G192" s="13" t="str">
        <f>IF(A192="","",SUMIFS(Base_Porao_Turno!$H:$H,Base_Porao_Turno!$A:$A,A192,Base_Porao_Turno!$E:$E,B192))</f>
        <v/>
      </c>
      <c r="H192" s="13" t="str">
        <f t="shared" si="8"/>
        <v/>
      </c>
    </row>
    <row r="193" spans="1:8" x14ac:dyDescent="0.3">
      <c r="A193" s="6"/>
      <c r="B193" s="6"/>
      <c r="C193" s="8"/>
      <c r="D193" s="13" t="str">
        <f>IF(A193="","",SUMIFS(Base_Porao_Turno!$K:$K,Base_Porao_Turno!$A:$A,A193,Base_Porao_Turno!$E:$E,B193))</f>
        <v/>
      </c>
      <c r="E193" s="13" t="str">
        <f t="shared" si="6"/>
        <v/>
      </c>
      <c r="F193" s="14" t="str">
        <f t="shared" si="7"/>
        <v/>
      </c>
      <c r="G193" s="13" t="str">
        <f>IF(A193="","",SUMIFS(Base_Porao_Turno!$H:$H,Base_Porao_Turno!$A:$A,A193,Base_Porao_Turno!$E:$E,B193))</f>
        <v/>
      </c>
      <c r="H193" s="13" t="str">
        <f t="shared" si="8"/>
        <v/>
      </c>
    </row>
    <row r="194" spans="1:8" x14ac:dyDescent="0.3">
      <c r="A194" s="6"/>
      <c r="B194" s="6"/>
      <c r="C194" s="8"/>
      <c r="D194" s="13" t="str">
        <f>IF(A194="","",SUMIFS(Base_Porao_Turno!$K:$K,Base_Porao_Turno!$A:$A,A194,Base_Porao_Turno!$E:$E,B194))</f>
        <v/>
      </c>
      <c r="E194" s="13" t="str">
        <f t="shared" ref="E194:E257" si="9">IF(OR(C194="",D194=""),"",C194-D194)</f>
        <v/>
      </c>
      <c r="F194" s="14" t="str">
        <f t="shared" ref="F194:F257" si="10">IFERROR(D194/C194,"")</f>
        <v/>
      </c>
      <c r="G194" s="13" t="str">
        <f>IF(A194="","",SUMIFS(Base_Porao_Turno!$H:$H,Base_Porao_Turno!$A:$A,A194,Base_Porao_Turno!$E:$E,B194))</f>
        <v/>
      </c>
      <c r="H194" s="13" t="str">
        <f t="shared" ref="H194:H257" si="11">IFERROR(D194/G194,"")</f>
        <v/>
      </c>
    </row>
    <row r="195" spans="1:8" x14ac:dyDescent="0.3">
      <c r="A195" s="6"/>
      <c r="B195" s="6"/>
      <c r="C195" s="8"/>
      <c r="D195" s="13" t="str">
        <f>IF(A195="","",SUMIFS(Base_Porao_Turno!$K:$K,Base_Porao_Turno!$A:$A,A195,Base_Porao_Turno!$E:$E,B195))</f>
        <v/>
      </c>
      <c r="E195" s="13" t="str">
        <f t="shared" si="9"/>
        <v/>
      </c>
      <c r="F195" s="14" t="str">
        <f t="shared" si="10"/>
        <v/>
      </c>
      <c r="G195" s="13" t="str">
        <f>IF(A195="","",SUMIFS(Base_Porao_Turno!$H:$H,Base_Porao_Turno!$A:$A,A195,Base_Porao_Turno!$E:$E,B195))</f>
        <v/>
      </c>
      <c r="H195" s="13" t="str">
        <f t="shared" si="11"/>
        <v/>
      </c>
    </row>
    <row r="196" spans="1:8" x14ac:dyDescent="0.3">
      <c r="A196" s="6"/>
      <c r="B196" s="6"/>
      <c r="C196" s="8"/>
      <c r="D196" s="13" t="str">
        <f>IF(A196="","",SUMIFS(Base_Porao_Turno!$K:$K,Base_Porao_Turno!$A:$A,A196,Base_Porao_Turno!$E:$E,B196))</f>
        <v/>
      </c>
      <c r="E196" s="13" t="str">
        <f t="shared" si="9"/>
        <v/>
      </c>
      <c r="F196" s="14" t="str">
        <f t="shared" si="10"/>
        <v/>
      </c>
      <c r="G196" s="13" t="str">
        <f>IF(A196="","",SUMIFS(Base_Porao_Turno!$H:$H,Base_Porao_Turno!$A:$A,A196,Base_Porao_Turno!$E:$E,B196))</f>
        <v/>
      </c>
      <c r="H196" s="13" t="str">
        <f t="shared" si="11"/>
        <v/>
      </c>
    </row>
    <row r="197" spans="1:8" x14ac:dyDescent="0.3">
      <c r="A197" s="6"/>
      <c r="B197" s="6"/>
      <c r="C197" s="8"/>
      <c r="D197" s="13" t="str">
        <f>IF(A197="","",SUMIFS(Base_Porao_Turno!$K:$K,Base_Porao_Turno!$A:$A,A197,Base_Porao_Turno!$E:$E,B197))</f>
        <v/>
      </c>
      <c r="E197" s="13" t="str">
        <f t="shared" si="9"/>
        <v/>
      </c>
      <c r="F197" s="14" t="str">
        <f t="shared" si="10"/>
        <v/>
      </c>
      <c r="G197" s="13" t="str">
        <f>IF(A197="","",SUMIFS(Base_Porao_Turno!$H:$H,Base_Porao_Turno!$A:$A,A197,Base_Porao_Turno!$E:$E,B197))</f>
        <v/>
      </c>
      <c r="H197" s="13" t="str">
        <f t="shared" si="11"/>
        <v/>
      </c>
    </row>
    <row r="198" spans="1:8" x14ac:dyDescent="0.3">
      <c r="A198" s="6"/>
      <c r="B198" s="6"/>
      <c r="C198" s="8"/>
      <c r="D198" s="13" t="str">
        <f>IF(A198="","",SUMIFS(Base_Porao_Turno!$K:$K,Base_Porao_Turno!$A:$A,A198,Base_Porao_Turno!$E:$E,B198))</f>
        <v/>
      </c>
      <c r="E198" s="13" t="str">
        <f t="shared" si="9"/>
        <v/>
      </c>
      <c r="F198" s="14" t="str">
        <f t="shared" si="10"/>
        <v/>
      </c>
      <c r="G198" s="13" t="str">
        <f>IF(A198="","",SUMIFS(Base_Porao_Turno!$H:$H,Base_Porao_Turno!$A:$A,A198,Base_Porao_Turno!$E:$E,B198))</f>
        <v/>
      </c>
      <c r="H198" s="13" t="str">
        <f t="shared" si="11"/>
        <v/>
      </c>
    </row>
    <row r="199" spans="1:8" x14ac:dyDescent="0.3">
      <c r="A199" s="6"/>
      <c r="B199" s="6"/>
      <c r="C199" s="8"/>
      <c r="D199" s="13" t="str">
        <f>IF(A199="","",SUMIFS(Base_Porao_Turno!$K:$K,Base_Porao_Turno!$A:$A,A199,Base_Porao_Turno!$E:$E,B199))</f>
        <v/>
      </c>
      <c r="E199" s="13" t="str">
        <f t="shared" si="9"/>
        <v/>
      </c>
      <c r="F199" s="14" t="str">
        <f t="shared" si="10"/>
        <v/>
      </c>
      <c r="G199" s="13" t="str">
        <f>IF(A199="","",SUMIFS(Base_Porao_Turno!$H:$H,Base_Porao_Turno!$A:$A,A199,Base_Porao_Turno!$E:$E,B199))</f>
        <v/>
      </c>
      <c r="H199" s="13" t="str">
        <f t="shared" si="11"/>
        <v/>
      </c>
    </row>
    <row r="200" spans="1:8" x14ac:dyDescent="0.3">
      <c r="A200" s="6"/>
      <c r="B200" s="6"/>
      <c r="C200" s="8"/>
      <c r="D200" s="13" t="str">
        <f>IF(A200="","",SUMIFS(Base_Porao_Turno!$K:$K,Base_Porao_Turno!$A:$A,A200,Base_Porao_Turno!$E:$E,B200))</f>
        <v/>
      </c>
      <c r="E200" s="13" t="str">
        <f t="shared" si="9"/>
        <v/>
      </c>
      <c r="F200" s="14" t="str">
        <f t="shared" si="10"/>
        <v/>
      </c>
      <c r="G200" s="13" t="str">
        <f>IF(A200="","",SUMIFS(Base_Porao_Turno!$H:$H,Base_Porao_Turno!$A:$A,A200,Base_Porao_Turno!$E:$E,B200))</f>
        <v/>
      </c>
      <c r="H200" s="13" t="str">
        <f t="shared" si="11"/>
        <v/>
      </c>
    </row>
    <row r="201" spans="1:8" x14ac:dyDescent="0.3">
      <c r="A201" s="6"/>
      <c r="B201" s="6"/>
      <c r="C201" s="8"/>
      <c r="D201" s="13" t="str">
        <f>IF(A201="","",SUMIFS(Base_Porao_Turno!$K:$K,Base_Porao_Turno!$A:$A,A201,Base_Porao_Turno!$E:$E,B201))</f>
        <v/>
      </c>
      <c r="E201" s="13" t="str">
        <f t="shared" si="9"/>
        <v/>
      </c>
      <c r="F201" s="14" t="str">
        <f t="shared" si="10"/>
        <v/>
      </c>
      <c r="G201" s="13" t="str">
        <f>IF(A201="","",SUMIFS(Base_Porao_Turno!$H:$H,Base_Porao_Turno!$A:$A,A201,Base_Porao_Turno!$E:$E,B201))</f>
        <v/>
      </c>
      <c r="H201" s="13" t="str">
        <f t="shared" si="11"/>
        <v/>
      </c>
    </row>
    <row r="202" spans="1:8" x14ac:dyDescent="0.3">
      <c r="A202" s="6"/>
      <c r="B202" s="6"/>
      <c r="C202" s="8"/>
      <c r="D202" s="13" t="str">
        <f>IF(A202="","",SUMIFS(Base_Porao_Turno!$K:$K,Base_Porao_Turno!$A:$A,A202,Base_Porao_Turno!$E:$E,B202))</f>
        <v/>
      </c>
      <c r="E202" s="13" t="str">
        <f t="shared" si="9"/>
        <v/>
      </c>
      <c r="F202" s="14" t="str">
        <f t="shared" si="10"/>
        <v/>
      </c>
      <c r="G202" s="13" t="str">
        <f>IF(A202="","",SUMIFS(Base_Porao_Turno!$H:$H,Base_Porao_Turno!$A:$A,A202,Base_Porao_Turno!$E:$E,B202))</f>
        <v/>
      </c>
      <c r="H202" s="13" t="str">
        <f t="shared" si="11"/>
        <v/>
      </c>
    </row>
    <row r="203" spans="1:8" x14ac:dyDescent="0.3">
      <c r="A203" s="6"/>
      <c r="B203" s="6"/>
      <c r="C203" s="8"/>
      <c r="D203" s="13" t="str">
        <f>IF(A203="","",SUMIFS(Base_Porao_Turno!$K:$K,Base_Porao_Turno!$A:$A,A203,Base_Porao_Turno!$E:$E,B203))</f>
        <v/>
      </c>
      <c r="E203" s="13" t="str">
        <f t="shared" si="9"/>
        <v/>
      </c>
      <c r="F203" s="14" t="str">
        <f t="shared" si="10"/>
        <v/>
      </c>
      <c r="G203" s="13" t="str">
        <f>IF(A203="","",SUMIFS(Base_Porao_Turno!$H:$H,Base_Porao_Turno!$A:$A,A203,Base_Porao_Turno!$E:$E,B203))</f>
        <v/>
      </c>
      <c r="H203" s="13" t="str">
        <f t="shared" si="11"/>
        <v/>
      </c>
    </row>
    <row r="204" spans="1:8" x14ac:dyDescent="0.3">
      <c r="A204" s="6"/>
      <c r="B204" s="6"/>
      <c r="C204" s="8"/>
      <c r="D204" s="13" t="str">
        <f>IF(A204="","",SUMIFS(Base_Porao_Turno!$K:$K,Base_Porao_Turno!$A:$A,A204,Base_Porao_Turno!$E:$E,B204))</f>
        <v/>
      </c>
      <c r="E204" s="13" t="str">
        <f t="shared" si="9"/>
        <v/>
      </c>
      <c r="F204" s="14" t="str">
        <f t="shared" si="10"/>
        <v/>
      </c>
      <c r="G204" s="13" t="str">
        <f>IF(A204="","",SUMIFS(Base_Porao_Turno!$H:$H,Base_Porao_Turno!$A:$A,A204,Base_Porao_Turno!$E:$E,B204))</f>
        <v/>
      </c>
      <c r="H204" s="13" t="str">
        <f t="shared" si="11"/>
        <v/>
      </c>
    </row>
    <row r="205" spans="1:8" x14ac:dyDescent="0.3">
      <c r="A205" s="6"/>
      <c r="B205" s="6"/>
      <c r="C205" s="8"/>
      <c r="D205" s="13" t="str">
        <f>IF(A205="","",SUMIFS(Base_Porao_Turno!$K:$K,Base_Porao_Turno!$A:$A,A205,Base_Porao_Turno!$E:$E,B205))</f>
        <v/>
      </c>
      <c r="E205" s="13" t="str">
        <f t="shared" si="9"/>
        <v/>
      </c>
      <c r="F205" s="14" t="str">
        <f t="shared" si="10"/>
        <v/>
      </c>
      <c r="G205" s="13" t="str">
        <f>IF(A205="","",SUMIFS(Base_Porao_Turno!$H:$H,Base_Porao_Turno!$A:$A,A205,Base_Porao_Turno!$E:$E,B205))</f>
        <v/>
      </c>
      <c r="H205" s="13" t="str">
        <f t="shared" si="11"/>
        <v/>
      </c>
    </row>
    <row r="206" spans="1:8" x14ac:dyDescent="0.3">
      <c r="A206" s="6"/>
      <c r="B206" s="6"/>
      <c r="C206" s="8"/>
      <c r="D206" s="13" t="str">
        <f>IF(A206="","",SUMIFS(Base_Porao_Turno!$K:$K,Base_Porao_Turno!$A:$A,A206,Base_Porao_Turno!$E:$E,B206))</f>
        <v/>
      </c>
      <c r="E206" s="13" t="str">
        <f t="shared" si="9"/>
        <v/>
      </c>
      <c r="F206" s="14" t="str">
        <f t="shared" si="10"/>
        <v/>
      </c>
      <c r="G206" s="13" t="str">
        <f>IF(A206="","",SUMIFS(Base_Porao_Turno!$H:$H,Base_Porao_Turno!$A:$A,A206,Base_Porao_Turno!$E:$E,B206))</f>
        <v/>
      </c>
      <c r="H206" s="13" t="str">
        <f t="shared" si="11"/>
        <v/>
      </c>
    </row>
    <row r="207" spans="1:8" x14ac:dyDescent="0.3">
      <c r="A207" s="6"/>
      <c r="B207" s="6"/>
      <c r="C207" s="8"/>
      <c r="D207" s="13" t="str">
        <f>IF(A207="","",SUMIFS(Base_Porao_Turno!$K:$K,Base_Porao_Turno!$A:$A,A207,Base_Porao_Turno!$E:$E,B207))</f>
        <v/>
      </c>
      <c r="E207" s="13" t="str">
        <f t="shared" si="9"/>
        <v/>
      </c>
      <c r="F207" s="14" t="str">
        <f t="shared" si="10"/>
        <v/>
      </c>
      <c r="G207" s="13" t="str">
        <f>IF(A207="","",SUMIFS(Base_Porao_Turno!$H:$H,Base_Porao_Turno!$A:$A,A207,Base_Porao_Turno!$E:$E,B207))</f>
        <v/>
      </c>
      <c r="H207" s="13" t="str">
        <f t="shared" si="11"/>
        <v/>
      </c>
    </row>
    <row r="208" spans="1:8" x14ac:dyDescent="0.3">
      <c r="A208" s="6"/>
      <c r="B208" s="6"/>
      <c r="C208" s="8"/>
      <c r="D208" s="13" t="str">
        <f>IF(A208="","",SUMIFS(Base_Porao_Turno!$K:$K,Base_Porao_Turno!$A:$A,A208,Base_Porao_Turno!$E:$E,B208))</f>
        <v/>
      </c>
      <c r="E208" s="13" t="str">
        <f t="shared" si="9"/>
        <v/>
      </c>
      <c r="F208" s="14" t="str">
        <f t="shared" si="10"/>
        <v/>
      </c>
      <c r="G208" s="13" t="str">
        <f>IF(A208="","",SUMIFS(Base_Porao_Turno!$H:$H,Base_Porao_Turno!$A:$A,A208,Base_Porao_Turno!$E:$E,B208))</f>
        <v/>
      </c>
      <c r="H208" s="13" t="str">
        <f t="shared" si="11"/>
        <v/>
      </c>
    </row>
    <row r="209" spans="1:8" x14ac:dyDescent="0.3">
      <c r="A209" s="6"/>
      <c r="B209" s="6"/>
      <c r="C209" s="8"/>
      <c r="D209" s="13" t="str">
        <f>IF(A209="","",SUMIFS(Base_Porao_Turno!$K:$K,Base_Porao_Turno!$A:$A,A209,Base_Porao_Turno!$E:$E,B209))</f>
        <v/>
      </c>
      <c r="E209" s="13" t="str">
        <f t="shared" si="9"/>
        <v/>
      </c>
      <c r="F209" s="14" t="str">
        <f t="shared" si="10"/>
        <v/>
      </c>
      <c r="G209" s="13" t="str">
        <f>IF(A209="","",SUMIFS(Base_Porao_Turno!$H:$H,Base_Porao_Turno!$A:$A,A209,Base_Porao_Turno!$E:$E,B209))</f>
        <v/>
      </c>
      <c r="H209" s="13" t="str">
        <f t="shared" si="11"/>
        <v/>
      </c>
    </row>
    <row r="210" spans="1:8" x14ac:dyDescent="0.3">
      <c r="A210" s="6"/>
      <c r="B210" s="6"/>
      <c r="C210" s="8"/>
      <c r="D210" s="13" t="str">
        <f>IF(A210="","",SUMIFS(Base_Porao_Turno!$K:$K,Base_Porao_Turno!$A:$A,A210,Base_Porao_Turno!$E:$E,B210))</f>
        <v/>
      </c>
      <c r="E210" s="13" t="str">
        <f t="shared" si="9"/>
        <v/>
      </c>
      <c r="F210" s="14" t="str">
        <f t="shared" si="10"/>
        <v/>
      </c>
      <c r="G210" s="13" t="str">
        <f>IF(A210="","",SUMIFS(Base_Porao_Turno!$H:$H,Base_Porao_Turno!$A:$A,A210,Base_Porao_Turno!$E:$E,B210))</f>
        <v/>
      </c>
      <c r="H210" s="13" t="str">
        <f t="shared" si="11"/>
        <v/>
      </c>
    </row>
    <row r="211" spans="1:8" x14ac:dyDescent="0.3">
      <c r="A211" s="6"/>
      <c r="B211" s="6"/>
      <c r="C211" s="8"/>
      <c r="D211" s="13" t="str">
        <f>IF(A211="","",SUMIFS(Base_Porao_Turno!$K:$K,Base_Porao_Turno!$A:$A,A211,Base_Porao_Turno!$E:$E,B211))</f>
        <v/>
      </c>
      <c r="E211" s="13" t="str">
        <f t="shared" si="9"/>
        <v/>
      </c>
      <c r="F211" s="14" t="str">
        <f t="shared" si="10"/>
        <v/>
      </c>
      <c r="G211" s="13" t="str">
        <f>IF(A211="","",SUMIFS(Base_Porao_Turno!$H:$H,Base_Porao_Turno!$A:$A,A211,Base_Porao_Turno!$E:$E,B211))</f>
        <v/>
      </c>
      <c r="H211" s="13" t="str">
        <f t="shared" si="11"/>
        <v/>
      </c>
    </row>
    <row r="212" spans="1:8" x14ac:dyDescent="0.3">
      <c r="A212" s="6"/>
      <c r="B212" s="6"/>
      <c r="C212" s="8"/>
      <c r="D212" s="13" t="str">
        <f>IF(A212="","",SUMIFS(Base_Porao_Turno!$K:$K,Base_Porao_Turno!$A:$A,A212,Base_Porao_Turno!$E:$E,B212))</f>
        <v/>
      </c>
      <c r="E212" s="13" t="str">
        <f t="shared" si="9"/>
        <v/>
      </c>
      <c r="F212" s="14" t="str">
        <f t="shared" si="10"/>
        <v/>
      </c>
      <c r="G212" s="13" t="str">
        <f>IF(A212="","",SUMIFS(Base_Porao_Turno!$H:$H,Base_Porao_Turno!$A:$A,A212,Base_Porao_Turno!$E:$E,B212))</f>
        <v/>
      </c>
      <c r="H212" s="13" t="str">
        <f t="shared" si="11"/>
        <v/>
      </c>
    </row>
    <row r="213" spans="1:8" x14ac:dyDescent="0.3">
      <c r="A213" s="6"/>
      <c r="B213" s="6"/>
      <c r="C213" s="8"/>
      <c r="D213" s="13" t="str">
        <f>IF(A213="","",SUMIFS(Base_Porao_Turno!$K:$K,Base_Porao_Turno!$A:$A,A213,Base_Porao_Turno!$E:$E,B213))</f>
        <v/>
      </c>
      <c r="E213" s="13" t="str">
        <f t="shared" si="9"/>
        <v/>
      </c>
      <c r="F213" s="14" t="str">
        <f t="shared" si="10"/>
        <v/>
      </c>
      <c r="G213" s="13" t="str">
        <f>IF(A213="","",SUMIFS(Base_Porao_Turno!$H:$H,Base_Porao_Turno!$A:$A,A213,Base_Porao_Turno!$E:$E,B213))</f>
        <v/>
      </c>
      <c r="H213" s="13" t="str">
        <f t="shared" si="11"/>
        <v/>
      </c>
    </row>
    <row r="214" spans="1:8" x14ac:dyDescent="0.3">
      <c r="A214" s="6"/>
      <c r="B214" s="6"/>
      <c r="C214" s="8"/>
      <c r="D214" s="13" t="str">
        <f>IF(A214="","",SUMIFS(Base_Porao_Turno!$K:$K,Base_Porao_Turno!$A:$A,A214,Base_Porao_Turno!$E:$E,B214))</f>
        <v/>
      </c>
      <c r="E214" s="13" t="str">
        <f t="shared" si="9"/>
        <v/>
      </c>
      <c r="F214" s="14" t="str">
        <f t="shared" si="10"/>
        <v/>
      </c>
      <c r="G214" s="13" t="str">
        <f>IF(A214="","",SUMIFS(Base_Porao_Turno!$H:$H,Base_Porao_Turno!$A:$A,A214,Base_Porao_Turno!$E:$E,B214))</f>
        <v/>
      </c>
      <c r="H214" s="13" t="str">
        <f t="shared" si="11"/>
        <v/>
      </c>
    </row>
    <row r="215" spans="1:8" x14ac:dyDescent="0.3">
      <c r="A215" s="6"/>
      <c r="B215" s="6"/>
      <c r="C215" s="8"/>
      <c r="D215" s="13" t="str">
        <f>IF(A215="","",SUMIFS(Base_Porao_Turno!$K:$K,Base_Porao_Turno!$A:$A,A215,Base_Porao_Turno!$E:$E,B215))</f>
        <v/>
      </c>
      <c r="E215" s="13" t="str">
        <f t="shared" si="9"/>
        <v/>
      </c>
      <c r="F215" s="14" t="str">
        <f t="shared" si="10"/>
        <v/>
      </c>
      <c r="G215" s="13" t="str">
        <f>IF(A215="","",SUMIFS(Base_Porao_Turno!$H:$H,Base_Porao_Turno!$A:$A,A215,Base_Porao_Turno!$E:$E,B215))</f>
        <v/>
      </c>
      <c r="H215" s="13" t="str">
        <f t="shared" si="11"/>
        <v/>
      </c>
    </row>
    <row r="216" spans="1:8" x14ac:dyDescent="0.3">
      <c r="A216" s="6"/>
      <c r="B216" s="6"/>
      <c r="C216" s="8"/>
      <c r="D216" s="13" t="str">
        <f>IF(A216="","",SUMIFS(Base_Porao_Turno!$K:$K,Base_Porao_Turno!$A:$A,A216,Base_Porao_Turno!$E:$E,B216))</f>
        <v/>
      </c>
      <c r="E216" s="13" t="str">
        <f t="shared" si="9"/>
        <v/>
      </c>
      <c r="F216" s="14" t="str">
        <f t="shared" si="10"/>
        <v/>
      </c>
      <c r="G216" s="13" t="str">
        <f>IF(A216="","",SUMIFS(Base_Porao_Turno!$H:$H,Base_Porao_Turno!$A:$A,A216,Base_Porao_Turno!$E:$E,B216))</f>
        <v/>
      </c>
      <c r="H216" s="13" t="str">
        <f t="shared" si="11"/>
        <v/>
      </c>
    </row>
    <row r="217" spans="1:8" x14ac:dyDescent="0.3">
      <c r="A217" s="6"/>
      <c r="B217" s="6"/>
      <c r="C217" s="8"/>
      <c r="D217" s="13" t="str">
        <f>IF(A217="","",SUMIFS(Base_Porao_Turno!$K:$K,Base_Porao_Turno!$A:$A,A217,Base_Porao_Turno!$E:$E,B217))</f>
        <v/>
      </c>
      <c r="E217" s="13" t="str">
        <f t="shared" si="9"/>
        <v/>
      </c>
      <c r="F217" s="14" t="str">
        <f t="shared" si="10"/>
        <v/>
      </c>
      <c r="G217" s="13" t="str">
        <f>IF(A217="","",SUMIFS(Base_Porao_Turno!$H:$H,Base_Porao_Turno!$A:$A,A217,Base_Porao_Turno!$E:$E,B217))</f>
        <v/>
      </c>
      <c r="H217" s="13" t="str">
        <f t="shared" si="11"/>
        <v/>
      </c>
    </row>
    <row r="218" spans="1:8" x14ac:dyDescent="0.3">
      <c r="A218" s="6"/>
      <c r="B218" s="6"/>
      <c r="C218" s="8"/>
      <c r="D218" s="13" t="str">
        <f>IF(A218="","",SUMIFS(Base_Porao_Turno!$K:$K,Base_Porao_Turno!$A:$A,A218,Base_Porao_Turno!$E:$E,B218))</f>
        <v/>
      </c>
      <c r="E218" s="13" t="str">
        <f t="shared" si="9"/>
        <v/>
      </c>
      <c r="F218" s="14" t="str">
        <f t="shared" si="10"/>
        <v/>
      </c>
      <c r="G218" s="13" t="str">
        <f>IF(A218="","",SUMIFS(Base_Porao_Turno!$H:$H,Base_Porao_Turno!$A:$A,A218,Base_Porao_Turno!$E:$E,B218))</f>
        <v/>
      </c>
      <c r="H218" s="13" t="str">
        <f t="shared" si="11"/>
        <v/>
      </c>
    </row>
    <row r="219" spans="1:8" x14ac:dyDescent="0.3">
      <c r="A219" s="6"/>
      <c r="B219" s="6"/>
      <c r="C219" s="8"/>
      <c r="D219" s="13" t="str">
        <f>IF(A219="","",SUMIFS(Base_Porao_Turno!$K:$K,Base_Porao_Turno!$A:$A,A219,Base_Porao_Turno!$E:$E,B219))</f>
        <v/>
      </c>
      <c r="E219" s="13" t="str">
        <f t="shared" si="9"/>
        <v/>
      </c>
      <c r="F219" s="14" t="str">
        <f t="shared" si="10"/>
        <v/>
      </c>
      <c r="G219" s="13" t="str">
        <f>IF(A219="","",SUMIFS(Base_Porao_Turno!$H:$H,Base_Porao_Turno!$A:$A,A219,Base_Porao_Turno!$E:$E,B219))</f>
        <v/>
      </c>
      <c r="H219" s="13" t="str">
        <f t="shared" si="11"/>
        <v/>
      </c>
    </row>
    <row r="220" spans="1:8" x14ac:dyDescent="0.3">
      <c r="A220" s="6"/>
      <c r="B220" s="6"/>
      <c r="C220" s="8"/>
      <c r="D220" s="13" t="str">
        <f>IF(A220="","",SUMIFS(Base_Porao_Turno!$K:$K,Base_Porao_Turno!$A:$A,A220,Base_Porao_Turno!$E:$E,B220))</f>
        <v/>
      </c>
      <c r="E220" s="13" t="str">
        <f t="shared" si="9"/>
        <v/>
      </c>
      <c r="F220" s="14" t="str">
        <f t="shared" si="10"/>
        <v/>
      </c>
      <c r="G220" s="13" t="str">
        <f>IF(A220="","",SUMIFS(Base_Porao_Turno!$H:$H,Base_Porao_Turno!$A:$A,A220,Base_Porao_Turno!$E:$E,B220))</f>
        <v/>
      </c>
      <c r="H220" s="13" t="str">
        <f t="shared" si="11"/>
        <v/>
      </c>
    </row>
    <row r="221" spans="1:8" x14ac:dyDescent="0.3">
      <c r="A221" s="6"/>
      <c r="B221" s="6"/>
      <c r="C221" s="8"/>
      <c r="D221" s="13" t="str">
        <f>IF(A221="","",SUMIFS(Base_Porao_Turno!$K:$K,Base_Porao_Turno!$A:$A,A221,Base_Porao_Turno!$E:$E,B221))</f>
        <v/>
      </c>
      <c r="E221" s="13" t="str">
        <f t="shared" si="9"/>
        <v/>
      </c>
      <c r="F221" s="14" t="str">
        <f t="shared" si="10"/>
        <v/>
      </c>
      <c r="G221" s="13" t="str">
        <f>IF(A221="","",SUMIFS(Base_Porao_Turno!$H:$H,Base_Porao_Turno!$A:$A,A221,Base_Porao_Turno!$E:$E,B221))</f>
        <v/>
      </c>
      <c r="H221" s="13" t="str">
        <f t="shared" si="11"/>
        <v/>
      </c>
    </row>
    <row r="222" spans="1:8" x14ac:dyDescent="0.3">
      <c r="A222" s="6"/>
      <c r="B222" s="6"/>
      <c r="C222" s="8"/>
      <c r="D222" s="13" t="str">
        <f>IF(A222="","",SUMIFS(Base_Porao_Turno!$K:$K,Base_Porao_Turno!$A:$A,A222,Base_Porao_Turno!$E:$E,B222))</f>
        <v/>
      </c>
      <c r="E222" s="13" t="str">
        <f t="shared" si="9"/>
        <v/>
      </c>
      <c r="F222" s="14" t="str">
        <f t="shared" si="10"/>
        <v/>
      </c>
      <c r="G222" s="13" t="str">
        <f>IF(A222="","",SUMIFS(Base_Porao_Turno!$H:$H,Base_Porao_Turno!$A:$A,A222,Base_Porao_Turno!$E:$E,B222))</f>
        <v/>
      </c>
      <c r="H222" s="13" t="str">
        <f t="shared" si="11"/>
        <v/>
      </c>
    </row>
    <row r="223" spans="1:8" x14ac:dyDescent="0.3">
      <c r="A223" s="6"/>
      <c r="B223" s="6"/>
      <c r="C223" s="8"/>
      <c r="D223" s="13" t="str">
        <f>IF(A223="","",SUMIFS(Base_Porao_Turno!$K:$K,Base_Porao_Turno!$A:$A,A223,Base_Porao_Turno!$E:$E,B223))</f>
        <v/>
      </c>
      <c r="E223" s="13" t="str">
        <f t="shared" si="9"/>
        <v/>
      </c>
      <c r="F223" s="14" t="str">
        <f t="shared" si="10"/>
        <v/>
      </c>
      <c r="G223" s="13" t="str">
        <f>IF(A223="","",SUMIFS(Base_Porao_Turno!$H:$H,Base_Porao_Turno!$A:$A,A223,Base_Porao_Turno!$E:$E,B223))</f>
        <v/>
      </c>
      <c r="H223" s="13" t="str">
        <f t="shared" si="11"/>
        <v/>
      </c>
    </row>
    <row r="224" spans="1:8" x14ac:dyDescent="0.3">
      <c r="A224" s="6"/>
      <c r="B224" s="6"/>
      <c r="C224" s="8"/>
      <c r="D224" s="13" t="str">
        <f>IF(A224="","",SUMIFS(Base_Porao_Turno!$K:$K,Base_Porao_Turno!$A:$A,A224,Base_Porao_Turno!$E:$E,B224))</f>
        <v/>
      </c>
      <c r="E224" s="13" t="str">
        <f t="shared" si="9"/>
        <v/>
      </c>
      <c r="F224" s="14" t="str">
        <f t="shared" si="10"/>
        <v/>
      </c>
      <c r="G224" s="13" t="str">
        <f>IF(A224="","",SUMIFS(Base_Porao_Turno!$H:$H,Base_Porao_Turno!$A:$A,A224,Base_Porao_Turno!$E:$E,B224))</f>
        <v/>
      </c>
      <c r="H224" s="13" t="str">
        <f t="shared" si="11"/>
        <v/>
      </c>
    </row>
    <row r="225" spans="1:8" x14ac:dyDescent="0.3">
      <c r="A225" s="6"/>
      <c r="B225" s="6"/>
      <c r="C225" s="8"/>
      <c r="D225" s="13" t="str">
        <f>IF(A225="","",SUMIFS(Base_Porao_Turno!$K:$K,Base_Porao_Turno!$A:$A,A225,Base_Porao_Turno!$E:$E,B225))</f>
        <v/>
      </c>
      <c r="E225" s="13" t="str">
        <f t="shared" si="9"/>
        <v/>
      </c>
      <c r="F225" s="14" t="str">
        <f t="shared" si="10"/>
        <v/>
      </c>
      <c r="G225" s="13" t="str">
        <f>IF(A225="","",SUMIFS(Base_Porao_Turno!$H:$H,Base_Porao_Turno!$A:$A,A225,Base_Porao_Turno!$E:$E,B225))</f>
        <v/>
      </c>
      <c r="H225" s="13" t="str">
        <f t="shared" si="11"/>
        <v/>
      </c>
    </row>
    <row r="226" spans="1:8" x14ac:dyDescent="0.3">
      <c r="A226" s="6"/>
      <c r="B226" s="6"/>
      <c r="C226" s="8"/>
      <c r="D226" s="13" t="str">
        <f>IF(A226="","",SUMIFS(Base_Porao_Turno!$K:$K,Base_Porao_Turno!$A:$A,A226,Base_Porao_Turno!$E:$E,B226))</f>
        <v/>
      </c>
      <c r="E226" s="13" t="str">
        <f t="shared" si="9"/>
        <v/>
      </c>
      <c r="F226" s="14" t="str">
        <f t="shared" si="10"/>
        <v/>
      </c>
      <c r="G226" s="13" t="str">
        <f>IF(A226="","",SUMIFS(Base_Porao_Turno!$H:$H,Base_Porao_Turno!$A:$A,A226,Base_Porao_Turno!$E:$E,B226))</f>
        <v/>
      </c>
      <c r="H226" s="13" t="str">
        <f t="shared" si="11"/>
        <v/>
      </c>
    </row>
    <row r="227" spans="1:8" x14ac:dyDescent="0.3">
      <c r="A227" s="6"/>
      <c r="B227" s="6"/>
      <c r="C227" s="8"/>
      <c r="D227" s="13" t="str">
        <f>IF(A227="","",SUMIFS(Base_Porao_Turno!$K:$K,Base_Porao_Turno!$A:$A,A227,Base_Porao_Turno!$E:$E,B227))</f>
        <v/>
      </c>
      <c r="E227" s="13" t="str">
        <f t="shared" si="9"/>
        <v/>
      </c>
      <c r="F227" s="14" t="str">
        <f t="shared" si="10"/>
        <v/>
      </c>
      <c r="G227" s="13" t="str">
        <f>IF(A227="","",SUMIFS(Base_Porao_Turno!$H:$H,Base_Porao_Turno!$A:$A,A227,Base_Porao_Turno!$E:$E,B227))</f>
        <v/>
      </c>
      <c r="H227" s="13" t="str">
        <f t="shared" si="11"/>
        <v/>
      </c>
    </row>
    <row r="228" spans="1:8" x14ac:dyDescent="0.3">
      <c r="A228" s="6"/>
      <c r="B228" s="6"/>
      <c r="C228" s="8"/>
      <c r="D228" s="13" t="str">
        <f>IF(A228="","",SUMIFS(Base_Porao_Turno!$K:$K,Base_Porao_Turno!$A:$A,A228,Base_Porao_Turno!$E:$E,B228))</f>
        <v/>
      </c>
      <c r="E228" s="13" t="str">
        <f t="shared" si="9"/>
        <v/>
      </c>
      <c r="F228" s="14" t="str">
        <f t="shared" si="10"/>
        <v/>
      </c>
      <c r="G228" s="13" t="str">
        <f>IF(A228="","",SUMIFS(Base_Porao_Turno!$H:$H,Base_Porao_Turno!$A:$A,A228,Base_Porao_Turno!$E:$E,B228))</f>
        <v/>
      </c>
      <c r="H228" s="13" t="str">
        <f t="shared" si="11"/>
        <v/>
      </c>
    </row>
    <row r="229" spans="1:8" x14ac:dyDescent="0.3">
      <c r="A229" s="6"/>
      <c r="B229" s="6"/>
      <c r="C229" s="8"/>
      <c r="D229" s="13" t="str">
        <f>IF(A229="","",SUMIFS(Base_Porao_Turno!$K:$K,Base_Porao_Turno!$A:$A,A229,Base_Porao_Turno!$E:$E,B229))</f>
        <v/>
      </c>
      <c r="E229" s="13" t="str">
        <f t="shared" si="9"/>
        <v/>
      </c>
      <c r="F229" s="14" t="str">
        <f t="shared" si="10"/>
        <v/>
      </c>
      <c r="G229" s="13" t="str">
        <f>IF(A229="","",SUMIFS(Base_Porao_Turno!$H:$H,Base_Porao_Turno!$A:$A,A229,Base_Porao_Turno!$E:$E,B229))</f>
        <v/>
      </c>
      <c r="H229" s="13" t="str">
        <f t="shared" si="11"/>
        <v/>
      </c>
    </row>
    <row r="230" spans="1:8" x14ac:dyDescent="0.3">
      <c r="A230" s="6"/>
      <c r="B230" s="6"/>
      <c r="C230" s="8"/>
      <c r="D230" s="13" t="str">
        <f>IF(A230="","",SUMIFS(Base_Porao_Turno!$K:$K,Base_Porao_Turno!$A:$A,A230,Base_Porao_Turno!$E:$E,B230))</f>
        <v/>
      </c>
      <c r="E230" s="13" t="str">
        <f t="shared" si="9"/>
        <v/>
      </c>
      <c r="F230" s="14" t="str">
        <f t="shared" si="10"/>
        <v/>
      </c>
      <c r="G230" s="13" t="str">
        <f>IF(A230="","",SUMIFS(Base_Porao_Turno!$H:$H,Base_Porao_Turno!$A:$A,A230,Base_Porao_Turno!$E:$E,B230))</f>
        <v/>
      </c>
      <c r="H230" s="13" t="str">
        <f t="shared" si="11"/>
        <v/>
      </c>
    </row>
    <row r="231" spans="1:8" x14ac:dyDescent="0.3">
      <c r="A231" s="6"/>
      <c r="B231" s="6"/>
      <c r="C231" s="8"/>
      <c r="D231" s="13" t="str">
        <f>IF(A231="","",SUMIFS(Base_Porao_Turno!$K:$K,Base_Porao_Turno!$A:$A,A231,Base_Porao_Turno!$E:$E,B231))</f>
        <v/>
      </c>
      <c r="E231" s="13" t="str">
        <f t="shared" si="9"/>
        <v/>
      </c>
      <c r="F231" s="14" t="str">
        <f t="shared" si="10"/>
        <v/>
      </c>
      <c r="G231" s="13" t="str">
        <f>IF(A231="","",SUMIFS(Base_Porao_Turno!$H:$H,Base_Porao_Turno!$A:$A,A231,Base_Porao_Turno!$E:$E,B231))</f>
        <v/>
      </c>
      <c r="H231" s="13" t="str">
        <f t="shared" si="11"/>
        <v/>
      </c>
    </row>
    <row r="232" spans="1:8" x14ac:dyDescent="0.3">
      <c r="A232" s="6"/>
      <c r="B232" s="6"/>
      <c r="C232" s="8"/>
      <c r="D232" s="13" t="str">
        <f>IF(A232="","",SUMIFS(Base_Porao_Turno!$K:$K,Base_Porao_Turno!$A:$A,A232,Base_Porao_Turno!$E:$E,B232))</f>
        <v/>
      </c>
      <c r="E232" s="13" t="str">
        <f t="shared" si="9"/>
        <v/>
      </c>
      <c r="F232" s="14" t="str">
        <f t="shared" si="10"/>
        <v/>
      </c>
      <c r="G232" s="13" t="str">
        <f>IF(A232="","",SUMIFS(Base_Porao_Turno!$H:$H,Base_Porao_Turno!$A:$A,A232,Base_Porao_Turno!$E:$E,B232))</f>
        <v/>
      </c>
      <c r="H232" s="13" t="str">
        <f t="shared" si="11"/>
        <v/>
      </c>
    </row>
    <row r="233" spans="1:8" x14ac:dyDescent="0.3">
      <c r="A233" s="6"/>
      <c r="B233" s="6"/>
      <c r="C233" s="8"/>
      <c r="D233" s="13" t="str">
        <f>IF(A233="","",SUMIFS(Base_Porao_Turno!$K:$K,Base_Porao_Turno!$A:$A,A233,Base_Porao_Turno!$E:$E,B233))</f>
        <v/>
      </c>
      <c r="E233" s="13" t="str">
        <f t="shared" si="9"/>
        <v/>
      </c>
      <c r="F233" s="14" t="str">
        <f t="shared" si="10"/>
        <v/>
      </c>
      <c r="G233" s="13" t="str">
        <f>IF(A233="","",SUMIFS(Base_Porao_Turno!$H:$H,Base_Porao_Turno!$A:$A,A233,Base_Porao_Turno!$E:$E,B233))</f>
        <v/>
      </c>
      <c r="H233" s="13" t="str">
        <f t="shared" si="11"/>
        <v/>
      </c>
    </row>
    <row r="234" spans="1:8" x14ac:dyDescent="0.3">
      <c r="A234" s="6"/>
      <c r="B234" s="6"/>
      <c r="C234" s="8"/>
      <c r="D234" s="13" t="str">
        <f>IF(A234="","",SUMIFS(Base_Porao_Turno!$K:$K,Base_Porao_Turno!$A:$A,A234,Base_Porao_Turno!$E:$E,B234))</f>
        <v/>
      </c>
      <c r="E234" s="13" t="str">
        <f t="shared" si="9"/>
        <v/>
      </c>
      <c r="F234" s="14" t="str">
        <f t="shared" si="10"/>
        <v/>
      </c>
      <c r="G234" s="13" t="str">
        <f>IF(A234="","",SUMIFS(Base_Porao_Turno!$H:$H,Base_Porao_Turno!$A:$A,A234,Base_Porao_Turno!$E:$E,B234))</f>
        <v/>
      </c>
      <c r="H234" s="13" t="str">
        <f t="shared" si="11"/>
        <v/>
      </c>
    </row>
    <row r="235" spans="1:8" x14ac:dyDescent="0.3">
      <c r="A235" s="6"/>
      <c r="B235" s="6"/>
      <c r="C235" s="8"/>
      <c r="D235" s="13" t="str">
        <f>IF(A235="","",SUMIFS(Base_Porao_Turno!$K:$K,Base_Porao_Turno!$A:$A,A235,Base_Porao_Turno!$E:$E,B235))</f>
        <v/>
      </c>
      <c r="E235" s="13" t="str">
        <f t="shared" si="9"/>
        <v/>
      </c>
      <c r="F235" s="14" t="str">
        <f t="shared" si="10"/>
        <v/>
      </c>
      <c r="G235" s="13" t="str">
        <f>IF(A235="","",SUMIFS(Base_Porao_Turno!$H:$H,Base_Porao_Turno!$A:$A,A235,Base_Porao_Turno!$E:$E,B235))</f>
        <v/>
      </c>
      <c r="H235" s="13" t="str">
        <f t="shared" si="11"/>
        <v/>
      </c>
    </row>
    <row r="236" spans="1:8" x14ac:dyDescent="0.3">
      <c r="A236" s="6"/>
      <c r="B236" s="6"/>
      <c r="C236" s="8"/>
      <c r="D236" s="13" t="str">
        <f>IF(A236="","",SUMIFS(Base_Porao_Turno!$K:$K,Base_Porao_Turno!$A:$A,A236,Base_Porao_Turno!$E:$E,B236))</f>
        <v/>
      </c>
      <c r="E236" s="13" t="str">
        <f t="shared" si="9"/>
        <v/>
      </c>
      <c r="F236" s="14" t="str">
        <f t="shared" si="10"/>
        <v/>
      </c>
      <c r="G236" s="13" t="str">
        <f>IF(A236="","",SUMIFS(Base_Porao_Turno!$H:$H,Base_Porao_Turno!$A:$A,A236,Base_Porao_Turno!$E:$E,B236))</f>
        <v/>
      </c>
      <c r="H236" s="13" t="str">
        <f t="shared" si="11"/>
        <v/>
      </c>
    </row>
    <row r="237" spans="1:8" x14ac:dyDescent="0.3">
      <c r="A237" s="6"/>
      <c r="B237" s="6"/>
      <c r="C237" s="8"/>
      <c r="D237" s="13" t="str">
        <f>IF(A237="","",SUMIFS(Base_Porao_Turno!$K:$K,Base_Porao_Turno!$A:$A,A237,Base_Porao_Turno!$E:$E,B237))</f>
        <v/>
      </c>
      <c r="E237" s="13" t="str">
        <f t="shared" si="9"/>
        <v/>
      </c>
      <c r="F237" s="14" t="str">
        <f t="shared" si="10"/>
        <v/>
      </c>
      <c r="G237" s="13" t="str">
        <f>IF(A237="","",SUMIFS(Base_Porao_Turno!$H:$H,Base_Porao_Turno!$A:$A,A237,Base_Porao_Turno!$E:$E,B237))</f>
        <v/>
      </c>
      <c r="H237" s="13" t="str">
        <f t="shared" si="11"/>
        <v/>
      </c>
    </row>
    <row r="238" spans="1:8" x14ac:dyDescent="0.3">
      <c r="A238" s="6"/>
      <c r="B238" s="6"/>
      <c r="C238" s="8"/>
      <c r="D238" s="13" t="str">
        <f>IF(A238="","",SUMIFS(Base_Porao_Turno!$K:$K,Base_Porao_Turno!$A:$A,A238,Base_Porao_Turno!$E:$E,B238))</f>
        <v/>
      </c>
      <c r="E238" s="13" t="str">
        <f t="shared" si="9"/>
        <v/>
      </c>
      <c r="F238" s="14" t="str">
        <f t="shared" si="10"/>
        <v/>
      </c>
      <c r="G238" s="13" t="str">
        <f>IF(A238="","",SUMIFS(Base_Porao_Turno!$H:$H,Base_Porao_Turno!$A:$A,A238,Base_Porao_Turno!$E:$E,B238))</f>
        <v/>
      </c>
      <c r="H238" s="13" t="str">
        <f t="shared" si="11"/>
        <v/>
      </c>
    </row>
    <row r="239" spans="1:8" x14ac:dyDescent="0.3">
      <c r="A239" s="6"/>
      <c r="B239" s="6"/>
      <c r="C239" s="8"/>
      <c r="D239" s="13" t="str">
        <f>IF(A239="","",SUMIFS(Base_Porao_Turno!$K:$K,Base_Porao_Turno!$A:$A,A239,Base_Porao_Turno!$E:$E,B239))</f>
        <v/>
      </c>
      <c r="E239" s="13" t="str">
        <f t="shared" si="9"/>
        <v/>
      </c>
      <c r="F239" s="14" t="str">
        <f t="shared" si="10"/>
        <v/>
      </c>
      <c r="G239" s="13" t="str">
        <f>IF(A239="","",SUMIFS(Base_Porao_Turno!$H:$H,Base_Porao_Turno!$A:$A,A239,Base_Porao_Turno!$E:$E,B239))</f>
        <v/>
      </c>
      <c r="H239" s="13" t="str">
        <f t="shared" si="11"/>
        <v/>
      </c>
    </row>
    <row r="240" spans="1:8" x14ac:dyDescent="0.3">
      <c r="A240" s="6"/>
      <c r="B240" s="6"/>
      <c r="C240" s="8"/>
      <c r="D240" s="13" t="str">
        <f>IF(A240="","",SUMIFS(Base_Porao_Turno!$K:$K,Base_Porao_Turno!$A:$A,A240,Base_Porao_Turno!$E:$E,B240))</f>
        <v/>
      </c>
      <c r="E240" s="13" t="str">
        <f t="shared" si="9"/>
        <v/>
      </c>
      <c r="F240" s="14" t="str">
        <f t="shared" si="10"/>
        <v/>
      </c>
      <c r="G240" s="13" t="str">
        <f>IF(A240="","",SUMIFS(Base_Porao_Turno!$H:$H,Base_Porao_Turno!$A:$A,A240,Base_Porao_Turno!$E:$E,B240))</f>
        <v/>
      </c>
      <c r="H240" s="13" t="str">
        <f t="shared" si="11"/>
        <v/>
      </c>
    </row>
    <row r="241" spans="1:8" x14ac:dyDescent="0.3">
      <c r="A241" s="6"/>
      <c r="B241" s="6"/>
      <c r="C241" s="8"/>
      <c r="D241" s="13" t="str">
        <f>IF(A241="","",SUMIFS(Base_Porao_Turno!$K:$K,Base_Porao_Turno!$A:$A,A241,Base_Porao_Turno!$E:$E,B241))</f>
        <v/>
      </c>
      <c r="E241" s="13" t="str">
        <f t="shared" si="9"/>
        <v/>
      </c>
      <c r="F241" s="14" t="str">
        <f t="shared" si="10"/>
        <v/>
      </c>
      <c r="G241" s="13" t="str">
        <f>IF(A241="","",SUMIFS(Base_Porao_Turno!$H:$H,Base_Porao_Turno!$A:$A,A241,Base_Porao_Turno!$E:$E,B241))</f>
        <v/>
      </c>
      <c r="H241" s="13" t="str">
        <f t="shared" si="11"/>
        <v/>
      </c>
    </row>
    <row r="242" spans="1:8" x14ac:dyDescent="0.3">
      <c r="A242" s="6"/>
      <c r="B242" s="6"/>
      <c r="C242" s="8"/>
      <c r="D242" s="13" t="str">
        <f>IF(A242="","",SUMIFS(Base_Porao_Turno!$K:$K,Base_Porao_Turno!$A:$A,A242,Base_Porao_Turno!$E:$E,B242))</f>
        <v/>
      </c>
      <c r="E242" s="13" t="str">
        <f t="shared" si="9"/>
        <v/>
      </c>
      <c r="F242" s="14" t="str">
        <f t="shared" si="10"/>
        <v/>
      </c>
      <c r="G242" s="13" t="str">
        <f>IF(A242="","",SUMIFS(Base_Porao_Turno!$H:$H,Base_Porao_Turno!$A:$A,A242,Base_Porao_Turno!$E:$E,B242))</f>
        <v/>
      </c>
      <c r="H242" s="13" t="str">
        <f t="shared" si="11"/>
        <v/>
      </c>
    </row>
    <row r="243" spans="1:8" x14ac:dyDescent="0.3">
      <c r="A243" s="6"/>
      <c r="B243" s="6"/>
      <c r="C243" s="8"/>
      <c r="D243" s="13" t="str">
        <f>IF(A243="","",SUMIFS(Base_Porao_Turno!$K:$K,Base_Porao_Turno!$A:$A,A243,Base_Porao_Turno!$E:$E,B243))</f>
        <v/>
      </c>
      <c r="E243" s="13" t="str">
        <f t="shared" si="9"/>
        <v/>
      </c>
      <c r="F243" s="14" t="str">
        <f t="shared" si="10"/>
        <v/>
      </c>
      <c r="G243" s="13" t="str">
        <f>IF(A243="","",SUMIFS(Base_Porao_Turno!$H:$H,Base_Porao_Turno!$A:$A,A243,Base_Porao_Turno!$E:$E,B243))</f>
        <v/>
      </c>
      <c r="H243" s="13" t="str">
        <f t="shared" si="11"/>
        <v/>
      </c>
    </row>
    <row r="244" spans="1:8" x14ac:dyDescent="0.3">
      <c r="A244" s="6"/>
      <c r="B244" s="6"/>
      <c r="C244" s="8"/>
      <c r="D244" s="13" t="str">
        <f>IF(A244="","",SUMIFS(Base_Porao_Turno!$K:$K,Base_Porao_Turno!$A:$A,A244,Base_Porao_Turno!$E:$E,B244))</f>
        <v/>
      </c>
      <c r="E244" s="13" t="str">
        <f t="shared" si="9"/>
        <v/>
      </c>
      <c r="F244" s="14" t="str">
        <f t="shared" si="10"/>
        <v/>
      </c>
      <c r="G244" s="13" t="str">
        <f>IF(A244="","",SUMIFS(Base_Porao_Turno!$H:$H,Base_Porao_Turno!$A:$A,A244,Base_Porao_Turno!$E:$E,B244))</f>
        <v/>
      </c>
      <c r="H244" s="13" t="str">
        <f t="shared" si="11"/>
        <v/>
      </c>
    </row>
    <row r="245" spans="1:8" x14ac:dyDescent="0.3">
      <c r="A245" s="6"/>
      <c r="B245" s="6"/>
      <c r="C245" s="8"/>
      <c r="D245" s="13" t="str">
        <f>IF(A245="","",SUMIFS(Base_Porao_Turno!$K:$K,Base_Porao_Turno!$A:$A,A245,Base_Porao_Turno!$E:$E,B245))</f>
        <v/>
      </c>
      <c r="E245" s="13" t="str">
        <f t="shared" si="9"/>
        <v/>
      </c>
      <c r="F245" s="14" t="str">
        <f t="shared" si="10"/>
        <v/>
      </c>
      <c r="G245" s="13" t="str">
        <f>IF(A245="","",SUMIFS(Base_Porao_Turno!$H:$H,Base_Porao_Turno!$A:$A,A245,Base_Porao_Turno!$E:$E,B245))</f>
        <v/>
      </c>
      <c r="H245" s="13" t="str">
        <f t="shared" si="11"/>
        <v/>
      </c>
    </row>
    <row r="246" spans="1:8" x14ac:dyDescent="0.3">
      <c r="A246" s="6"/>
      <c r="B246" s="6"/>
      <c r="C246" s="8"/>
      <c r="D246" s="13" t="str">
        <f>IF(A246="","",SUMIFS(Base_Porao_Turno!$K:$K,Base_Porao_Turno!$A:$A,A246,Base_Porao_Turno!$E:$E,B246))</f>
        <v/>
      </c>
      <c r="E246" s="13" t="str">
        <f t="shared" si="9"/>
        <v/>
      </c>
      <c r="F246" s="14" t="str">
        <f t="shared" si="10"/>
        <v/>
      </c>
      <c r="G246" s="13" t="str">
        <f>IF(A246="","",SUMIFS(Base_Porao_Turno!$H:$H,Base_Porao_Turno!$A:$A,A246,Base_Porao_Turno!$E:$E,B246))</f>
        <v/>
      </c>
      <c r="H246" s="13" t="str">
        <f t="shared" si="11"/>
        <v/>
      </c>
    </row>
    <row r="247" spans="1:8" x14ac:dyDescent="0.3">
      <c r="A247" s="6"/>
      <c r="B247" s="6"/>
      <c r="C247" s="8"/>
      <c r="D247" s="13" t="str">
        <f>IF(A247="","",SUMIFS(Base_Porao_Turno!$K:$K,Base_Porao_Turno!$A:$A,A247,Base_Porao_Turno!$E:$E,B247))</f>
        <v/>
      </c>
      <c r="E247" s="13" t="str">
        <f t="shared" si="9"/>
        <v/>
      </c>
      <c r="F247" s="14" t="str">
        <f t="shared" si="10"/>
        <v/>
      </c>
      <c r="G247" s="13" t="str">
        <f>IF(A247="","",SUMIFS(Base_Porao_Turno!$H:$H,Base_Porao_Turno!$A:$A,A247,Base_Porao_Turno!$E:$E,B247))</f>
        <v/>
      </c>
      <c r="H247" s="13" t="str">
        <f t="shared" si="11"/>
        <v/>
      </c>
    </row>
    <row r="248" spans="1:8" x14ac:dyDescent="0.3">
      <c r="A248" s="6"/>
      <c r="B248" s="6"/>
      <c r="C248" s="8"/>
      <c r="D248" s="13" t="str">
        <f>IF(A248="","",SUMIFS(Base_Porao_Turno!$K:$K,Base_Porao_Turno!$A:$A,A248,Base_Porao_Turno!$E:$E,B248))</f>
        <v/>
      </c>
      <c r="E248" s="13" t="str">
        <f t="shared" si="9"/>
        <v/>
      </c>
      <c r="F248" s="14" t="str">
        <f t="shared" si="10"/>
        <v/>
      </c>
      <c r="G248" s="13" t="str">
        <f>IF(A248="","",SUMIFS(Base_Porao_Turno!$H:$H,Base_Porao_Turno!$A:$A,A248,Base_Porao_Turno!$E:$E,B248))</f>
        <v/>
      </c>
      <c r="H248" s="13" t="str">
        <f t="shared" si="11"/>
        <v/>
      </c>
    </row>
    <row r="249" spans="1:8" x14ac:dyDescent="0.3">
      <c r="A249" s="6"/>
      <c r="B249" s="6"/>
      <c r="C249" s="8"/>
      <c r="D249" s="13" t="str">
        <f>IF(A249="","",SUMIFS(Base_Porao_Turno!$K:$K,Base_Porao_Turno!$A:$A,A249,Base_Porao_Turno!$E:$E,B249))</f>
        <v/>
      </c>
      <c r="E249" s="13" t="str">
        <f t="shared" si="9"/>
        <v/>
      </c>
      <c r="F249" s="14" t="str">
        <f t="shared" si="10"/>
        <v/>
      </c>
      <c r="G249" s="13" t="str">
        <f>IF(A249="","",SUMIFS(Base_Porao_Turno!$H:$H,Base_Porao_Turno!$A:$A,A249,Base_Porao_Turno!$E:$E,B249))</f>
        <v/>
      </c>
      <c r="H249" s="13" t="str">
        <f t="shared" si="11"/>
        <v/>
      </c>
    </row>
    <row r="250" spans="1:8" x14ac:dyDescent="0.3">
      <c r="A250" s="6"/>
      <c r="B250" s="6"/>
      <c r="C250" s="8"/>
      <c r="D250" s="13" t="str">
        <f>IF(A250="","",SUMIFS(Base_Porao_Turno!$K:$K,Base_Porao_Turno!$A:$A,A250,Base_Porao_Turno!$E:$E,B250))</f>
        <v/>
      </c>
      <c r="E250" s="13" t="str">
        <f t="shared" si="9"/>
        <v/>
      </c>
      <c r="F250" s="14" t="str">
        <f t="shared" si="10"/>
        <v/>
      </c>
      <c r="G250" s="13" t="str">
        <f>IF(A250="","",SUMIFS(Base_Porao_Turno!$H:$H,Base_Porao_Turno!$A:$A,A250,Base_Porao_Turno!$E:$E,B250))</f>
        <v/>
      </c>
      <c r="H250" s="13" t="str">
        <f t="shared" si="11"/>
        <v/>
      </c>
    </row>
    <row r="251" spans="1:8" x14ac:dyDescent="0.3">
      <c r="A251" s="6"/>
      <c r="B251" s="6"/>
      <c r="C251" s="8"/>
      <c r="D251" s="13" t="str">
        <f>IF(A251="","",SUMIFS(Base_Porao_Turno!$K:$K,Base_Porao_Turno!$A:$A,A251,Base_Porao_Turno!$E:$E,B251))</f>
        <v/>
      </c>
      <c r="E251" s="13" t="str">
        <f t="shared" si="9"/>
        <v/>
      </c>
      <c r="F251" s="14" t="str">
        <f t="shared" si="10"/>
        <v/>
      </c>
      <c r="G251" s="13" t="str">
        <f>IF(A251="","",SUMIFS(Base_Porao_Turno!$H:$H,Base_Porao_Turno!$A:$A,A251,Base_Porao_Turno!$E:$E,B251))</f>
        <v/>
      </c>
      <c r="H251" s="13" t="str">
        <f t="shared" si="11"/>
        <v/>
      </c>
    </row>
    <row r="252" spans="1:8" x14ac:dyDescent="0.3">
      <c r="A252" s="6"/>
      <c r="B252" s="6"/>
      <c r="C252" s="8"/>
      <c r="D252" s="13" t="str">
        <f>IF(A252="","",SUMIFS(Base_Porao_Turno!$K:$K,Base_Porao_Turno!$A:$A,A252,Base_Porao_Turno!$E:$E,B252))</f>
        <v/>
      </c>
      <c r="E252" s="13" t="str">
        <f t="shared" si="9"/>
        <v/>
      </c>
      <c r="F252" s="14" t="str">
        <f t="shared" si="10"/>
        <v/>
      </c>
      <c r="G252" s="13" t="str">
        <f>IF(A252="","",SUMIFS(Base_Porao_Turno!$H:$H,Base_Porao_Turno!$A:$A,A252,Base_Porao_Turno!$E:$E,B252))</f>
        <v/>
      </c>
      <c r="H252" s="13" t="str">
        <f t="shared" si="11"/>
        <v/>
      </c>
    </row>
    <row r="253" spans="1:8" x14ac:dyDescent="0.3">
      <c r="A253" s="6"/>
      <c r="B253" s="6"/>
      <c r="C253" s="8"/>
      <c r="D253" s="13" t="str">
        <f>IF(A253="","",SUMIFS(Base_Porao_Turno!$K:$K,Base_Porao_Turno!$A:$A,A253,Base_Porao_Turno!$E:$E,B253))</f>
        <v/>
      </c>
      <c r="E253" s="13" t="str">
        <f t="shared" si="9"/>
        <v/>
      </c>
      <c r="F253" s="14" t="str">
        <f t="shared" si="10"/>
        <v/>
      </c>
      <c r="G253" s="13" t="str">
        <f>IF(A253="","",SUMIFS(Base_Porao_Turno!$H:$H,Base_Porao_Turno!$A:$A,A253,Base_Porao_Turno!$E:$E,B253))</f>
        <v/>
      </c>
      <c r="H253" s="13" t="str">
        <f t="shared" si="11"/>
        <v/>
      </c>
    </row>
    <row r="254" spans="1:8" x14ac:dyDescent="0.3">
      <c r="A254" s="6"/>
      <c r="B254" s="6"/>
      <c r="C254" s="8"/>
      <c r="D254" s="13" t="str">
        <f>IF(A254="","",SUMIFS(Base_Porao_Turno!$K:$K,Base_Porao_Turno!$A:$A,A254,Base_Porao_Turno!$E:$E,B254))</f>
        <v/>
      </c>
      <c r="E254" s="13" t="str">
        <f t="shared" si="9"/>
        <v/>
      </c>
      <c r="F254" s="14" t="str">
        <f t="shared" si="10"/>
        <v/>
      </c>
      <c r="G254" s="13" t="str">
        <f>IF(A254="","",SUMIFS(Base_Porao_Turno!$H:$H,Base_Porao_Turno!$A:$A,A254,Base_Porao_Turno!$E:$E,B254))</f>
        <v/>
      </c>
      <c r="H254" s="13" t="str">
        <f t="shared" si="11"/>
        <v/>
      </c>
    </row>
    <row r="255" spans="1:8" x14ac:dyDescent="0.3">
      <c r="A255" s="6"/>
      <c r="B255" s="6"/>
      <c r="C255" s="8"/>
      <c r="D255" s="13" t="str">
        <f>IF(A255="","",SUMIFS(Base_Porao_Turno!$K:$K,Base_Porao_Turno!$A:$A,A255,Base_Porao_Turno!$E:$E,B255))</f>
        <v/>
      </c>
      <c r="E255" s="13" t="str">
        <f t="shared" si="9"/>
        <v/>
      </c>
      <c r="F255" s="14" t="str">
        <f t="shared" si="10"/>
        <v/>
      </c>
      <c r="G255" s="13" t="str">
        <f>IF(A255="","",SUMIFS(Base_Porao_Turno!$H:$H,Base_Porao_Turno!$A:$A,A255,Base_Porao_Turno!$E:$E,B255))</f>
        <v/>
      </c>
      <c r="H255" s="13" t="str">
        <f t="shared" si="11"/>
        <v/>
      </c>
    </row>
    <row r="256" spans="1:8" x14ac:dyDescent="0.3">
      <c r="A256" s="6"/>
      <c r="B256" s="6"/>
      <c r="C256" s="8"/>
      <c r="D256" s="13" t="str">
        <f>IF(A256="","",SUMIFS(Base_Porao_Turno!$K:$K,Base_Porao_Turno!$A:$A,A256,Base_Porao_Turno!$E:$E,B256))</f>
        <v/>
      </c>
      <c r="E256" s="13" t="str">
        <f t="shared" si="9"/>
        <v/>
      </c>
      <c r="F256" s="14" t="str">
        <f t="shared" si="10"/>
        <v/>
      </c>
      <c r="G256" s="13" t="str">
        <f>IF(A256="","",SUMIFS(Base_Porao_Turno!$H:$H,Base_Porao_Turno!$A:$A,A256,Base_Porao_Turno!$E:$E,B256))</f>
        <v/>
      </c>
      <c r="H256" s="13" t="str">
        <f t="shared" si="11"/>
        <v/>
      </c>
    </row>
    <row r="257" spans="1:8" x14ac:dyDescent="0.3">
      <c r="A257" s="6"/>
      <c r="B257" s="6"/>
      <c r="C257" s="8"/>
      <c r="D257" s="13" t="str">
        <f>IF(A257="","",SUMIFS(Base_Porao_Turno!$K:$K,Base_Porao_Turno!$A:$A,A257,Base_Porao_Turno!$E:$E,B257))</f>
        <v/>
      </c>
      <c r="E257" s="13" t="str">
        <f t="shared" si="9"/>
        <v/>
      </c>
      <c r="F257" s="14" t="str">
        <f t="shared" si="10"/>
        <v/>
      </c>
      <c r="G257" s="13" t="str">
        <f>IF(A257="","",SUMIFS(Base_Porao_Turno!$H:$H,Base_Porao_Turno!$A:$A,A257,Base_Porao_Turno!$E:$E,B257))</f>
        <v/>
      </c>
      <c r="H257" s="13" t="str">
        <f t="shared" si="11"/>
        <v/>
      </c>
    </row>
    <row r="258" spans="1:8" x14ac:dyDescent="0.3">
      <c r="A258" s="6"/>
      <c r="B258" s="6"/>
      <c r="C258" s="8"/>
      <c r="D258" s="13" t="str">
        <f>IF(A258="","",SUMIFS(Base_Porao_Turno!$K:$K,Base_Porao_Turno!$A:$A,A258,Base_Porao_Turno!$E:$E,B258))</f>
        <v/>
      </c>
      <c r="E258" s="13" t="str">
        <f t="shared" ref="E258:E321" si="12">IF(OR(C258="",D258=""),"",C258-D258)</f>
        <v/>
      </c>
      <c r="F258" s="14" t="str">
        <f t="shared" ref="F258:F321" si="13">IFERROR(D258/C258,"")</f>
        <v/>
      </c>
      <c r="G258" s="13" t="str">
        <f>IF(A258="","",SUMIFS(Base_Porao_Turno!$H:$H,Base_Porao_Turno!$A:$A,A258,Base_Porao_Turno!$E:$E,B258))</f>
        <v/>
      </c>
      <c r="H258" s="13" t="str">
        <f t="shared" ref="H258:H321" si="14">IFERROR(D258/G258,"")</f>
        <v/>
      </c>
    </row>
    <row r="259" spans="1:8" x14ac:dyDescent="0.3">
      <c r="A259" s="6"/>
      <c r="B259" s="6"/>
      <c r="C259" s="8"/>
      <c r="D259" s="13" t="str">
        <f>IF(A259="","",SUMIFS(Base_Porao_Turno!$K:$K,Base_Porao_Turno!$A:$A,A259,Base_Porao_Turno!$E:$E,B259))</f>
        <v/>
      </c>
      <c r="E259" s="13" t="str">
        <f t="shared" si="12"/>
        <v/>
      </c>
      <c r="F259" s="14" t="str">
        <f t="shared" si="13"/>
        <v/>
      </c>
      <c r="G259" s="13" t="str">
        <f>IF(A259="","",SUMIFS(Base_Porao_Turno!$H:$H,Base_Porao_Turno!$A:$A,A259,Base_Porao_Turno!$E:$E,B259))</f>
        <v/>
      </c>
      <c r="H259" s="13" t="str">
        <f t="shared" si="14"/>
        <v/>
      </c>
    </row>
    <row r="260" spans="1:8" x14ac:dyDescent="0.3">
      <c r="A260" s="6"/>
      <c r="B260" s="6"/>
      <c r="C260" s="8"/>
      <c r="D260" s="13" t="str">
        <f>IF(A260="","",SUMIFS(Base_Porao_Turno!$K:$K,Base_Porao_Turno!$A:$A,A260,Base_Porao_Turno!$E:$E,B260))</f>
        <v/>
      </c>
      <c r="E260" s="13" t="str">
        <f t="shared" si="12"/>
        <v/>
      </c>
      <c r="F260" s="14" t="str">
        <f t="shared" si="13"/>
        <v/>
      </c>
      <c r="G260" s="13" t="str">
        <f>IF(A260="","",SUMIFS(Base_Porao_Turno!$H:$H,Base_Porao_Turno!$A:$A,A260,Base_Porao_Turno!$E:$E,B260))</f>
        <v/>
      </c>
      <c r="H260" s="13" t="str">
        <f t="shared" si="14"/>
        <v/>
      </c>
    </row>
    <row r="261" spans="1:8" x14ac:dyDescent="0.3">
      <c r="A261" s="6"/>
      <c r="B261" s="6"/>
      <c r="C261" s="8"/>
      <c r="D261" s="13" t="str">
        <f>IF(A261="","",SUMIFS(Base_Porao_Turno!$K:$K,Base_Porao_Turno!$A:$A,A261,Base_Porao_Turno!$E:$E,B261))</f>
        <v/>
      </c>
      <c r="E261" s="13" t="str">
        <f t="shared" si="12"/>
        <v/>
      </c>
      <c r="F261" s="14" t="str">
        <f t="shared" si="13"/>
        <v/>
      </c>
      <c r="G261" s="13" t="str">
        <f>IF(A261="","",SUMIFS(Base_Porao_Turno!$H:$H,Base_Porao_Turno!$A:$A,A261,Base_Porao_Turno!$E:$E,B261))</f>
        <v/>
      </c>
      <c r="H261" s="13" t="str">
        <f t="shared" si="14"/>
        <v/>
      </c>
    </row>
    <row r="262" spans="1:8" x14ac:dyDescent="0.3">
      <c r="A262" s="6"/>
      <c r="B262" s="6"/>
      <c r="C262" s="8"/>
      <c r="D262" s="13" t="str">
        <f>IF(A262="","",SUMIFS(Base_Porao_Turno!$K:$K,Base_Porao_Turno!$A:$A,A262,Base_Porao_Turno!$E:$E,B262))</f>
        <v/>
      </c>
      <c r="E262" s="13" t="str">
        <f t="shared" si="12"/>
        <v/>
      </c>
      <c r="F262" s="14" t="str">
        <f t="shared" si="13"/>
        <v/>
      </c>
      <c r="G262" s="13" t="str">
        <f>IF(A262="","",SUMIFS(Base_Porao_Turno!$H:$H,Base_Porao_Turno!$A:$A,A262,Base_Porao_Turno!$E:$E,B262))</f>
        <v/>
      </c>
      <c r="H262" s="13" t="str">
        <f t="shared" si="14"/>
        <v/>
      </c>
    </row>
    <row r="263" spans="1:8" x14ac:dyDescent="0.3">
      <c r="A263" s="6"/>
      <c r="B263" s="6"/>
      <c r="C263" s="8"/>
      <c r="D263" s="13" t="str">
        <f>IF(A263="","",SUMIFS(Base_Porao_Turno!$K:$K,Base_Porao_Turno!$A:$A,A263,Base_Porao_Turno!$E:$E,B263))</f>
        <v/>
      </c>
      <c r="E263" s="13" t="str">
        <f t="shared" si="12"/>
        <v/>
      </c>
      <c r="F263" s="14" t="str">
        <f t="shared" si="13"/>
        <v/>
      </c>
      <c r="G263" s="13" t="str">
        <f>IF(A263="","",SUMIFS(Base_Porao_Turno!$H:$H,Base_Porao_Turno!$A:$A,A263,Base_Porao_Turno!$E:$E,B263))</f>
        <v/>
      </c>
      <c r="H263" s="13" t="str">
        <f t="shared" si="14"/>
        <v/>
      </c>
    </row>
    <row r="264" spans="1:8" x14ac:dyDescent="0.3">
      <c r="A264" s="6"/>
      <c r="B264" s="6"/>
      <c r="C264" s="8"/>
      <c r="D264" s="13" t="str">
        <f>IF(A264="","",SUMIFS(Base_Porao_Turno!$K:$K,Base_Porao_Turno!$A:$A,A264,Base_Porao_Turno!$E:$E,B264))</f>
        <v/>
      </c>
      <c r="E264" s="13" t="str">
        <f t="shared" si="12"/>
        <v/>
      </c>
      <c r="F264" s="14" t="str">
        <f t="shared" si="13"/>
        <v/>
      </c>
      <c r="G264" s="13" t="str">
        <f>IF(A264="","",SUMIFS(Base_Porao_Turno!$H:$H,Base_Porao_Turno!$A:$A,A264,Base_Porao_Turno!$E:$E,B264))</f>
        <v/>
      </c>
      <c r="H264" s="13" t="str">
        <f t="shared" si="14"/>
        <v/>
      </c>
    </row>
    <row r="265" spans="1:8" x14ac:dyDescent="0.3">
      <c r="A265" s="6"/>
      <c r="B265" s="6"/>
      <c r="C265" s="8"/>
      <c r="D265" s="13" t="str">
        <f>IF(A265="","",SUMIFS(Base_Porao_Turno!$K:$K,Base_Porao_Turno!$A:$A,A265,Base_Porao_Turno!$E:$E,B265))</f>
        <v/>
      </c>
      <c r="E265" s="13" t="str">
        <f t="shared" si="12"/>
        <v/>
      </c>
      <c r="F265" s="14" t="str">
        <f t="shared" si="13"/>
        <v/>
      </c>
      <c r="G265" s="13" t="str">
        <f>IF(A265="","",SUMIFS(Base_Porao_Turno!$H:$H,Base_Porao_Turno!$A:$A,A265,Base_Porao_Turno!$E:$E,B265))</f>
        <v/>
      </c>
      <c r="H265" s="13" t="str">
        <f t="shared" si="14"/>
        <v/>
      </c>
    </row>
    <row r="266" spans="1:8" x14ac:dyDescent="0.3">
      <c r="A266" s="6"/>
      <c r="B266" s="6"/>
      <c r="C266" s="8"/>
      <c r="D266" s="13" t="str">
        <f>IF(A266="","",SUMIFS(Base_Porao_Turno!$K:$K,Base_Porao_Turno!$A:$A,A266,Base_Porao_Turno!$E:$E,B266))</f>
        <v/>
      </c>
      <c r="E266" s="13" t="str">
        <f t="shared" si="12"/>
        <v/>
      </c>
      <c r="F266" s="14" t="str">
        <f t="shared" si="13"/>
        <v/>
      </c>
      <c r="G266" s="13" t="str">
        <f>IF(A266="","",SUMIFS(Base_Porao_Turno!$H:$H,Base_Porao_Turno!$A:$A,A266,Base_Porao_Turno!$E:$E,B266))</f>
        <v/>
      </c>
      <c r="H266" s="13" t="str">
        <f t="shared" si="14"/>
        <v/>
      </c>
    </row>
    <row r="267" spans="1:8" x14ac:dyDescent="0.3">
      <c r="A267" s="6"/>
      <c r="B267" s="6"/>
      <c r="C267" s="8"/>
      <c r="D267" s="13" t="str">
        <f>IF(A267="","",SUMIFS(Base_Porao_Turno!$K:$K,Base_Porao_Turno!$A:$A,A267,Base_Porao_Turno!$E:$E,B267))</f>
        <v/>
      </c>
      <c r="E267" s="13" t="str">
        <f t="shared" si="12"/>
        <v/>
      </c>
      <c r="F267" s="14" t="str">
        <f t="shared" si="13"/>
        <v/>
      </c>
      <c r="G267" s="13" t="str">
        <f>IF(A267="","",SUMIFS(Base_Porao_Turno!$H:$H,Base_Porao_Turno!$A:$A,A267,Base_Porao_Turno!$E:$E,B267))</f>
        <v/>
      </c>
      <c r="H267" s="13" t="str">
        <f t="shared" si="14"/>
        <v/>
      </c>
    </row>
    <row r="268" spans="1:8" x14ac:dyDescent="0.3">
      <c r="A268" s="6"/>
      <c r="B268" s="6"/>
      <c r="C268" s="8"/>
      <c r="D268" s="13" t="str">
        <f>IF(A268="","",SUMIFS(Base_Porao_Turno!$K:$K,Base_Porao_Turno!$A:$A,A268,Base_Porao_Turno!$E:$E,B268))</f>
        <v/>
      </c>
      <c r="E268" s="13" t="str">
        <f t="shared" si="12"/>
        <v/>
      </c>
      <c r="F268" s="14" t="str">
        <f t="shared" si="13"/>
        <v/>
      </c>
      <c r="G268" s="13" t="str">
        <f>IF(A268="","",SUMIFS(Base_Porao_Turno!$H:$H,Base_Porao_Turno!$A:$A,A268,Base_Porao_Turno!$E:$E,B268))</f>
        <v/>
      </c>
      <c r="H268" s="13" t="str">
        <f t="shared" si="14"/>
        <v/>
      </c>
    </row>
    <row r="269" spans="1:8" x14ac:dyDescent="0.3">
      <c r="A269" s="6"/>
      <c r="B269" s="6"/>
      <c r="C269" s="8"/>
      <c r="D269" s="13" t="str">
        <f>IF(A269="","",SUMIFS(Base_Porao_Turno!$K:$K,Base_Porao_Turno!$A:$A,A269,Base_Porao_Turno!$E:$E,B269))</f>
        <v/>
      </c>
      <c r="E269" s="13" t="str">
        <f t="shared" si="12"/>
        <v/>
      </c>
      <c r="F269" s="14" t="str">
        <f t="shared" si="13"/>
        <v/>
      </c>
      <c r="G269" s="13" t="str">
        <f>IF(A269="","",SUMIFS(Base_Porao_Turno!$H:$H,Base_Porao_Turno!$A:$A,A269,Base_Porao_Turno!$E:$E,B269))</f>
        <v/>
      </c>
      <c r="H269" s="13" t="str">
        <f t="shared" si="14"/>
        <v/>
      </c>
    </row>
    <row r="270" spans="1:8" x14ac:dyDescent="0.3">
      <c r="A270" s="6"/>
      <c r="B270" s="6"/>
      <c r="C270" s="8"/>
      <c r="D270" s="13" t="str">
        <f>IF(A270="","",SUMIFS(Base_Porao_Turno!$K:$K,Base_Porao_Turno!$A:$A,A270,Base_Porao_Turno!$E:$E,B270))</f>
        <v/>
      </c>
      <c r="E270" s="13" t="str">
        <f t="shared" si="12"/>
        <v/>
      </c>
      <c r="F270" s="14" t="str">
        <f t="shared" si="13"/>
        <v/>
      </c>
      <c r="G270" s="13" t="str">
        <f>IF(A270="","",SUMIFS(Base_Porao_Turno!$H:$H,Base_Porao_Turno!$A:$A,A270,Base_Porao_Turno!$E:$E,B270))</f>
        <v/>
      </c>
      <c r="H270" s="13" t="str">
        <f t="shared" si="14"/>
        <v/>
      </c>
    </row>
    <row r="271" spans="1:8" x14ac:dyDescent="0.3">
      <c r="A271" s="6"/>
      <c r="B271" s="6"/>
      <c r="C271" s="8"/>
      <c r="D271" s="13" t="str">
        <f>IF(A271="","",SUMIFS(Base_Porao_Turno!$K:$K,Base_Porao_Turno!$A:$A,A271,Base_Porao_Turno!$E:$E,B271))</f>
        <v/>
      </c>
      <c r="E271" s="13" t="str">
        <f t="shared" si="12"/>
        <v/>
      </c>
      <c r="F271" s="14" t="str">
        <f t="shared" si="13"/>
        <v/>
      </c>
      <c r="G271" s="13" t="str">
        <f>IF(A271="","",SUMIFS(Base_Porao_Turno!$H:$H,Base_Porao_Turno!$A:$A,A271,Base_Porao_Turno!$E:$E,B271))</f>
        <v/>
      </c>
      <c r="H271" s="13" t="str">
        <f t="shared" si="14"/>
        <v/>
      </c>
    </row>
    <row r="272" spans="1:8" x14ac:dyDescent="0.3">
      <c r="A272" s="6"/>
      <c r="B272" s="6"/>
      <c r="C272" s="8"/>
      <c r="D272" s="13" t="str">
        <f>IF(A272="","",SUMIFS(Base_Porao_Turno!$K:$K,Base_Porao_Turno!$A:$A,A272,Base_Porao_Turno!$E:$E,B272))</f>
        <v/>
      </c>
      <c r="E272" s="13" t="str">
        <f t="shared" si="12"/>
        <v/>
      </c>
      <c r="F272" s="14" t="str">
        <f t="shared" si="13"/>
        <v/>
      </c>
      <c r="G272" s="13" t="str">
        <f>IF(A272="","",SUMIFS(Base_Porao_Turno!$H:$H,Base_Porao_Turno!$A:$A,A272,Base_Porao_Turno!$E:$E,B272))</f>
        <v/>
      </c>
      <c r="H272" s="13" t="str">
        <f t="shared" si="14"/>
        <v/>
      </c>
    </row>
    <row r="273" spans="1:8" x14ac:dyDescent="0.3">
      <c r="A273" s="6"/>
      <c r="B273" s="6"/>
      <c r="C273" s="8"/>
      <c r="D273" s="13" t="str">
        <f>IF(A273="","",SUMIFS(Base_Porao_Turno!$K:$K,Base_Porao_Turno!$A:$A,A273,Base_Porao_Turno!$E:$E,B273))</f>
        <v/>
      </c>
      <c r="E273" s="13" t="str">
        <f t="shared" si="12"/>
        <v/>
      </c>
      <c r="F273" s="14" t="str">
        <f t="shared" si="13"/>
        <v/>
      </c>
      <c r="G273" s="13" t="str">
        <f>IF(A273="","",SUMIFS(Base_Porao_Turno!$H:$H,Base_Porao_Turno!$A:$A,A273,Base_Porao_Turno!$E:$E,B273))</f>
        <v/>
      </c>
      <c r="H273" s="13" t="str">
        <f t="shared" si="14"/>
        <v/>
      </c>
    </row>
    <row r="274" spans="1:8" x14ac:dyDescent="0.3">
      <c r="A274" s="6"/>
      <c r="B274" s="6"/>
      <c r="C274" s="8"/>
      <c r="D274" s="13" t="str">
        <f>IF(A274="","",SUMIFS(Base_Porao_Turno!$K:$K,Base_Porao_Turno!$A:$A,A274,Base_Porao_Turno!$E:$E,B274))</f>
        <v/>
      </c>
      <c r="E274" s="13" t="str">
        <f t="shared" si="12"/>
        <v/>
      </c>
      <c r="F274" s="14" t="str">
        <f t="shared" si="13"/>
        <v/>
      </c>
      <c r="G274" s="13" t="str">
        <f>IF(A274="","",SUMIFS(Base_Porao_Turno!$H:$H,Base_Porao_Turno!$A:$A,A274,Base_Porao_Turno!$E:$E,B274))</f>
        <v/>
      </c>
      <c r="H274" s="13" t="str">
        <f t="shared" si="14"/>
        <v/>
      </c>
    </row>
    <row r="275" spans="1:8" x14ac:dyDescent="0.3">
      <c r="A275" s="6"/>
      <c r="B275" s="6"/>
      <c r="C275" s="8"/>
      <c r="D275" s="13" t="str">
        <f>IF(A275="","",SUMIFS(Base_Porao_Turno!$K:$K,Base_Porao_Turno!$A:$A,A275,Base_Porao_Turno!$E:$E,B275))</f>
        <v/>
      </c>
      <c r="E275" s="13" t="str">
        <f t="shared" si="12"/>
        <v/>
      </c>
      <c r="F275" s="14" t="str">
        <f t="shared" si="13"/>
        <v/>
      </c>
      <c r="G275" s="13" t="str">
        <f>IF(A275="","",SUMIFS(Base_Porao_Turno!$H:$H,Base_Porao_Turno!$A:$A,A275,Base_Porao_Turno!$E:$E,B275))</f>
        <v/>
      </c>
      <c r="H275" s="13" t="str">
        <f t="shared" si="14"/>
        <v/>
      </c>
    </row>
    <row r="276" spans="1:8" x14ac:dyDescent="0.3">
      <c r="A276" s="6"/>
      <c r="B276" s="6"/>
      <c r="C276" s="8"/>
      <c r="D276" s="13" t="str">
        <f>IF(A276="","",SUMIFS(Base_Porao_Turno!$K:$K,Base_Porao_Turno!$A:$A,A276,Base_Porao_Turno!$E:$E,B276))</f>
        <v/>
      </c>
      <c r="E276" s="13" t="str">
        <f t="shared" si="12"/>
        <v/>
      </c>
      <c r="F276" s="14" t="str">
        <f t="shared" si="13"/>
        <v/>
      </c>
      <c r="G276" s="13" t="str">
        <f>IF(A276="","",SUMIFS(Base_Porao_Turno!$H:$H,Base_Porao_Turno!$A:$A,A276,Base_Porao_Turno!$E:$E,B276))</f>
        <v/>
      </c>
      <c r="H276" s="13" t="str">
        <f t="shared" si="14"/>
        <v/>
      </c>
    </row>
    <row r="277" spans="1:8" x14ac:dyDescent="0.3">
      <c r="A277" s="6"/>
      <c r="B277" s="6"/>
      <c r="C277" s="8"/>
      <c r="D277" s="13" t="str">
        <f>IF(A277="","",SUMIFS(Base_Porao_Turno!$K:$K,Base_Porao_Turno!$A:$A,A277,Base_Porao_Turno!$E:$E,B277))</f>
        <v/>
      </c>
      <c r="E277" s="13" t="str">
        <f t="shared" si="12"/>
        <v/>
      </c>
      <c r="F277" s="14" t="str">
        <f t="shared" si="13"/>
        <v/>
      </c>
      <c r="G277" s="13" t="str">
        <f>IF(A277="","",SUMIFS(Base_Porao_Turno!$H:$H,Base_Porao_Turno!$A:$A,A277,Base_Porao_Turno!$E:$E,B277))</f>
        <v/>
      </c>
      <c r="H277" s="13" t="str">
        <f t="shared" si="14"/>
        <v/>
      </c>
    </row>
    <row r="278" spans="1:8" x14ac:dyDescent="0.3">
      <c r="A278" s="6"/>
      <c r="B278" s="6"/>
      <c r="C278" s="8"/>
      <c r="D278" s="13" t="str">
        <f>IF(A278="","",SUMIFS(Base_Porao_Turno!$K:$K,Base_Porao_Turno!$A:$A,A278,Base_Porao_Turno!$E:$E,B278))</f>
        <v/>
      </c>
      <c r="E278" s="13" t="str">
        <f t="shared" si="12"/>
        <v/>
      </c>
      <c r="F278" s="14" t="str">
        <f t="shared" si="13"/>
        <v/>
      </c>
      <c r="G278" s="13" t="str">
        <f>IF(A278="","",SUMIFS(Base_Porao_Turno!$H:$H,Base_Porao_Turno!$A:$A,A278,Base_Porao_Turno!$E:$E,B278))</f>
        <v/>
      </c>
      <c r="H278" s="13" t="str">
        <f t="shared" si="14"/>
        <v/>
      </c>
    </row>
    <row r="279" spans="1:8" x14ac:dyDescent="0.3">
      <c r="A279" s="6"/>
      <c r="B279" s="6"/>
      <c r="C279" s="8"/>
      <c r="D279" s="13" t="str">
        <f>IF(A279="","",SUMIFS(Base_Porao_Turno!$K:$K,Base_Porao_Turno!$A:$A,A279,Base_Porao_Turno!$E:$E,B279))</f>
        <v/>
      </c>
      <c r="E279" s="13" t="str">
        <f t="shared" si="12"/>
        <v/>
      </c>
      <c r="F279" s="14" t="str">
        <f t="shared" si="13"/>
        <v/>
      </c>
      <c r="G279" s="13" t="str">
        <f>IF(A279="","",SUMIFS(Base_Porao_Turno!$H:$H,Base_Porao_Turno!$A:$A,A279,Base_Porao_Turno!$E:$E,B279))</f>
        <v/>
      </c>
      <c r="H279" s="13" t="str">
        <f t="shared" si="14"/>
        <v/>
      </c>
    </row>
    <row r="280" spans="1:8" x14ac:dyDescent="0.3">
      <c r="A280" s="6"/>
      <c r="B280" s="6"/>
      <c r="C280" s="8"/>
      <c r="D280" s="13" t="str">
        <f>IF(A280="","",SUMIFS(Base_Porao_Turno!$K:$K,Base_Porao_Turno!$A:$A,A280,Base_Porao_Turno!$E:$E,B280))</f>
        <v/>
      </c>
      <c r="E280" s="13" t="str">
        <f t="shared" si="12"/>
        <v/>
      </c>
      <c r="F280" s="14" t="str">
        <f t="shared" si="13"/>
        <v/>
      </c>
      <c r="G280" s="13" t="str">
        <f>IF(A280="","",SUMIFS(Base_Porao_Turno!$H:$H,Base_Porao_Turno!$A:$A,A280,Base_Porao_Turno!$E:$E,B280))</f>
        <v/>
      </c>
      <c r="H280" s="13" t="str">
        <f t="shared" si="14"/>
        <v/>
      </c>
    </row>
    <row r="281" spans="1:8" x14ac:dyDescent="0.3">
      <c r="A281" s="6"/>
      <c r="B281" s="6"/>
      <c r="C281" s="8"/>
      <c r="D281" s="13" t="str">
        <f>IF(A281="","",SUMIFS(Base_Porao_Turno!$K:$K,Base_Porao_Turno!$A:$A,A281,Base_Porao_Turno!$E:$E,B281))</f>
        <v/>
      </c>
      <c r="E281" s="13" t="str">
        <f t="shared" si="12"/>
        <v/>
      </c>
      <c r="F281" s="14" t="str">
        <f t="shared" si="13"/>
        <v/>
      </c>
      <c r="G281" s="13" t="str">
        <f>IF(A281="","",SUMIFS(Base_Porao_Turno!$H:$H,Base_Porao_Turno!$A:$A,A281,Base_Porao_Turno!$E:$E,B281))</f>
        <v/>
      </c>
      <c r="H281" s="13" t="str">
        <f t="shared" si="14"/>
        <v/>
      </c>
    </row>
    <row r="282" spans="1:8" x14ac:dyDescent="0.3">
      <c r="A282" s="6"/>
      <c r="B282" s="6"/>
      <c r="C282" s="8"/>
      <c r="D282" s="13" t="str">
        <f>IF(A282="","",SUMIFS(Base_Porao_Turno!$K:$K,Base_Porao_Turno!$A:$A,A282,Base_Porao_Turno!$E:$E,B282))</f>
        <v/>
      </c>
      <c r="E282" s="13" t="str">
        <f t="shared" si="12"/>
        <v/>
      </c>
      <c r="F282" s="14" t="str">
        <f t="shared" si="13"/>
        <v/>
      </c>
      <c r="G282" s="13" t="str">
        <f>IF(A282="","",SUMIFS(Base_Porao_Turno!$H:$H,Base_Porao_Turno!$A:$A,A282,Base_Porao_Turno!$E:$E,B282))</f>
        <v/>
      </c>
      <c r="H282" s="13" t="str">
        <f t="shared" si="14"/>
        <v/>
      </c>
    </row>
    <row r="283" spans="1:8" x14ac:dyDescent="0.3">
      <c r="A283" s="6"/>
      <c r="B283" s="6"/>
      <c r="C283" s="8"/>
      <c r="D283" s="13" t="str">
        <f>IF(A283="","",SUMIFS(Base_Porao_Turno!$K:$K,Base_Porao_Turno!$A:$A,A283,Base_Porao_Turno!$E:$E,B283))</f>
        <v/>
      </c>
      <c r="E283" s="13" t="str">
        <f t="shared" si="12"/>
        <v/>
      </c>
      <c r="F283" s="14" t="str">
        <f t="shared" si="13"/>
        <v/>
      </c>
      <c r="G283" s="13" t="str">
        <f>IF(A283="","",SUMIFS(Base_Porao_Turno!$H:$H,Base_Porao_Turno!$A:$A,A283,Base_Porao_Turno!$E:$E,B283))</f>
        <v/>
      </c>
      <c r="H283" s="13" t="str">
        <f t="shared" si="14"/>
        <v/>
      </c>
    </row>
    <row r="284" spans="1:8" x14ac:dyDescent="0.3">
      <c r="A284" s="6"/>
      <c r="B284" s="6"/>
      <c r="C284" s="8"/>
      <c r="D284" s="13" t="str">
        <f>IF(A284="","",SUMIFS(Base_Porao_Turno!$K:$K,Base_Porao_Turno!$A:$A,A284,Base_Porao_Turno!$E:$E,B284))</f>
        <v/>
      </c>
      <c r="E284" s="13" t="str">
        <f t="shared" si="12"/>
        <v/>
      </c>
      <c r="F284" s="14" t="str">
        <f t="shared" si="13"/>
        <v/>
      </c>
      <c r="G284" s="13" t="str">
        <f>IF(A284="","",SUMIFS(Base_Porao_Turno!$H:$H,Base_Porao_Turno!$A:$A,A284,Base_Porao_Turno!$E:$E,B284))</f>
        <v/>
      </c>
      <c r="H284" s="13" t="str">
        <f t="shared" si="14"/>
        <v/>
      </c>
    </row>
    <row r="285" spans="1:8" x14ac:dyDescent="0.3">
      <c r="A285" s="6"/>
      <c r="B285" s="6"/>
      <c r="C285" s="8"/>
      <c r="D285" s="13" t="str">
        <f>IF(A285="","",SUMIFS(Base_Porao_Turno!$K:$K,Base_Porao_Turno!$A:$A,A285,Base_Porao_Turno!$E:$E,B285))</f>
        <v/>
      </c>
      <c r="E285" s="13" t="str">
        <f t="shared" si="12"/>
        <v/>
      </c>
      <c r="F285" s="14" t="str">
        <f t="shared" si="13"/>
        <v/>
      </c>
      <c r="G285" s="13" t="str">
        <f>IF(A285="","",SUMIFS(Base_Porao_Turno!$H:$H,Base_Porao_Turno!$A:$A,A285,Base_Porao_Turno!$E:$E,B285))</f>
        <v/>
      </c>
      <c r="H285" s="13" t="str">
        <f t="shared" si="14"/>
        <v/>
      </c>
    </row>
    <row r="286" spans="1:8" x14ac:dyDescent="0.3">
      <c r="A286" s="6"/>
      <c r="B286" s="6"/>
      <c r="C286" s="8"/>
      <c r="D286" s="13" t="str">
        <f>IF(A286="","",SUMIFS(Base_Porao_Turno!$K:$K,Base_Porao_Turno!$A:$A,A286,Base_Porao_Turno!$E:$E,B286))</f>
        <v/>
      </c>
      <c r="E286" s="13" t="str">
        <f t="shared" si="12"/>
        <v/>
      </c>
      <c r="F286" s="14" t="str">
        <f t="shared" si="13"/>
        <v/>
      </c>
      <c r="G286" s="13" t="str">
        <f>IF(A286="","",SUMIFS(Base_Porao_Turno!$H:$H,Base_Porao_Turno!$A:$A,A286,Base_Porao_Turno!$E:$E,B286))</f>
        <v/>
      </c>
      <c r="H286" s="13" t="str">
        <f t="shared" si="14"/>
        <v/>
      </c>
    </row>
    <row r="287" spans="1:8" x14ac:dyDescent="0.3">
      <c r="A287" s="6"/>
      <c r="B287" s="6"/>
      <c r="C287" s="8"/>
      <c r="D287" s="13" t="str">
        <f>IF(A287="","",SUMIFS(Base_Porao_Turno!$K:$K,Base_Porao_Turno!$A:$A,A287,Base_Porao_Turno!$E:$E,B287))</f>
        <v/>
      </c>
      <c r="E287" s="13" t="str">
        <f t="shared" si="12"/>
        <v/>
      </c>
      <c r="F287" s="14" t="str">
        <f t="shared" si="13"/>
        <v/>
      </c>
      <c r="G287" s="13" t="str">
        <f>IF(A287="","",SUMIFS(Base_Porao_Turno!$H:$H,Base_Porao_Turno!$A:$A,A287,Base_Porao_Turno!$E:$E,B287))</f>
        <v/>
      </c>
      <c r="H287" s="13" t="str">
        <f t="shared" si="14"/>
        <v/>
      </c>
    </row>
    <row r="288" spans="1:8" x14ac:dyDescent="0.3">
      <c r="A288" s="6"/>
      <c r="B288" s="6"/>
      <c r="C288" s="8"/>
      <c r="D288" s="13" t="str">
        <f>IF(A288="","",SUMIFS(Base_Porao_Turno!$K:$K,Base_Porao_Turno!$A:$A,A288,Base_Porao_Turno!$E:$E,B288))</f>
        <v/>
      </c>
      <c r="E288" s="13" t="str">
        <f t="shared" si="12"/>
        <v/>
      </c>
      <c r="F288" s="14" t="str">
        <f t="shared" si="13"/>
        <v/>
      </c>
      <c r="G288" s="13" t="str">
        <f>IF(A288="","",SUMIFS(Base_Porao_Turno!$H:$H,Base_Porao_Turno!$A:$A,A288,Base_Porao_Turno!$E:$E,B288))</f>
        <v/>
      </c>
      <c r="H288" s="13" t="str">
        <f t="shared" si="14"/>
        <v/>
      </c>
    </row>
    <row r="289" spans="1:8" x14ac:dyDescent="0.3">
      <c r="A289" s="6"/>
      <c r="B289" s="6"/>
      <c r="C289" s="8"/>
      <c r="D289" s="13" t="str">
        <f>IF(A289="","",SUMIFS(Base_Porao_Turno!$K:$K,Base_Porao_Turno!$A:$A,A289,Base_Porao_Turno!$E:$E,B289))</f>
        <v/>
      </c>
      <c r="E289" s="13" t="str">
        <f t="shared" si="12"/>
        <v/>
      </c>
      <c r="F289" s="14" t="str">
        <f t="shared" si="13"/>
        <v/>
      </c>
      <c r="G289" s="13" t="str">
        <f>IF(A289="","",SUMIFS(Base_Porao_Turno!$H:$H,Base_Porao_Turno!$A:$A,A289,Base_Porao_Turno!$E:$E,B289))</f>
        <v/>
      </c>
      <c r="H289" s="13" t="str">
        <f t="shared" si="14"/>
        <v/>
      </c>
    </row>
    <row r="290" spans="1:8" x14ac:dyDescent="0.3">
      <c r="A290" s="6"/>
      <c r="B290" s="6"/>
      <c r="C290" s="8"/>
      <c r="D290" s="13" t="str">
        <f>IF(A290="","",SUMIFS(Base_Porao_Turno!$K:$K,Base_Porao_Turno!$A:$A,A290,Base_Porao_Turno!$E:$E,B290))</f>
        <v/>
      </c>
      <c r="E290" s="13" t="str">
        <f t="shared" si="12"/>
        <v/>
      </c>
      <c r="F290" s="14" t="str">
        <f t="shared" si="13"/>
        <v/>
      </c>
      <c r="G290" s="13" t="str">
        <f>IF(A290="","",SUMIFS(Base_Porao_Turno!$H:$H,Base_Porao_Turno!$A:$A,A290,Base_Porao_Turno!$E:$E,B290))</f>
        <v/>
      </c>
      <c r="H290" s="13" t="str">
        <f t="shared" si="14"/>
        <v/>
      </c>
    </row>
    <row r="291" spans="1:8" x14ac:dyDescent="0.3">
      <c r="A291" s="6"/>
      <c r="B291" s="6"/>
      <c r="C291" s="8"/>
      <c r="D291" s="13" t="str">
        <f>IF(A291="","",SUMIFS(Base_Porao_Turno!$K:$K,Base_Porao_Turno!$A:$A,A291,Base_Porao_Turno!$E:$E,B291))</f>
        <v/>
      </c>
      <c r="E291" s="13" t="str">
        <f t="shared" si="12"/>
        <v/>
      </c>
      <c r="F291" s="14" t="str">
        <f t="shared" si="13"/>
        <v/>
      </c>
      <c r="G291" s="13" t="str">
        <f>IF(A291="","",SUMIFS(Base_Porao_Turno!$H:$H,Base_Porao_Turno!$A:$A,A291,Base_Porao_Turno!$E:$E,B291))</f>
        <v/>
      </c>
      <c r="H291" s="13" t="str">
        <f t="shared" si="14"/>
        <v/>
      </c>
    </row>
    <row r="292" spans="1:8" x14ac:dyDescent="0.3">
      <c r="A292" s="6"/>
      <c r="B292" s="6"/>
      <c r="C292" s="8"/>
      <c r="D292" s="13" t="str">
        <f>IF(A292="","",SUMIFS(Base_Porao_Turno!$K:$K,Base_Porao_Turno!$A:$A,A292,Base_Porao_Turno!$E:$E,B292))</f>
        <v/>
      </c>
      <c r="E292" s="13" t="str">
        <f t="shared" si="12"/>
        <v/>
      </c>
      <c r="F292" s="14" t="str">
        <f t="shared" si="13"/>
        <v/>
      </c>
      <c r="G292" s="13" t="str">
        <f>IF(A292="","",SUMIFS(Base_Porao_Turno!$H:$H,Base_Porao_Turno!$A:$A,A292,Base_Porao_Turno!$E:$E,B292))</f>
        <v/>
      </c>
      <c r="H292" s="13" t="str">
        <f t="shared" si="14"/>
        <v/>
      </c>
    </row>
    <row r="293" spans="1:8" x14ac:dyDescent="0.3">
      <c r="A293" s="6"/>
      <c r="B293" s="6"/>
      <c r="C293" s="8"/>
      <c r="D293" s="13" t="str">
        <f>IF(A293="","",SUMIFS(Base_Porao_Turno!$K:$K,Base_Porao_Turno!$A:$A,A293,Base_Porao_Turno!$E:$E,B293))</f>
        <v/>
      </c>
      <c r="E293" s="13" t="str">
        <f t="shared" si="12"/>
        <v/>
      </c>
      <c r="F293" s="14" t="str">
        <f t="shared" si="13"/>
        <v/>
      </c>
      <c r="G293" s="13" t="str">
        <f>IF(A293="","",SUMIFS(Base_Porao_Turno!$H:$H,Base_Porao_Turno!$A:$A,A293,Base_Porao_Turno!$E:$E,B293))</f>
        <v/>
      </c>
      <c r="H293" s="13" t="str">
        <f t="shared" si="14"/>
        <v/>
      </c>
    </row>
    <row r="294" spans="1:8" x14ac:dyDescent="0.3">
      <c r="A294" s="6"/>
      <c r="B294" s="6"/>
      <c r="C294" s="8"/>
      <c r="D294" s="13" t="str">
        <f>IF(A294="","",SUMIFS(Base_Porao_Turno!$K:$K,Base_Porao_Turno!$A:$A,A294,Base_Porao_Turno!$E:$E,B294))</f>
        <v/>
      </c>
      <c r="E294" s="13" t="str">
        <f t="shared" si="12"/>
        <v/>
      </c>
      <c r="F294" s="14" t="str">
        <f t="shared" si="13"/>
        <v/>
      </c>
      <c r="G294" s="13" t="str">
        <f>IF(A294="","",SUMIFS(Base_Porao_Turno!$H:$H,Base_Porao_Turno!$A:$A,A294,Base_Porao_Turno!$E:$E,B294))</f>
        <v/>
      </c>
      <c r="H294" s="13" t="str">
        <f t="shared" si="14"/>
        <v/>
      </c>
    </row>
    <row r="295" spans="1:8" x14ac:dyDescent="0.3">
      <c r="A295" s="6"/>
      <c r="B295" s="6"/>
      <c r="C295" s="8"/>
      <c r="D295" s="13" t="str">
        <f>IF(A295="","",SUMIFS(Base_Porao_Turno!$K:$K,Base_Porao_Turno!$A:$A,A295,Base_Porao_Turno!$E:$E,B295))</f>
        <v/>
      </c>
      <c r="E295" s="13" t="str">
        <f t="shared" si="12"/>
        <v/>
      </c>
      <c r="F295" s="14" t="str">
        <f t="shared" si="13"/>
        <v/>
      </c>
      <c r="G295" s="13" t="str">
        <f>IF(A295="","",SUMIFS(Base_Porao_Turno!$H:$H,Base_Porao_Turno!$A:$A,A295,Base_Porao_Turno!$E:$E,B295))</f>
        <v/>
      </c>
      <c r="H295" s="13" t="str">
        <f t="shared" si="14"/>
        <v/>
      </c>
    </row>
    <row r="296" spans="1:8" x14ac:dyDescent="0.3">
      <c r="A296" s="6"/>
      <c r="B296" s="6"/>
      <c r="C296" s="8"/>
      <c r="D296" s="13" t="str">
        <f>IF(A296="","",SUMIFS(Base_Porao_Turno!$K:$K,Base_Porao_Turno!$A:$A,A296,Base_Porao_Turno!$E:$E,B296))</f>
        <v/>
      </c>
      <c r="E296" s="13" t="str">
        <f t="shared" si="12"/>
        <v/>
      </c>
      <c r="F296" s="14" t="str">
        <f t="shared" si="13"/>
        <v/>
      </c>
      <c r="G296" s="13" t="str">
        <f>IF(A296="","",SUMIFS(Base_Porao_Turno!$H:$H,Base_Porao_Turno!$A:$A,A296,Base_Porao_Turno!$E:$E,B296))</f>
        <v/>
      </c>
      <c r="H296" s="13" t="str">
        <f t="shared" si="14"/>
        <v/>
      </c>
    </row>
    <row r="297" spans="1:8" x14ac:dyDescent="0.3">
      <c r="A297" s="6"/>
      <c r="B297" s="6"/>
      <c r="C297" s="8"/>
      <c r="D297" s="13" t="str">
        <f>IF(A297="","",SUMIFS(Base_Porao_Turno!$K:$K,Base_Porao_Turno!$A:$A,A297,Base_Porao_Turno!$E:$E,B297))</f>
        <v/>
      </c>
      <c r="E297" s="13" t="str">
        <f t="shared" si="12"/>
        <v/>
      </c>
      <c r="F297" s="14" t="str">
        <f t="shared" si="13"/>
        <v/>
      </c>
      <c r="G297" s="13" t="str">
        <f>IF(A297="","",SUMIFS(Base_Porao_Turno!$H:$H,Base_Porao_Turno!$A:$A,A297,Base_Porao_Turno!$E:$E,B297))</f>
        <v/>
      </c>
      <c r="H297" s="13" t="str">
        <f t="shared" si="14"/>
        <v/>
      </c>
    </row>
    <row r="298" spans="1:8" x14ac:dyDescent="0.3">
      <c r="A298" s="6"/>
      <c r="B298" s="6"/>
      <c r="C298" s="8"/>
      <c r="D298" s="13" t="str">
        <f>IF(A298="","",SUMIFS(Base_Porao_Turno!$K:$K,Base_Porao_Turno!$A:$A,A298,Base_Porao_Turno!$E:$E,B298))</f>
        <v/>
      </c>
      <c r="E298" s="13" t="str">
        <f t="shared" si="12"/>
        <v/>
      </c>
      <c r="F298" s="14" t="str">
        <f t="shared" si="13"/>
        <v/>
      </c>
      <c r="G298" s="13" t="str">
        <f>IF(A298="","",SUMIFS(Base_Porao_Turno!$H:$H,Base_Porao_Turno!$A:$A,A298,Base_Porao_Turno!$E:$E,B298))</f>
        <v/>
      </c>
      <c r="H298" s="13" t="str">
        <f t="shared" si="14"/>
        <v/>
      </c>
    </row>
    <row r="299" spans="1:8" x14ac:dyDescent="0.3">
      <c r="A299" s="6"/>
      <c r="B299" s="6"/>
      <c r="C299" s="8"/>
      <c r="D299" s="13" t="str">
        <f>IF(A299="","",SUMIFS(Base_Porao_Turno!$K:$K,Base_Porao_Turno!$A:$A,A299,Base_Porao_Turno!$E:$E,B299))</f>
        <v/>
      </c>
      <c r="E299" s="13" t="str">
        <f t="shared" si="12"/>
        <v/>
      </c>
      <c r="F299" s="14" t="str">
        <f t="shared" si="13"/>
        <v/>
      </c>
      <c r="G299" s="13" t="str">
        <f>IF(A299="","",SUMIFS(Base_Porao_Turno!$H:$H,Base_Porao_Turno!$A:$A,A299,Base_Porao_Turno!$E:$E,B299))</f>
        <v/>
      </c>
      <c r="H299" s="13" t="str">
        <f t="shared" si="14"/>
        <v/>
      </c>
    </row>
    <row r="300" spans="1:8" x14ac:dyDescent="0.3">
      <c r="A300" s="6"/>
      <c r="B300" s="6"/>
      <c r="C300" s="8"/>
      <c r="D300" s="13" t="str">
        <f>IF(A300="","",SUMIFS(Base_Porao_Turno!$K:$K,Base_Porao_Turno!$A:$A,A300,Base_Porao_Turno!$E:$E,B300))</f>
        <v/>
      </c>
      <c r="E300" s="13" t="str">
        <f t="shared" si="12"/>
        <v/>
      </c>
      <c r="F300" s="14" t="str">
        <f t="shared" si="13"/>
        <v/>
      </c>
      <c r="G300" s="13" t="str">
        <f>IF(A300="","",SUMIFS(Base_Porao_Turno!$H:$H,Base_Porao_Turno!$A:$A,A300,Base_Porao_Turno!$E:$E,B300))</f>
        <v/>
      </c>
      <c r="H300" s="13" t="str">
        <f t="shared" si="14"/>
        <v/>
      </c>
    </row>
    <row r="301" spans="1:8" x14ac:dyDescent="0.3">
      <c r="A301" s="6"/>
      <c r="B301" s="6"/>
      <c r="C301" s="8"/>
      <c r="D301" s="13" t="str">
        <f>IF(A301="","",SUMIFS(Base_Porao_Turno!$K:$K,Base_Porao_Turno!$A:$A,A301,Base_Porao_Turno!$E:$E,B301))</f>
        <v/>
      </c>
      <c r="E301" s="13" t="str">
        <f t="shared" si="12"/>
        <v/>
      </c>
      <c r="F301" s="14" t="str">
        <f t="shared" si="13"/>
        <v/>
      </c>
      <c r="G301" s="13" t="str">
        <f>IF(A301="","",SUMIFS(Base_Porao_Turno!$H:$H,Base_Porao_Turno!$A:$A,A301,Base_Porao_Turno!$E:$E,B301))</f>
        <v/>
      </c>
      <c r="H301" s="13" t="str">
        <f t="shared" si="14"/>
        <v/>
      </c>
    </row>
    <row r="302" spans="1:8" x14ac:dyDescent="0.3">
      <c r="A302" s="6"/>
      <c r="B302" s="6"/>
      <c r="C302" s="8"/>
      <c r="D302" s="13" t="str">
        <f>IF(A302="","",SUMIFS(Base_Porao_Turno!$K:$K,Base_Porao_Turno!$A:$A,A302,Base_Porao_Turno!$E:$E,B302))</f>
        <v/>
      </c>
      <c r="E302" s="13" t="str">
        <f t="shared" si="12"/>
        <v/>
      </c>
      <c r="F302" s="14" t="str">
        <f t="shared" si="13"/>
        <v/>
      </c>
      <c r="G302" s="13" t="str">
        <f>IF(A302="","",SUMIFS(Base_Porao_Turno!$H:$H,Base_Porao_Turno!$A:$A,A302,Base_Porao_Turno!$E:$E,B302))</f>
        <v/>
      </c>
      <c r="H302" s="13" t="str">
        <f t="shared" si="14"/>
        <v/>
      </c>
    </row>
    <row r="303" spans="1:8" x14ac:dyDescent="0.3">
      <c r="A303" s="6"/>
      <c r="B303" s="6"/>
      <c r="C303" s="8"/>
      <c r="D303" s="13" t="str">
        <f>IF(A303="","",SUMIFS(Base_Porao_Turno!$K:$K,Base_Porao_Turno!$A:$A,A303,Base_Porao_Turno!$E:$E,B303))</f>
        <v/>
      </c>
      <c r="E303" s="13" t="str">
        <f t="shared" si="12"/>
        <v/>
      </c>
      <c r="F303" s="14" t="str">
        <f t="shared" si="13"/>
        <v/>
      </c>
      <c r="G303" s="13" t="str">
        <f>IF(A303="","",SUMIFS(Base_Porao_Turno!$H:$H,Base_Porao_Turno!$A:$A,A303,Base_Porao_Turno!$E:$E,B303))</f>
        <v/>
      </c>
      <c r="H303" s="13" t="str">
        <f t="shared" si="14"/>
        <v/>
      </c>
    </row>
    <row r="304" spans="1:8" x14ac:dyDescent="0.3">
      <c r="A304" s="6"/>
      <c r="B304" s="6"/>
      <c r="C304" s="8"/>
      <c r="D304" s="13" t="str">
        <f>IF(A304="","",SUMIFS(Base_Porao_Turno!$K:$K,Base_Porao_Turno!$A:$A,A304,Base_Porao_Turno!$E:$E,B304))</f>
        <v/>
      </c>
      <c r="E304" s="13" t="str">
        <f t="shared" si="12"/>
        <v/>
      </c>
      <c r="F304" s="14" t="str">
        <f t="shared" si="13"/>
        <v/>
      </c>
      <c r="G304" s="13" t="str">
        <f>IF(A304="","",SUMIFS(Base_Porao_Turno!$H:$H,Base_Porao_Turno!$A:$A,A304,Base_Porao_Turno!$E:$E,B304))</f>
        <v/>
      </c>
      <c r="H304" s="13" t="str">
        <f t="shared" si="14"/>
        <v/>
      </c>
    </row>
    <row r="305" spans="1:8" x14ac:dyDescent="0.3">
      <c r="A305" s="6"/>
      <c r="B305" s="6"/>
      <c r="C305" s="8"/>
      <c r="D305" s="13" t="str">
        <f>IF(A305="","",SUMIFS(Base_Porao_Turno!$K:$K,Base_Porao_Turno!$A:$A,A305,Base_Porao_Turno!$E:$E,B305))</f>
        <v/>
      </c>
      <c r="E305" s="13" t="str">
        <f t="shared" si="12"/>
        <v/>
      </c>
      <c r="F305" s="14" t="str">
        <f t="shared" si="13"/>
        <v/>
      </c>
      <c r="G305" s="13" t="str">
        <f>IF(A305="","",SUMIFS(Base_Porao_Turno!$H:$H,Base_Porao_Turno!$A:$A,A305,Base_Porao_Turno!$E:$E,B305))</f>
        <v/>
      </c>
      <c r="H305" s="13" t="str">
        <f t="shared" si="14"/>
        <v/>
      </c>
    </row>
    <row r="306" spans="1:8" x14ac:dyDescent="0.3">
      <c r="A306" s="6"/>
      <c r="B306" s="6"/>
      <c r="C306" s="8"/>
      <c r="D306" s="13" t="str">
        <f>IF(A306="","",SUMIFS(Base_Porao_Turno!$K:$K,Base_Porao_Turno!$A:$A,A306,Base_Porao_Turno!$E:$E,B306))</f>
        <v/>
      </c>
      <c r="E306" s="13" t="str">
        <f t="shared" si="12"/>
        <v/>
      </c>
      <c r="F306" s="14" t="str">
        <f t="shared" si="13"/>
        <v/>
      </c>
      <c r="G306" s="13" t="str">
        <f>IF(A306="","",SUMIFS(Base_Porao_Turno!$H:$H,Base_Porao_Turno!$A:$A,A306,Base_Porao_Turno!$E:$E,B306))</f>
        <v/>
      </c>
      <c r="H306" s="13" t="str">
        <f t="shared" si="14"/>
        <v/>
      </c>
    </row>
    <row r="307" spans="1:8" x14ac:dyDescent="0.3">
      <c r="A307" s="6"/>
      <c r="B307" s="6"/>
      <c r="C307" s="8"/>
      <c r="D307" s="13" t="str">
        <f>IF(A307="","",SUMIFS(Base_Porao_Turno!$K:$K,Base_Porao_Turno!$A:$A,A307,Base_Porao_Turno!$E:$E,B307))</f>
        <v/>
      </c>
      <c r="E307" s="13" t="str">
        <f t="shared" si="12"/>
        <v/>
      </c>
      <c r="F307" s="14" t="str">
        <f t="shared" si="13"/>
        <v/>
      </c>
      <c r="G307" s="13" t="str">
        <f>IF(A307="","",SUMIFS(Base_Porao_Turno!$H:$H,Base_Porao_Turno!$A:$A,A307,Base_Porao_Turno!$E:$E,B307))</f>
        <v/>
      </c>
      <c r="H307" s="13" t="str">
        <f t="shared" si="14"/>
        <v/>
      </c>
    </row>
    <row r="308" spans="1:8" x14ac:dyDescent="0.3">
      <c r="A308" s="6"/>
      <c r="B308" s="6"/>
      <c r="C308" s="8"/>
      <c r="D308" s="13" t="str">
        <f>IF(A308="","",SUMIFS(Base_Porao_Turno!$K:$K,Base_Porao_Turno!$A:$A,A308,Base_Porao_Turno!$E:$E,B308))</f>
        <v/>
      </c>
      <c r="E308" s="13" t="str">
        <f t="shared" si="12"/>
        <v/>
      </c>
      <c r="F308" s="14" t="str">
        <f t="shared" si="13"/>
        <v/>
      </c>
      <c r="G308" s="13" t="str">
        <f>IF(A308="","",SUMIFS(Base_Porao_Turno!$H:$H,Base_Porao_Turno!$A:$A,A308,Base_Porao_Turno!$E:$E,B308))</f>
        <v/>
      </c>
      <c r="H308" s="13" t="str">
        <f t="shared" si="14"/>
        <v/>
      </c>
    </row>
    <row r="309" spans="1:8" x14ac:dyDescent="0.3">
      <c r="A309" s="6"/>
      <c r="B309" s="6"/>
      <c r="C309" s="8"/>
      <c r="D309" s="13" t="str">
        <f>IF(A309="","",SUMIFS(Base_Porao_Turno!$K:$K,Base_Porao_Turno!$A:$A,A309,Base_Porao_Turno!$E:$E,B309))</f>
        <v/>
      </c>
      <c r="E309" s="13" t="str">
        <f t="shared" si="12"/>
        <v/>
      </c>
      <c r="F309" s="14" t="str">
        <f t="shared" si="13"/>
        <v/>
      </c>
      <c r="G309" s="13" t="str">
        <f>IF(A309="","",SUMIFS(Base_Porao_Turno!$H:$H,Base_Porao_Turno!$A:$A,A309,Base_Porao_Turno!$E:$E,B309))</f>
        <v/>
      </c>
      <c r="H309" s="13" t="str">
        <f t="shared" si="14"/>
        <v/>
      </c>
    </row>
    <row r="310" spans="1:8" x14ac:dyDescent="0.3">
      <c r="A310" s="6"/>
      <c r="B310" s="6"/>
      <c r="C310" s="8"/>
      <c r="D310" s="13" t="str">
        <f>IF(A310="","",SUMIFS(Base_Porao_Turno!$K:$K,Base_Porao_Turno!$A:$A,A310,Base_Porao_Turno!$E:$E,B310))</f>
        <v/>
      </c>
      <c r="E310" s="13" t="str">
        <f t="shared" si="12"/>
        <v/>
      </c>
      <c r="F310" s="14" t="str">
        <f t="shared" si="13"/>
        <v/>
      </c>
      <c r="G310" s="13" t="str">
        <f>IF(A310="","",SUMIFS(Base_Porao_Turno!$H:$H,Base_Porao_Turno!$A:$A,A310,Base_Porao_Turno!$E:$E,B310))</f>
        <v/>
      </c>
      <c r="H310" s="13" t="str">
        <f t="shared" si="14"/>
        <v/>
      </c>
    </row>
    <row r="311" spans="1:8" x14ac:dyDescent="0.3">
      <c r="A311" s="6"/>
      <c r="B311" s="6"/>
      <c r="C311" s="8"/>
      <c r="D311" s="13" t="str">
        <f>IF(A311="","",SUMIFS(Base_Porao_Turno!$K:$K,Base_Porao_Turno!$A:$A,A311,Base_Porao_Turno!$E:$E,B311))</f>
        <v/>
      </c>
      <c r="E311" s="13" t="str">
        <f t="shared" si="12"/>
        <v/>
      </c>
      <c r="F311" s="14" t="str">
        <f t="shared" si="13"/>
        <v/>
      </c>
      <c r="G311" s="13" t="str">
        <f>IF(A311="","",SUMIFS(Base_Porao_Turno!$H:$H,Base_Porao_Turno!$A:$A,A311,Base_Porao_Turno!$E:$E,B311))</f>
        <v/>
      </c>
      <c r="H311" s="13" t="str">
        <f t="shared" si="14"/>
        <v/>
      </c>
    </row>
    <row r="312" spans="1:8" x14ac:dyDescent="0.3">
      <c r="A312" s="6"/>
      <c r="B312" s="6"/>
      <c r="C312" s="8"/>
      <c r="D312" s="13" t="str">
        <f>IF(A312="","",SUMIFS(Base_Porao_Turno!$K:$K,Base_Porao_Turno!$A:$A,A312,Base_Porao_Turno!$E:$E,B312))</f>
        <v/>
      </c>
      <c r="E312" s="13" t="str">
        <f t="shared" si="12"/>
        <v/>
      </c>
      <c r="F312" s="14" t="str">
        <f t="shared" si="13"/>
        <v/>
      </c>
      <c r="G312" s="13" t="str">
        <f>IF(A312="","",SUMIFS(Base_Porao_Turno!$H:$H,Base_Porao_Turno!$A:$A,A312,Base_Porao_Turno!$E:$E,B312))</f>
        <v/>
      </c>
      <c r="H312" s="13" t="str">
        <f t="shared" si="14"/>
        <v/>
      </c>
    </row>
    <row r="313" spans="1:8" x14ac:dyDescent="0.3">
      <c r="A313" s="6"/>
      <c r="B313" s="6"/>
      <c r="C313" s="8"/>
      <c r="D313" s="13" t="str">
        <f>IF(A313="","",SUMIFS(Base_Porao_Turno!$K:$K,Base_Porao_Turno!$A:$A,A313,Base_Porao_Turno!$E:$E,B313))</f>
        <v/>
      </c>
      <c r="E313" s="13" t="str">
        <f t="shared" si="12"/>
        <v/>
      </c>
      <c r="F313" s="14" t="str">
        <f t="shared" si="13"/>
        <v/>
      </c>
      <c r="G313" s="13" t="str">
        <f>IF(A313="","",SUMIFS(Base_Porao_Turno!$H:$H,Base_Porao_Turno!$A:$A,A313,Base_Porao_Turno!$E:$E,B313))</f>
        <v/>
      </c>
      <c r="H313" s="13" t="str">
        <f t="shared" si="14"/>
        <v/>
      </c>
    </row>
    <row r="314" spans="1:8" x14ac:dyDescent="0.3">
      <c r="A314" s="6"/>
      <c r="B314" s="6"/>
      <c r="C314" s="8"/>
      <c r="D314" s="13" t="str">
        <f>IF(A314="","",SUMIFS(Base_Porao_Turno!$K:$K,Base_Porao_Turno!$A:$A,A314,Base_Porao_Turno!$E:$E,B314))</f>
        <v/>
      </c>
      <c r="E314" s="13" t="str">
        <f t="shared" si="12"/>
        <v/>
      </c>
      <c r="F314" s="14" t="str">
        <f t="shared" si="13"/>
        <v/>
      </c>
      <c r="G314" s="13" t="str">
        <f>IF(A314="","",SUMIFS(Base_Porao_Turno!$H:$H,Base_Porao_Turno!$A:$A,A314,Base_Porao_Turno!$E:$E,B314))</f>
        <v/>
      </c>
      <c r="H314" s="13" t="str">
        <f t="shared" si="14"/>
        <v/>
      </c>
    </row>
    <row r="315" spans="1:8" x14ac:dyDescent="0.3">
      <c r="A315" s="6"/>
      <c r="B315" s="6"/>
      <c r="C315" s="8"/>
      <c r="D315" s="13" t="str">
        <f>IF(A315="","",SUMIFS(Base_Porao_Turno!$K:$K,Base_Porao_Turno!$A:$A,A315,Base_Porao_Turno!$E:$E,B315))</f>
        <v/>
      </c>
      <c r="E315" s="13" t="str">
        <f t="shared" si="12"/>
        <v/>
      </c>
      <c r="F315" s="14" t="str">
        <f t="shared" si="13"/>
        <v/>
      </c>
      <c r="G315" s="13" t="str">
        <f>IF(A315="","",SUMIFS(Base_Porao_Turno!$H:$H,Base_Porao_Turno!$A:$A,A315,Base_Porao_Turno!$E:$E,B315))</f>
        <v/>
      </c>
      <c r="H315" s="13" t="str">
        <f t="shared" si="14"/>
        <v/>
      </c>
    </row>
    <row r="316" spans="1:8" x14ac:dyDescent="0.3">
      <c r="A316" s="6"/>
      <c r="B316" s="6"/>
      <c r="C316" s="8"/>
      <c r="D316" s="13" t="str">
        <f>IF(A316="","",SUMIFS(Base_Porao_Turno!$K:$K,Base_Porao_Turno!$A:$A,A316,Base_Porao_Turno!$E:$E,B316))</f>
        <v/>
      </c>
      <c r="E316" s="13" t="str">
        <f t="shared" si="12"/>
        <v/>
      </c>
      <c r="F316" s="14" t="str">
        <f t="shared" si="13"/>
        <v/>
      </c>
      <c r="G316" s="13" t="str">
        <f>IF(A316="","",SUMIFS(Base_Porao_Turno!$H:$H,Base_Porao_Turno!$A:$A,A316,Base_Porao_Turno!$E:$E,B316))</f>
        <v/>
      </c>
      <c r="H316" s="13" t="str">
        <f t="shared" si="14"/>
        <v/>
      </c>
    </row>
    <row r="317" spans="1:8" x14ac:dyDescent="0.3">
      <c r="A317" s="6"/>
      <c r="B317" s="6"/>
      <c r="C317" s="8"/>
      <c r="D317" s="13" t="str">
        <f>IF(A317="","",SUMIFS(Base_Porao_Turno!$K:$K,Base_Porao_Turno!$A:$A,A317,Base_Porao_Turno!$E:$E,B317))</f>
        <v/>
      </c>
      <c r="E317" s="13" t="str">
        <f t="shared" si="12"/>
        <v/>
      </c>
      <c r="F317" s="14" t="str">
        <f t="shared" si="13"/>
        <v/>
      </c>
      <c r="G317" s="13" t="str">
        <f>IF(A317="","",SUMIFS(Base_Porao_Turno!$H:$H,Base_Porao_Turno!$A:$A,A317,Base_Porao_Turno!$E:$E,B317))</f>
        <v/>
      </c>
      <c r="H317" s="13" t="str">
        <f t="shared" si="14"/>
        <v/>
      </c>
    </row>
    <row r="318" spans="1:8" x14ac:dyDescent="0.3">
      <c r="A318" s="6"/>
      <c r="B318" s="6"/>
      <c r="C318" s="8"/>
      <c r="D318" s="13" t="str">
        <f>IF(A318="","",SUMIFS(Base_Porao_Turno!$K:$K,Base_Porao_Turno!$A:$A,A318,Base_Porao_Turno!$E:$E,B318))</f>
        <v/>
      </c>
      <c r="E318" s="13" t="str">
        <f t="shared" si="12"/>
        <v/>
      </c>
      <c r="F318" s="14" t="str">
        <f t="shared" si="13"/>
        <v/>
      </c>
      <c r="G318" s="13" t="str">
        <f>IF(A318="","",SUMIFS(Base_Porao_Turno!$H:$H,Base_Porao_Turno!$A:$A,A318,Base_Porao_Turno!$E:$E,B318))</f>
        <v/>
      </c>
      <c r="H318" s="13" t="str">
        <f t="shared" si="14"/>
        <v/>
      </c>
    </row>
    <row r="319" spans="1:8" x14ac:dyDescent="0.3">
      <c r="A319" s="6"/>
      <c r="B319" s="6"/>
      <c r="C319" s="8"/>
      <c r="D319" s="13" t="str">
        <f>IF(A319="","",SUMIFS(Base_Porao_Turno!$K:$K,Base_Porao_Turno!$A:$A,A319,Base_Porao_Turno!$E:$E,B319))</f>
        <v/>
      </c>
      <c r="E319" s="13" t="str">
        <f t="shared" si="12"/>
        <v/>
      </c>
      <c r="F319" s="14" t="str">
        <f t="shared" si="13"/>
        <v/>
      </c>
      <c r="G319" s="13" t="str">
        <f>IF(A319="","",SUMIFS(Base_Porao_Turno!$H:$H,Base_Porao_Turno!$A:$A,A319,Base_Porao_Turno!$E:$E,B319))</f>
        <v/>
      </c>
      <c r="H319" s="13" t="str">
        <f t="shared" si="14"/>
        <v/>
      </c>
    </row>
    <row r="320" spans="1:8" x14ac:dyDescent="0.3">
      <c r="A320" s="6"/>
      <c r="B320" s="6"/>
      <c r="C320" s="8"/>
      <c r="D320" s="13" t="str">
        <f>IF(A320="","",SUMIFS(Base_Porao_Turno!$K:$K,Base_Porao_Turno!$A:$A,A320,Base_Porao_Turno!$E:$E,B320))</f>
        <v/>
      </c>
      <c r="E320" s="13" t="str">
        <f t="shared" si="12"/>
        <v/>
      </c>
      <c r="F320" s="14" t="str">
        <f t="shared" si="13"/>
        <v/>
      </c>
      <c r="G320" s="13" t="str">
        <f>IF(A320="","",SUMIFS(Base_Porao_Turno!$H:$H,Base_Porao_Turno!$A:$A,A320,Base_Porao_Turno!$E:$E,B320))</f>
        <v/>
      </c>
      <c r="H320" s="13" t="str">
        <f t="shared" si="14"/>
        <v/>
      </c>
    </row>
    <row r="321" spans="1:8" x14ac:dyDescent="0.3">
      <c r="A321" s="6"/>
      <c r="B321" s="6"/>
      <c r="C321" s="8"/>
      <c r="D321" s="13" t="str">
        <f>IF(A321="","",SUMIFS(Base_Porao_Turno!$K:$K,Base_Porao_Turno!$A:$A,A321,Base_Porao_Turno!$E:$E,B321))</f>
        <v/>
      </c>
      <c r="E321" s="13" t="str">
        <f t="shared" si="12"/>
        <v/>
      </c>
      <c r="F321" s="14" t="str">
        <f t="shared" si="13"/>
        <v/>
      </c>
      <c r="G321" s="13" t="str">
        <f>IF(A321="","",SUMIFS(Base_Porao_Turno!$H:$H,Base_Porao_Turno!$A:$A,A321,Base_Porao_Turno!$E:$E,B321))</f>
        <v/>
      </c>
      <c r="H321" s="13" t="str">
        <f t="shared" si="14"/>
        <v/>
      </c>
    </row>
    <row r="322" spans="1:8" x14ac:dyDescent="0.3">
      <c r="A322" s="6"/>
      <c r="B322" s="6"/>
      <c r="C322" s="8"/>
      <c r="D322" s="13" t="str">
        <f>IF(A322="","",SUMIFS(Base_Porao_Turno!$K:$K,Base_Porao_Turno!$A:$A,A322,Base_Porao_Turno!$E:$E,B322))</f>
        <v/>
      </c>
      <c r="E322" s="13" t="str">
        <f t="shared" ref="E322:E385" si="15">IF(OR(C322="",D322=""),"",C322-D322)</f>
        <v/>
      </c>
      <c r="F322" s="14" t="str">
        <f t="shared" ref="F322:F385" si="16">IFERROR(D322/C322,"")</f>
        <v/>
      </c>
      <c r="G322" s="13" t="str">
        <f>IF(A322="","",SUMIFS(Base_Porao_Turno!$H:$H,Base_Porao_Turno!$A:$A,A322,Base_Porao_Turno!$E:$E,B322))</f>
        <v/>
      </c>
      <c r="H322" s="13" t="str">
        <f t="shared" ref="H322:H385" si="17">IFERROR(D322/G322,"")</f>
        <v/>
      </c>
    </row>
    <row r="323" spans="1:8" x14ac:dyDescent="0.3">
      <c r="A323" s="6"/>
      <c r="B323" s="6"/>
      <c r="C323" s="8"/>
      <c r="D323" s="13" t="str">
        <f>IF(A323="","",SUMIFS(Base_Porao_Turno!$K:$K,Base_Porao_Turno!$A:$A,A323,Base_Porao_Turno!$E:$E,B323))</f>
        <v/>
      </c>
      <c r="E323" s="13" t="str">
        <f t="shared" si="15"/>
        <v/>
      </c>
      <c r="F323" s="14" t="str">
        <f t="shared" si="16"/>
        <v/>
      </c>
      <c r="G323" s="13" t="str">
        <f>IF(A323="","",SUMIFS(Base_Porao_Turno!$H:$H,Base_Porao_Turno!$A:$A,A323,Base_Porao_Turno!$E:$E,B323))</f>
        <v/>
      </c>
      <c r="H323" s="13" t="str">
        <f t="shared" si="17"/>
        <v/>
      </c>
    </row>
    <row r="324" spans="1:8" x14ac:dyDescent="0.3">
      <c r="A324" s="6"/>
      <c r="B324" s="6"/>
      <c r="C324" s="8"/>
      <c r="D324" s="13" t="str">
        <f>IF(A324="","",SUMIFS(Base_Porao_Turno!$K:$K,Base_Porao_Turno!$A:$A,A324,Base_Porao_Turno!$E:$E,B324))</f>
        <v/>
      </c>
      <c r="E324" s="13" t="str">
        <f t="shared" si="15"/>
        <v/>
      </c>
      <c r="F324" s="14" t="str">
        <f t="shared" si="16"/>
        <v/>
      </c>
      <c r="G324" s="13" t="str">
        <f>IF(A324="","",SUMIFS(Base_Porao_Turno!$H:$H,Base_Porao_Turno!$A:$A,A324,Base_Porao_Turno!$E:$E,B324))</f>
        <v/>
      </c>
      <c r="H324" s="13" t="str">
        <f t="shared" si="17"/>
        <v/>
      </c>
    </row>
    <row r="325" spans="1:8" x14ac:dyDescent="0.3">
      <c r="A325" s="6"/>
      <c r="B325" s="6"/>
      <c r="C325" s="8"/>
      <c r="D325" s="13" t="str">
        <f>IF(A325="","",SUMIFS(Base_Porao_Turno!$K:$K,Base_Porao_Turno!$A:$A,A325,Base_Porao_Turno!$E:$E,B325))</f>
        <v/>
      </c>
      <c r="E325" s="13" t="str">
        <f t="shared" si="15"/>
        <v/>
      </c>
      <c r="F325" s="14" t="str">
        <f t="shared" si="16"/>
        <v/>
      </c>
      <c r="G325" s="13" t="str">
        <f>IF(A325="","",SUMIFS(Base_Porao_Turno!$H:$H,Base_Porao_Turno!$A:$A,A325,Base_Porao_Turno!$E:$E,B325))</f>
        <v/>
      </c>
      <c r="H325" s="13" t="str">
        <f t="shared" si="17"/>
        <v/>
      </c>
    </row>
    <row r="326" spans="1:8" x14ac:dyDescent="0.3">
      <c r="A326" s="6"/>
      <c r="B326" s="6"/>
      <c r="C326" s="8"/>
      <c r="D326" s="13" t="str">
        <f>IF(A326="","",SUMIFS(Base_Porao_Turno!$K:$K,Base_Porao_Turno!$A:$A,A326,Base_Porao_Turno!$E:$E,B326))</f>
        <v/>
      </c>
      <c r="E326" s="13" t="str">
        <f t="shared" si="15"/>
        <v/>
      </c>
      <c r="F326" s="14" t="str">
        <f t="shared" si="16"/>
        <v/>
      </c>
      <c r="G326" s="13" t="str">
        <f>IF(A326="","",SUMIFS(Base_Porao_Turno!$H:$H,Base_Porao_Turno!$A:$A,A326,Base_Porao_Turno!$E:$E,B326))</f>
        <v/>
      </c>
      <c r="H326" s="13" t="str">
        <f t="shared" si="17"/>
        <v/>
      </c>
    </row>
    <row r="327" spans="1:8" x14ac:dyDescent="0.3">
      <c r="A327" s="6"/>
      <c r="B327" s="6"/>
      <c r="C327" s="8"/>
      <c r="D327" s="13" t="str">
        <f>IF(A327="","",SUMIFS(Base_Porao_Turno!$K:$K,Base_Porao_Turno!$A:$A,A327,Base_Porao_Turno!$E:$E,B327))</f>
        <v/>
      </c>
      <c r="E327" s="13" t="str">
        <f t="shared" si="15"/>
        <v/>
      </c>
      <c r="F327" s="14" t="str">
        <f t="shared" si="16"/>
        <v/>
      </c>
      <c r="G327" s="13" t="str">
        <f>IF(A327="","",SUMIFS(Base_Porao_Turno!$H:$H,Base_Porao_Turno!$A:$A,A327,Base_Porao_Turno!$E:$E,B327))</f>
        <v/>
      </c>
      <c r="H327" s="13" t="str">
        <f t="shared" si="17"/>
        <v/>
      </c>
    </row>
    <row r="328" spans="1:8" x14ac:dyDescent="0.3">
      <c r="A328" s="6"/>
      <c r="B328" s="6"/>
      <c r="C328" s="8"/>
      <c r="D328" s="13" t="str">
        <f>IF(A328="","",SUMIFS(Base_Porao_Turno!$K:$K,Base_Porao_Turno!$A:$A,A328,Base_Porao_Turno!$E:$E,B328))</f>
        <v/>
      </c>
      <c r="E328" s="13" t="str">
        <f t="shared" si="15"/>
        <v/>
      </c>
      <c r="F328" s="14" t="str">
        <f t="shared" si="16"/>
        <v/>
      </c>
      <c r="G328" s="13" t="str">
        <f>IF(A328="","",SUMIFS(Base_Porao_Turno!$H:$H,Base_Porao_Turno!$A:$A,A328,Base_Porao_Turno!$E:$E,B328))</f>
        <v/>
      </c>
      <c r="H328" s="13" t="str">
        <f t="shared" si="17"/>
        <v/>
      </c>
    </row>
    <row r="329" spans="1:8" x14ac:dyDescent="0.3">
      <c r="A329" s="6"/>
      <c r="B329" s="6"/>
      <c r="C329" s="8"/>
      <c r="D329" s="13" t="str">
        <f>IF(A329="","",SUMIFS(Base_Porao_Turno!$K:$K,Base_Porao_Turno!$A:$A,A329,Base_Porao_Turno!$E:$E,B329))</f>
        <v/>
      </c>
      <c r="E329" s="13" t="str">
        <f t="shared" si="15"/>
        <v/>
      </c>
      <c r="F329" s="14" t="str">
        <f t="shared" si="16"/>
        <v/>
      </c>
      <c r="G329" s="13" t="str">
        <f>IF(A329="","",SUMIFS(Base_Porao_Turno!$H:$H,Base_Porao_Turno!$A:$A,A329,Base_Porao_Turno!$E:$E,B329))</f>
        <v/>
      </c>
      <c r="H329" s="13" t="str">
        <f t="shared" si="17"/>
        <v/>
      </c>
    </row>
    <row r="330" spans="1:8" x14ac:dyDescent="0.3">
      <c r="A330" s="6"/>
      <c r="B330" s="6"/>
      <c r="C330" s="8"/>
      <c r="D330" s="13" t="str">
        <f>IF(A330="","",SUMIFS(Base_Porao_Turno!$K:$K,Base_Porao_Turno!$A:$A,A330,Base_Porao_Turno!$E:$E,B330))</f>
        <v/>
      </c>
      <c r="E330" s="13" t="str">
        <f t="shared" si="15"/>
        <v/>
      </c>
      <c r="F330" s="14" t="str">
        <f t="shared" si="16"/>
        <v/>
      </c>
      <c r="G330" s="13" t="str">
        <f>IF(A330="","",SUMIFS(Base_Porao_Turno!$H:$H,Base_Porao_Turno!$A:$A,A330,Base_Porao_Turno!$E:$E,B330))</f>
        <v/>
      </c>
      <c r="H330" s="13" t="str">
        <f t="shared" si="17"/>
        <v/>
      </c>
    </row>
    <row r="331" spans="1:8" x14ac:dyDescent="0.3">
      <c r="A331" s="6"/>
      <c r="B331" s="6"/>
      <c r="C331" s="8"/>
      <c r="D331" s="13" t="str">
        <f>IF(A331="","",SUMIFS(Base_Porao_Turno!$K:$K,Base_Porao_Turno!$A:$A,A331,Base_Porao_Turno!$E:$E,B331))</f>
        <v/>
      </c>
      <c r="E331" s="13" t="str">
        <f t="shared" si="15"/>
        <v/>
      </c>
      <c r="F331" s="14" t="str">
        <f t="shared" si="16"/>
        <v/>
      </c>
      <c r="G331" s="13" t="str">
        <f>IF(A331="","",SUMIFS(Base_Porao_Turno!$H:$H,Base_Porao_Turno!$A:$A,A331,Base_Porao_Turno!$E:$E,B331))</f>
        <v/>
      </c>
      <c r="H331" s="13" t="str">
        <f t="shared" si="17"/>
        <v/>
      </c>
    </row>
    <row r="332" spans="1:8" x14ac:dyDescent="0.3">
      <c r="A332" s="6"/>
      <c r="B332" s="6"/>
      <c r="C332" s="8"/>
      <c r="D332" s="13" t="str">
        <f>IF(A332="","",SUMIFS(Base_Porao_Turno!$K:$K,Base_Porao_Turno!$A:$A,A332,Base_Porao_Turno!$E:$E,B332))</f>
        <v/>
      </c>
      <c r="E332" s="13" t="str">
        <f t="shared" si="15"/>
        <v/>
      </c>
      <c r="F332" s="14" t="str">
        <f t="shared" si="16"/>
        <v/>
      </c>
      <c r="G332" s="13" t="str">
        <f>IF(A332="","",SUMIFS(Base_Porao_Turno!$H:$H,Base_Porao_Turno!$A:$A,A332,Base_Porao_Turno!$E:$E,B332))</f>
        <v/>
      </c>
      <c r="H332" s="13" t="str">
        <f t="shared" si="17"/>
        <v/>
      </c>
    </row>
    <row r="333" spans="1:8" x14ac:dyDescent="0.3">
      <c r="A333" s="6"/>
      <c r="B333" s="6"/>
      <c r="C333" s="8"/>
      <c r="D333" s="13" t="str">
        <f>IF(A333="","",SUMIFS(Base_Porao_Turno!$K:$K,Base_Porao_Turno!$A:$A,A333,Base_Porao_Turno!$E:$E,B333))</f>
        <v/>
      </c>
      <c r="E333" s="13" t="str">
        <f t="shared" si="15"/>
        <v/>
      </c>
      <c r="F333" s="14" t="str">
        <f t="shared" si="16"/>
        <v/>
      </c>
      <c r="G333" s="13" t="str">
        <f>IF(A333="","",SUMIFS(Base_Porao_Turno!$H:$H,Base_Porao_Turno!$A:$A,A333,Base_Porao_Turno!$E:$E,B333))</f>
        <v/>
      </c>
      <c r="H333" s="13" t="str">
        <f t="shared" si="17"/>
        <v/>
      </c>
    </row>
    <row r="334" spans="1:8" x14ac:dyDescent="0.3">
      <c r="A334" s="6"/>
      <c r="B334" s="6"/>
      <c r="C334" s="8"/>
      <c r="D334" s="13" t="str">
        <f>IF(A334="","",SUMIFS(Base_Porao_Turno!$K:$K,Base_Porao_Turno!$A:$A,A334,Base_Porao_Turno!$E:$E,B334))</f>
        <v/>
      </c>
      <c r="E334" s="13" t="str">
        <f t="shared" si="15"/>
        <v/>
      </c>
      <c r="F334" s="14" t="str">
        <f t="shared" si="16"/>
        <v/>
      </c>
      <c r="G334" s="13" t="str">
        <f>IF(A334="","",SUMIFS(Base_Porao_Turno!$H:$H,Base_Porao_Turno!$A:$A,A334,Base_Porao_Turno!$E:$E,B334))</f>
        <v/>
      </c>
      <c r="H334" s="13" t="str">
        <f t="shared" si="17"/>
        <v/>
      </c>
    </row>
    <row r="335" spans="1:8" x14ac:dyDescent="0.3">
      <c r="A335" s="6"/>
      <c r="B335" s="6"/>
      <c r="C335" s="8"/>
      <c r="D335" s="13" t="str">
        <f>IF(A335="","",SUMIFS(Base_Porao_Turno!$K:$K,Base_Porao_Turno!$A:$A,A335,Base_Porao_Turno!$E:$E,B335))</f>
        <v/>
      </c>
      <c r="E335" s="13" t="str">
        <f t="shared" si="15"/>
        <v/>
      </c>
      <c r="F335" s="14" t="str">
        <f t="shared" si="16"/>
        <v/>
      </c>
      <c r="G335" s="13" t="str">
        <f>IF(A335="","",SUMIFS(Base_Porao_Turno!$H:$H,Base_Porao_Turno!$A:$A,A335,Base_Porao_Turno!$E:$E,B335))</f>
        <v/>
      </c>
      <c r="H335" s="13" t="str">
        <f t="shared" si="17"/>
        <v/>
      </c>
    </row>
    <row r="336" spans="1:8" x14ac:dyDescent="0.3">
      <c r="A336" s="6"/>
      <c r="B336" s="6"/>
      <c r="C336" s="8"/>
      <c r="D336" s="13" t="str">
        <f>IF(A336="","",SUMIFS(Base_Porao_Turno!$K:$K,Base_Porao_Turno!$A:$A,A336,Base_Porao_Turno!$E:$E,B336))</f>
        <v/>
      </c>
      <c r="E336" s="13" t="str">
        <f t="shared" si="15"/>
        <v/>
      </c>
      <c r="F336" s="14" t="str">
        <f t="shared" si="16"/>
        <v/>
      </c>
      <c r="G336" s="13" t="str">
        <f>IF(A336="","",SUMIFS(Base_Porao_Turno!$H:$H,Base_Porao_Turno!$A:$A,A336,Base_Porao_Turno!$E:$E,B336))</f>
        <v/>
      </c>
      <c r="H336" s="13" t="str">
        <f t="shared" si="17"/>
        <v/>
      </c>
    </row>
    <row r="337" spans="1:8" x14ac:dyDescent="0.3">
      <c r="A337" s="6"/>
      <c r="B337" s="6"/>
      <c r="C337" s="8"/>
      <c r="D337" s="13" t="str">
        <f>IF(A337="","",SUMIFS(Base_Porao_Turno!$K:$K,Base_Porao_Turno!$A:$A,A337,Base_Porao_Turno!$E:$E,B337))</f>
        <v/>
      </c>
      <c r="E337" s="13" t="str">
        <f t="shared" si="15"/>
        <v/>
      </c>
      <c r="F337" s="14" t="str">
        <f t="shared" si="16"/>
        <v/>
      </c>
      <c r="G337" s="13" t="str">
        <f>IF(A337="","",SUMIFS(Base_Porao_Turno!$H:$H,Base_Porao_Turno!$A:$A,A337,Base_Porao_Turno!$E:$E,B337))</f>
        <v/>
      </c>
      <c r="H337" s="13" t="str">
        <f t="shared" si="17"/>
        <v/>
      </c>
    </row>
    <row r="338" spans="1:8" x14ac:dyDescent="0.3">
      <c r="A338" s="6"/>
      <c r="B338" s="6"/>
      <c r="C338" s="8"/>
      <c r="D338" s="13" t="str">
        <f>IF(A338="","",SUMIFS(Base_Porao_Turno!$K:$K,Base_Porao_Turno!$A:$A,A338,Base_Porao_Turno!$E:$E,B338))</f>
        <v/>
      </c>
      <c r="E338" s="13" t="str">
        <f t="shared" si="15"/>
        <v/>
      </c>
      <c r="F338" s="14" t="str">
        <f t="shared" si="16"/>
        <v/>
      </c>
      <c r="G338" s="13" t="str">
        <f>IF(A338="","",SUMIFS(Base_Porao_Turno!$H:$H,Base_Porao_Turno!$A:$A,A338,Base_Porao_Turno!$E:$E,B338))</f>
        <v/>
      </c>
      <c r="H338" s="13" t="str">
        <f t="shared" si="17"/>
        <v/>
      </c>
    </row>
    <row r="339" spans="1:8" x14ac:dyDescent="0.3">
      <c r="A339" s="6"/>
      <c r="B339" s="6"/>
      <c r="C339" s="8"/>
      <c r="D339" s="13" t="str">
        <f>IF(A339="","",SUMIFS(Base_Porao_Turno!$K:$K,Base_Porao_Turno!$A:$A,A339,Base_Porao_Turno!$E:$E,B339))</f>
        <v/>
      </c>
      <c r="E339" s="13" t="str">
        <f t="shared" si="15"/>
        <v/>
      </c>
      <c r="F339" s="14" t="str">
        <f t="shared" si="16"/>
        <v/>
      </c>
      <c r="G339" s="13" t="str">
        <f>IF(A339="","",SUMIFS(Base_Porao_Turno!$H:$H,Base_Porao_Turno!$A:$A,A339,Base_Porao_Turno!$E:$E,B339))</f>
        <v/>
      </c>
      <c r="H339" s="13" t="str">
        <f t="shared" si="17"/>
        <v/>
      </c>
    </row>
    <row r="340" spans="1:8" x14ac:dyDescent="0.3">
      <c r="A340" s="6"/>
      <c r="B340" s="6"/>
      <c r="C340" s="8"/>
      <c r="D340" s="13" t="str">
        <f>IF(A340="","",SUMIFS(Base_Porao_Turno!$K:$K,Base_Porao_Turno!$A:$A,A340,Base_Porao_Turno!$E:$E,B340))</f>
        <v/>
      </c>
      <c r="E340" s="13" t="str">
        <f t="shared" si="15"/>
        <v/>
      </c>
      <c r="F340" s="14" t="str">
        <f t="shared" si="16"/>
        <v/>
      </c>
      <c r="G340" s="13" t="str">
        <f>IF(A340="","",SUMIFS(Base_Porao_Turno!$H:$H,Base_Porao_Turno!$A:$A,A340,Base_Porao_Turno!$E:$E,B340))</f>
        <v/>
      </c>
      <c r="H340" s="13" t="str">
        <f t="shared" si="17"/>
        <v/>
      </c>
    </row>
    <row r="341" spans="1:8" x14ac:dyDescent="0.3">
      <c r="A341" s="6"/>
      <c r="B341" s="6"/>
      <c r="C341" s="8"/>
      <c r="D341" s="13" t="str">
        <f>IF(A341="","",SUMIFS(Base_Porao_Turno!$K:$K,Base_Porao_Turno!$A:$A,A341,Base_Porao_Turno!$E:$E,B341))</f>
        <v/>
      </c>
      <c r="E341" s="13" t="str">
        <f t="shared" si="15"/>
        <v/>
      </c>
      <c r="F341" s="14" t="str">
        <f t="shared" si="16"/>
        <v/>
      </c>
      <c r="G341" s="13" t="str">
        <f>IF(A341="","",SUMIFS(Base_Porao_Turno!$H:$H,Base_Porao_Turno!$A:$A,A341,Base_Porao_Turno!$E:$E,B341))</f>
        <v/>
      </c>
      <c r="H341" s="13" t="str">
        <f t="shared" si="17"/>
        <v/>
      </c>
    </row>
    <row r="342" spans="1:8" x14ac:dyDescent="0.3">
      <c r="A342" s="6"/>
      <c r="B342" s="6"/>
      <c r="C342" s="8"/>
      <c r="D342" s="13" t="str">
        <f>IF(A342="","",SUMIFS(Base_Porao_Turno!$K:$K,Base_Porao_Turno!$A:$A,A342,Base_Porao_Turno!$E:$E,B342))</f>
        <v/>
      </c>
      <c r="E342" s="13" t="str">
        <f t="shared" si="15"/>
        <v/>
      </c>
      <c r="F342" s="14" t="str">
        <f t="shared" si="16"/>
        <v/>
      </c>
      <c r="G342" s="13" t="str">
        <f>IF(A342="","",SUMIFS(Base_Porao_Turno!$H:$H,Base_Porao_Turno!$A:$A,A342,Base_Porao_Turno!$E:$E,B342))</f>
        <v/>
      </c>
      <c r="H342" s="13" t="str">
        <f t="shared" si="17"/>
        <v/>
      </c>
    </row>
    <row r="343" spans="1:8" x14ac:dyDescent="0.3">
      <c r="A343" s="6"/>
      <c r="B343" s="6"/>
      <c r="C343" s="8"/>
      <c r="D343" s="13" t="str">
        <f>IF(A343="","",SUMIFS(Base_Porao_Turno!$K:$K,Base_Porao_Turno!$A:$A,A343,Base_Porao_Turno!$E:$E,B343))</f>
        <v/>
      </c>
      <c r="E343" s="13" t="str">
        <f t="shared" si="15"/>
        <v/>
      </c>
      <c r="F343" s="14" t="str">
        <f t="shared" si="16"/>
        <v/>
      </c>
      <c r="G343" s="13" t="str">
        <f>IF(A343="","",SUMIFS(Base_Porao_Turno!$H:$H,Base_Porao_Turno!$A:$A,A343,Base_Porao_Turno!$E:$E,B343))</f>
        <v/>
      </c>
      <c r="H343" s="13" t="str">
        <f t="shared" si="17"/>
        <v/>
      </c>
    </row>
    <row r="344" spans="1:8" x14ac:dyDescent="0.3">
      <c r="A344" s="6"/>
      <c r="B344" s="6"/>
      <c r="C344" s="8"/>
      <c r="D344" s="13" t="str">
        <f>IF(A344="","",SUMIFS(Base_Porao_Turno!$K:$K,Base_Porao_Turno!$A:$A,A344,Base_Porao_Turno!$E:$E,B344))</f>
        <v/>
      </c>
      <c r="E344" s="13" t="str">
        <f t="shared" si="15"/>
        <v/>
      </c>
      <c r="F344" s="14" t="str">
        <f t="shared" si="16"/>
        <v/>
      </c>
      <c r="G344" s="13" t="str">
        <f>IF(A344="","",SUMIFS(Base_Porao_Turno!$H:$H,Base_Porao_Turno!$A:$A,A344,Base_Porao_Turno!$E:$E,B344))</f>
        <v/>
      </c>
      <c r="H344" s="13" t="str">
        <f t="shared" si="17"/>
        <v/>
      </c>
    </row>
    <row r="345" spans="1:8" x14ac:dyDescent="0.3">
      <c r="A345" s="6"/>
      <c r="B345" s="6"/>
      <c r="C345" s="8"/>
      <c r="D345" s="13" t="str">
        <f>IF(A345="","",SUMIFS(Base_Porao_Turno!$K:$K,Base_Porao_Turno!$A:$A,A345,Base_Porao_Turno!$E:$E,B345))</f>
        <v/>
      </c>
      <c r="E345" s="13" t="str">
        <f t="shared" si="15"/>
        <v/>
      </c>
      <c r="F345" s="14" t="str">
        <f t="shared" si="16"/>
        <v/>
      </c>
      <c r="G345" s="13" t="str">
        <f>IF(A345="","",SUMIFS(Base_Porao_Turno!$H:$H,Base_Porao_Turno!$A:$A,A345,Base_Porao_Turno!$E:$E,B345))</f>
        <v/>
      </c>
      <c r="H345" s="13" t="str">
        <f t="shared" si="17"/>
        <v/>
      </c>
    </row>
    <row r="346" spans="1:8" x14ac:dyDescent="0.3">
      <c r="A346" s="6"/>
      <c r="B346" s="6"/>
      <c r="C346" s="8"/>
      <c r="D346" s="13" t="str">
        <f>IF(A346="","",SUMIFS(Base_Porao_Turno!$K:$K,Base_Porao_Turno!$A:$A,A346,Base_Porao_Turno!$E:$E,B346))</f>
        <v/>
      </c>
      <c r="E346" s="13" t="str">
        <f t="shared" si="15"/>
        <v/>
      </c>
      <c r="F346" s="14" t="str">
        <f t="shared" si="16"/>
        <v/>
      </c>
      <c r="G346" s="13" t="str">
        <f>IF(A346="","",SUMIFS(Base_Porao_Turno!$H:$H,Base_Porao_Turno!$A:$A,A346,Base_Porao_Turno!$E:$E,B346))</f>
        <v/>
      </c>
      <c r="H346" s="13" t="str">
        <f t="shared" si="17"/>
        <v/>
      </c>
    </row>
    <row r="347" spans="1:8" x14ac:dyDescent="0.3">
      <c r="A347" s="6"/>
      <c r="B347" s="6"/>
      <c r="C347" s="8"/>
      <c r="D347" s="13" t="str">
        <f>IF(A347="","",SUMIFS(Base_Porao_Turno!$K:$K,Base_Porao_Turno!$A:$A,A347,Base_Porao_Turno!$E:$E,B347))</f>
        <v/>
      </c>
      <c r="E347" s="13" t="str">
        <f t="shared" si="15"/>
        <v/>
      </c>
      <c r="F347" s="14" t="str">
        <f t="shared" si="16"/>
        <v/>
      </c>
      <c r="G347" s="13" t="str">
        <f>IF(A347="","",SUMIFS(Base_Porao_Turno!$H:$H,Base_Porao_Turno!$A:$A,A347,Base_Porao_Turno!$E:$E,B347))</f>
        <v/>
      </c>
      <c r="H347" s="13" t="str">
        <f t="shared" si="17"/>
        <v/>
      </c>
    </row>
    <row r="348" spans="1:8" x14ac:dyDescent="0.3">
      <c r="A348" s="6"/>
      <c r="B348" s="6"/>
      <c r="C348" s="8"/>
      <c r="D348" s="13" t="str">
        <f>IF(A348="","",SUMIFS(Base_Porao_Turno!$K:$K,Base_Porao_Turno!$A:$A,A348,Base_Porao_Turno!$E:$E,B348))</f>
        <v/>
      </c>
      <c r="E348" s="13" t="str">
        <f t="shared" si="15"/>
        <v/>
      </c>
      <c r="F348" s="14" t="str">
        <f t="shared" si="16"/>
        <v/>
      </c>
      <c r="G348" s="13" t="str">
        <f>IF(A348="","",SUMIFS(Base_Porao_Turno!$H:$H,Base_Porao_Turno!$A:$A,A348,Base_Porao_Turno!$E:$E,B348))</f>
        <v/>
      </c>
      <c r="H348" s="13" t="str">
        <f t="shared" si="17"/>
        <v/>
      </c>
    </row>
    <row r="349" spans="1:8" x14ac:dyDescent="0.3">
      <c r="A349" s="6"/>
      <c r="B349" s="6"/>
      <c r="C349" s="8"/>
      <c r="D349" s="13" t="str">
        <f>IF(A349="","",SUMIFS(Base_Porao_Turno!$K:$K,Base_Porao_Turno!$A:$A,A349,Base_Porao_Turno!$E:$E,B349))</f>
        <v/>
      </c>
      <c r="E349" s="13" t="str">
        <f t="shared" si="15"/>
        <v/>
      </c>
      <c r="F349" s="14" t="str">
        <f t="shared" si="16"/>
        <v/>
      </c>
      <c r="G349" s="13" t="str">
        <f>IF(A349="","",SUMIFS(Base_Porao_Turno!$H:$H,Base_Porao_Turno!$A:$A,A349,Base_Porao_Turno!$E:$E,B349))</f>
        <v/>
      </c>
      <c r="H349" s="13" t="str">
        <f t="shared" si="17"/>
        <v/>
      </c>
    </row>
    <row r="350" spans="1:8" x14ac:dyDescent="0.3">
      <c r="A350" s="6"/>
      <c r="B350" s="6"/>
      <c r="C350" s="8"/>
      <c r="D350" s="13" t="str">
        <f>IF(A350="","",SUMIFS(Base_Porao_Turno!$K:$K,Base_Porao_Turno!$A:$A,A350,Base_Porao_Turno!$E:$E,B350))</f>
        <v/>
      </c>
      <c r="E350" s="13" t="str">
        <f t="shared" si="15"/>
        <v/>
      </c>
      <c r="F350" s="14" t="str">
        <f t="shared" si="16"/>
        <v/>
      </c>
      <c r="G350" s="13" t="str">
        <f>IF(A350="","",SUMIFS(Base_Porao_Turno!$H:$H,Base_Porao_Turno!$A:$A,A350,Base_Porao_Turno!$E:$E,B350))</f>
        <v/>
      </c>
      <c r="H350" s="13" t="str">
        <f t="shared" si="17"/>
        <v/>
      </c>
    </row>
    <row r="351" spans="1:8" x14ac:dyDescent="0.3">
      <c r="A351" s="6"/>
      <c r="B351" s="6"/>
      <c r="C351" s="8"/>
      <c r="D351" s="13" t="str">
        <f>IF(A351="","",SUMIFS(Base_Porao_Turno!$K:$K,Base_Porao_Turno!$A:$A,A351,Base_Porao_Turno!$E:$E,B351))</f>
        <v/>
      </c>
      <c r="E351" s="13" t="str">
        <f t="shared" si="15"/>
        <v/>
      </c>
      <c r="F351" s="14" t="str">
        <f t="shared" si="16"/>
        <v/>
      </c>
      <c r="G351" s="13" t="str">
        <f>IF(A351="","",SUMIFS(Base_Porao_Turno!$H:$H,Base_Porao_Turno!$A:$A,A351,Base_Porao_Turno!$E:$E,B351))</f>
        <v/>
      </c>
      <c r="H351" s="13" t="str">
        <f t="shared" si="17"/>
        <v/>
      </c>
    </row>
    <row r="352" spans="1:8" x14ac:dyDescent="0.3">
      <c r="A352" s="6"/>
      <c r="B352" s="6"/>
      <c r="C352" s="8"/>
      <c r="D352" s="13" t="str">
        <f>IF(A352="","",SUMIFS(Base_Porao_Turno!$K:$K,Base_Porao_Turno!$A:$A,A352,Base_Porao_Turno!$E:$E,B352))</f>
        <v/>
      </c>
      <c r="E352" s="13" t="str">
        <f t="shared" si="15"/>
        <v/>
      </c>
      <c r="F352" s="14" t="str">
        <f t="shared" si="16"/>
        <v/>
      </c>
      <c r="G352" s="13" t="str">
        <f>IF(A352="","",SUMIFS(Base_Porao_Turno!$H:$H,Base_Porao_Turno!$A:$A,A352,Base_Porao_Turno!$E:$E,B352))</f>
        <v/>
      </c>
      <c r="H352" s="13" t="str">
        <f t="shared" si="17"/>
        <v/>
      </c>
    </row>
    <row r="353" spans="1:8" x14ac:dyDescent="0.3">
      <c r="A353" s="6"/>
      <c r="B353" s="6"/>
      <c r="C353" s="8"/>
      <c r="D353" s="13" t="str">
        <f>IF(A353="","",SUMIFS(Base_Porao_Turno!$K:$K,Base_Porao_Turno!$A:$A,A353,Base_Porao_Turno!$E:$E,B353))</f>
        <v/>
      </c>
      <c r="E353" s="13" t="str">
        <f t="shared" si="15"/>
        <v/>
      </c>
      <c r="F353" s="14" t="str">
        <f t="shared" si="16"/>
        <v/>
      </c>
      <c r="G353" s="13" t="str">
        <f>IF(A353="","",SUMIFS(Base_Porao_Turno!$H:$H,Base_Porao_Turno!$A:$A,A353,Base_Porao_Turno!$E:$E,B353))</f>
        <v/>
      </c>
      <c r="H353" s="13" t="str">
        <f t="shared" si="17"/>
        <v/>
      </c>
    </row>
    <row r="354" spans="1:8" x14ac:dyDescent="0.3">
      <c r="A354" s="6"/>
      <c r="B354" s="6"/>
      <c r="C354" s="8"/>
      <c r="D354" s="13" t="str">
        <f>IF(A354="","",SUMIFS(Base_Porao_Turno!$K:$K,Base_Porao_Turno!$A:$A,A354,Base_Porao_Turno!$E:$E,B354))</f>
        <v/>
      </c>
      <c r="E354" s="13" t="str">
        <f t="shared" si="15"/>
        <v/>
      </c>
      <c r="F354" s="14" t="str">
        <f t="shared" si="16"/>
        <v/>
      </c>
      <c r="G354" s="13" t="str">
        <f>IF(A354="","",SUMIFS(Base_Porao_Turno!$H:$H,Base_Porao_Turno!$A:$A,A354,Base_Porao_Turno!$E:$E,B354))</f>
        <v/>
      </c>
      <c r="H354" s="13" t="str">
        <f t="shared" si="17"/>
        <v/>
      </c>
    </row>
    <row r="355" spans="1:8" x14ac:dyDescent="0.3">
      <c r="A355" s="6"/>
      <c r="B355" s="6"/>
      <c r="C355" s="8"/>
      <c r="D355" s="13" t="str">
        <f>IF(A355="","",SUMIFS(Base_Porao_Turno!$K:$K,Base_Porao_Turno!$A:$A,A355,Base_Porao_Turno!$E:$E,B355))</f>
        <v/>
      </c>
      <c r="E355" s="13" t="str">
        <f t="shared" si="15"/>
        <v/>
      </c>
      <c r="F355" s="14" t="str">
        <f t="shared" si="16"/>
        <v/>
      </c>
      <c r="G355" s="13" t="str">
        <f>IF(A355="","",SUMIFS(Base_Porao_Turno!$H:$H,Base_Porao_Turno!$A:$A,A355,Base_Porao_Turno!$E:$E,B355))</f>
        <v/>
      </c>
      <c r="H355" s="13" t="str">
        <f t="shared" si="17"/>
        <v/>
      </c>
    </row>
    <row r="356" spans="1:8" x14ac:dyDescent="0.3">
      <c r="A356" s="6"/>
      <c r="B356" s="6"/>
      <c r="C356" s="8"/>
      <c r="D356" s="13" t="str">
        <f>IF(A356="","",SUMIFS(Base_Porao_Turno!$K:$K,Base_Porao_Turno!$A:$A,A356,Base_Porao_Turno!$E:$E,B356))</f>
        <v/>
      </c>
      <c r="E356" s="13" t="str">
        <f t="shared" si="15"/>
        <v/>
      </c>
      <c r="F356" s="14" t="str">
        <f t="shared" si="16"/>
        <v/>
      </c>
      <c r="G356" s="13" t="str">
        <f>IF(A356="","",SUMIFS(Base_Porao_Turno!$H:$H,Base_Porao_Turno!$A:$A,A356,Base_Porao_Turno!$E:$E,B356))</f>
        <v/>
      </c>
      <c r="H356" s="13" t="str">
        <f t="shared" si="17"/>
        <v/>
      </c>
    </row>
    <row r="357" spans="1:8" x14ac:dyDescent="0.3">
      <c r="A357" s="6"/>
      <c r="B357" s="6"/>
      <c r="C357" s="8"/>
      <c r="D357" s="13" t="str">
        <f>IF(A357="","",SUMIFS(Base_Porao_Turno!$K:$K,Base_Porao_Turno!$A:$A,A357,Base_Porao_Turno!$E:$E,B357))</f>
        <v/>
      </c>
      <c r="E357" s="13" t="str">
        <f t="shared" si="15"/>
        <v/>
      </c>
      <c r="F357" s="14" t="str">
        <f t="shared" si="16"/>
        <v/>
      </c>
      <c r="G357" s="13" t="str">
        <f>IF(A357="","",SUMIFS(Base_Porao_Turno!$H:$H,Base_Porao_Turno!$A:$A,A357,Base_Porao_Turno!$E:$E,B357))</f>
        <v/>
      </c>
      <c r="H357" s="13" t="str">
        <f t="shared" si="17"/>
        <v/>
      </c>
    </row>
    <row r="358" spans="1:8" x14ac:dyDescent="0.3">
      <c r="A358" s="6"/>
      <c r="B358" s="6"/>
      <c r="C358" s="8"/>
      <c r="D358" s="13" t="str">
        <f>IF(A358="","",SUMIFS(Base_Porao_Turno!$K:$K,Base_Porao_Turno!$A:$A,A358,Base_Porao_Turno!$E:$E,B358))</f>
        <v/>
      </c>
      <c r="E358" s="13" t="str">
        <f t="shared" si="15"/>
        <v/>
      </c>
      <c r="F358" s="14" t="str">
        <f t="shared" si="16"/>
        <v/>
      </c>
      <c r="G358" s="13" t="str">
        <f>IF(A358="","",SUMIFS(Base_Porao_Turno!$H:$H,Base_Porao_Turno!$A:$A,A358,Base_Porao_Turno!$E:$E,B358))</f>
        <v/>
      </c>
      <c r="H358" s="13" t="str">
        <f t="shared" si="17"/>
        <v/>
      </c>
    </row>
    <row r="359" spans="1:8" x14ac:dyDescent="0.3">
      <c r="A359" s="6"/>
      <c r="B359" s="6"/>
      <c r="C359" s="8"/>
      <c r="D359" s="13" t="str">
        <f>IF(A359="","",SUMIFS(Base_Porao_Turno!$K:$K,Base_Porao_Turno!$A:$A,A359,Base_Porao_Turno!$E:$E,B359))</f>
        <v/>
      </c>
      <c r="E359" s="13" t="str">
        <f t="shared" si="15"/>
        <v/>
      </c>
      <c r="F359" s="14" t="str">
        <f t="shared" si="16"/>
        <v/>
      </c>
      <c r="G359" s="13" t="str">
        <f>IF(A359="","",SUMIFS(Base_Porao_Turno!$H:$H,Base_Porao_Turno!$A:$A,A359,Base_Porao_Turno!$E:$E,B359))</f>
        <v/>
      </c>
      <c r="H359" s="13" t="str">
        <f t="shared" si="17"/>
        <v/>
      </c>
    </row>
    <row r="360" spans="1:8" x14ac:dyDescent="0.3">
      <c r="A360" s="6"/>
      <c r="B360" s="6"/>
      <c r="C360" s="8"/>
      <c r="D360" s="13" t="str">
        <f>IF(A360="","",SUMIFS(Base_Porao_Turno!$K:$K,Base_Porao_Turno!$A:$A,A360,Base_Porao_Turno!$E:$E,B360))</f>
        <v/>
      </c>
      <c r="E360" s="13" t="str">
        <f t="shared" si="15"/>
        <v/>
      </c>
      <c r="F360" s="14" t="str">
        <f t="shared" si="16"/>
        <v/>
      </c>
      <c r="G360" s="13" t="str">
        <f>IF(A360="","",SUMIFS(Base_Porao_Turno!$H:$H,Base_Porao_Turno!$A:$A,A360,Base_Porao_Turno!$E:$E,B360))</f>
        <v/>
      </c>
      <c r="H360" s="13" t="str">
        <f t="shared" si="17"/>
        <v/>
      </c>
    </row>
    <row r="361" spans="1:8" x14ac:dyDescent="0.3">
      <c r="A361" s="6"/>
      <c r="B361" s="6"/>
      <c r="C361" s="8"/>
      <c r="D361" s="13" t="str">
        <f>IF(A361="","",SUMIFS(Base_Porao_Turno!$K:$K,Base_Porao_Turno!$A:$A,A361,Base_Porao_Turno!$E:$E,B361))</f>
        <v/>
      </c>
      <c r="E361" s="13" t="str">
        <f t="shared" si="15"/>
        <v/>
      </c>
      <c r="F361" s="14" t="str">
        <f t="shared" si="16"/>
        <v/>
      </c>
      <c r="G361" s="13" t="str">
        <f>IF(A361="","",SUMIFS(Base_Porao_Turno!$H:$H,Base_Porao_Turno!$A:$A,A361,Base_Porao_Turno!$E:$E,B361))</f>
        <v/>
      </c>
      <c r="H361" s="13" t="str">
        <f t="shared" si="17"/>
        <v/>
      </c>
    </row>
    <row r="362" spans="1:8" x14ac:dyDescent="0.3">
      <c r="A362" s="6"/>
      <c r="B362" s="6"/>
      <c r="C362" s="8"/>
      <c r="D362" s="13" t="str">
        <f>IF(A362="","",SUMIFS(Base_Porao_Turno!$K:$K,Base_Porao_Turno!$A:$A,A362,Base_Porao_Turno!$E:$E,B362))</f>
        <v/>
      </c>
      <c r="E362" s="13" t="str">
        <f t="shared" si="15"/>
        <v/>
      </c>
      <c r="F362" s="14" t="str">
        <f t="shared" si="16"/>
        <v/>
      </c>
      <c r="G362" s="13" t="str">
        <f>IF(A362="","",SUMIFS(Base_Porao_Turno!$H:$H,Base_Porao_Turno!$A:$A,A362,Base_Porao_Turno!$E:$E,B362))</f>
        <v/>
      </c>
      <c r="H362" s="13" t="str">
        <f t="shared" si="17"/>
        <v/>
      </c>
    </row>
    <row r="363" spans="1:8" x14ac:dyDescent="0.3">
      <c r="A363" s="6"/>
      <c r="B363" s="6"/>
      <c r="C363" s="8"/>
      <c r="D363" s="13" t="str">
        <f>IF(A363="","",SUMIFS(Base_Porao_Turno!$K:$K,Base_Porao_Turno!$A:$A,A363,Base_Porao_Turno!$E:$E,B363))</f>
        <v/>
      </c>
      <c r="E363" s="13" t="str">
        <f t="shared" si="15"/>
        <v/>
      </c>
      <c r="F363" s="14" t="str">
        <f t="shared" si="16"/>
        <v/>
      </c>
      <c r="G363" s="13" t="str">
        <f>IF(A363="","",SUMIFS(Base_Porao_Turno!$H:$H,Base_Porao_Turno!$A:$A,A363,Base_Porao_Turno!$E:$E,B363))</f>
        <v/>
      </c>
      <c r="H363" s="13" t="str">
        <f t="shared" si="17"/>
        <v/>
      </c>
    </row>
    <row r="364" spans="1:8" x14ac:dyDescent="0.3">
      <c r="A364" s="6"/>
      <c r="B364" s="6"/>
      <c r="C364" s="8"/>
      <c r="D364" s="13" t="str">
        <f>IF(A364="","",SUMIFS(Base_Porao_Turno!$K:$K,Base_Porao_Turno!$A:$A,A364,Base_Porao_Turno!$E:$E,B364))</f>
        <v/>
      </c>
      <c r="E364" s="13" t="str">
        <f t="shared" si="15"/>
        <v/>
      </c>
      <c r="F364" s="14" t="str">
        <f t="shared" si="16"/>
        <v/>
      </c>
      <c r="G364" s="13" t="str">
        <f>IF(A364="","",SUMIFS(Base_Porao_Turno!$H:$H,Base_Porao_Turno!$A:$A,A364,Base_Porao_Turno!$E:$E,B364))</f>
        <v/>
      </c>
      <c r="H364" s="13" t="str">
        <f t="shared" si="17"/>
        <v/>
      </c>
    </row>
    <row r="365" spans="1:8" x14ac:dyDescent="0.3">
      <c r="A365" s="6"/>
      <c r="B365" s="6"/>
      <c r="C365" s="8"/>
      <c r="D365" s="13" t="str">
        <f>IF(A365="","",SUMIFS(Base_Porao_Turno!$K:$K,Base_Porao_Turno!$A:$A,A365,Base_Porao_Turno!$E:$E,B365))</f>
        <v/>
      </c>
      <c r="E365" s="13" t="str">
        <f t="shared" si="15"/>
        <v/>
      </c>
      <c r="F365" s="14" t="str">
        <f t="shared" si="16"/>
        <v/>
      </c>
      <c r="G365" s="13" t="str">
        <f>IF(A365="","",SUMIFS(Base_Porao_Turno!$H:$H,Base_Porao_Turno!$A:$A,A365,Base_Porao_Turno!$E:$E,B365))</f>
        <v/>
      </c>
      <c r="H365" s="13" t="str">
        <f t="shared" si="17"/>
        <v/>
      </c>
    </row>
    <row r="366" spans="1:8" x14ac:dyDescent="0.3">
      <c r="A366" s="6"/>
      <c r="B366" s="6"/>
      <c r="C366" s="8"/>
      <c r="D366" s="13" t="str">
        <f>IF(A366="","",SUMIFS(Base_Porao_Turno!$K:$K,Base_Porao_Turno!$A:$A,A366,Base_Porao_Turno!$E:$E,B366))</f>
        <v/>
      </c>
      <c r="E366" s="13" t="str">
        <f t="shared" si="15"/>
        <v/>
      </c>
      <c r="F366" s="14" t="str">
        <f t="shared" si="16"/>
        <v/>
      </c>
      <c r="G366" s="13" t="str">
        <f>IF(A366="","",SUMIFS(Base_Porao_Turno!$H:$H,Base_Porao_Turno!$A:$A,A366,Base_Porao_Turno!$E:$E,B366))</f>
        <v/>
      </c>
      <c r="H366" s="13" t="str">
        <f t="shared" si="17"/>
        <v/>
      </c>
    </row>
    <row r="367" spans="1:8" x14ac:dyDescent="0.3">
      <c r="A367" s="6"/>
      <c r="B367" s="6"/>
      <c r="C367" s="8"/>
      <c r="D367" s="13" t="str">
        <f>IF(A367="","",SUMIFS(Base_Porao_Turno!$K:$K,Base_Porao_Turno!$A:$A,A367,Base_Porao_Turno!$E:$E,B367))</f>
        <v/>
      </c>
      <c r="E367" s="13" t="str">
        <f t="shared" si="15"/>
        <v/>
      </c>
      <c r="F367" s="14" t="str">
        <f t="shared" si="16"/>
        <v/>
      </c>
      <c r="G367" s="13" t="str">
        <f>IF(A367="","",SUMIFS(Base_Porao_Turno!$H:$H,Base_Porao_Turno!$A:$A,A367,Base_Porao_Turno!$E:$E,B367))</f>
        <v/>
      </c>
      <c r="H367" s="13" t="str">
        <f t="shared" si="17"/>
        <v/>
      </c>
    </row>
    <row r="368" spans="1:8" x14ac:dyDescent="0.3">
      <c r="A368" s="6"/>
      <c r="B368" s="6"/>
      <c r="C368" s="8"/>
      <c r="D368" s="13" t="str">
        <f>IF(A368="","",SUMIFS(Base_Porao_Turno!$K:$K,Base_Porao_Turno!$A:$A,A368,Base_Porao_Turno!$E:$E,B368))</f>
        <v/>
      </c>
      <c r="E368" s="13" t="str">
        <f t="shared" si="15"/>
        <v/>
      </c>
      <c r="F368" s="14" t="str">
        <f t="shared" si="16"/>
        <v/>
      </c>
      <c r="G368" s="13" t="str">
        <f>IF(A368="","",SUMIFS(Base_Porao_Turno!$H:$H,Base_Porao_Turno!$A:$A,A368,Base_Porao_Turno!$E:$E,B368))</f>
        <v/>
      </c>
      <c r="H368" s="13" t="str">
        <f t="shared" si="17"/>
        <v/>
      </c>
    </row>
    <row r="369" spans="1:8" x14ac:dyDescent="0.3">
      <c r="A369" s="6"/>
      <c r="B369" s="6"/>
      <c r="C369" s="8"/>
      <c r="D369" s="13" t="str">
        <f>IF(A369="","",SUMIFS(Base_Porao_Turno!$K:$K,Base_Porao_Turno!$A:$A,A369,Base_Porao_Turno!$E:$E,B369))</f>
        <v/>
      </c>
      <c r="E369" s="13" t="str">
        <f t="shared" si="15"/>
        <v/>
      </c>
      <c r="F369" s="14" t="str">
        <f t="shared" si="16"/>
        <v/>
      </c>
      <c r="G369" s="13" t="str">
        <f>IF(A369="","",SUMIFS(Base_Porao_Turno!$H:$H,Base_Porao_Turno!$A:$A,A369,Base_Porao_Turno!$E:$E,B369))</f>
        <v/>
      </c>
      <c r="H369" s="13" t="str">
        <f t="shared" si="17"/>
        <v/>
      </c>
    </row>
    <row r="370" spans="1:8" x14ac:dyDescent="0.3">
      <c r="A370" s="6"/>
      <c r="B370" s="6"/>
      <c r="C370" s="8"/>
      <c r="D370" s="13" t="str">
        <f>IF(A370="","",SUMIFS(Base_Porao_Turno!$K:$K,Base_Porao_Turno!$A:$A,A370,Base_Porao_Turno!$E:$E,B370))</f>
        <v/>
      </c>
      <c r="E370" s="13" t="str">
        <f t="shared" si="15"/>
        <v/>
      </c>
      <c r="F370" s="14" t="str">
        <f t="shared" si="16"/>
        <v/>
      </c>
      <c r="G370" s="13" t="str">
        <f>IF(A370="","",SUMIFS(Base_Porao_Turno!$H:$H,Base_Porao_Turno!$A:$A,A370,Base_Porao_Turno!$E:$E,B370))</f>
        <v/>
      </c>
      <c r="H370" s="13" t="str">
        <f t="shared" si="17"/>
        <v/>
      </c>
    </row>
    <row r="371" spans="1:8" x14ac:dyDescent="0.3">
      <c r="A371" s="6"/>
      <c r="B371" s="6"/>
      <c r="C371" s="8"/>
      <c r="D371" s="13" t="str">
        <f>IF(A371="","",SUMIFS(Base_Porao_Turno!$K:$K,Base_Porao_Turno!$A:$A,A371,Base_Porao_Turno!$E:$E,B371))</f>
        <v/>
      </c>
      <c r="E371" s="13" t="str">
        <f t="shared" si="15"/>
        <v/>
      </c>
      <c r="F371" s="14" t="str">
        <f t="shared" si="16"/>
        <v/>
      </c>
      <c r="G371" s="13" t="str">
        <f>IF(A371="","",SUMIFS(Base_Porao_Turno!$H:$H,Base_Porao_Turno!$A:$A,A371,Base_Porao_Turno!$E:$E,B371))</f>
        <v/>
      </c>
      <c r="H371" s="13" t="str">
        <f t="shared" si="17"/>
        <v/>
      </c>
    </row>
    <row r="372" spans="1:8" x14ac:dyDescent="0.3">
      <c r="A372" s="6"/>
      <c r="B372" s="6"/>
      <c r="C372" s="8"/>
      <c r="D372" s="13" t="str">
        <f>IF(A372="","",SUMIFS(Base_Porao_Turno!$K:$K,Base_Porao_Turno!$A:$A,A372,Base_Porao_Turno!$E:$E,B372))</f>
        <v/>
      </c>
      <c r="E372" s="13" t="str">
        <f t="shared" si="15"/>
        <v/>
      </c>
      <c r="F372" s="14" t="str">
        <f t="shared" si="16"/>
        <v/>
      </c>
      <c r="G372" s="13" t="str">
        <f>IF(A372="","",SUMIFS(Base_Porao_Turno!$H:$H,Base_Porao_Turno!$A:$A,A372,Base_Porao_Turno!$E:$E,B372))</f>
        <v/>
      </c>
      <c r="H372" s="13" t="str">
        <f t="shared" si="17"/>
        <v/>
      </c>
    </row>
    <row r="373" spans="1:8" x14ac:dyDescent="0.3">
      <c r="A373" s="6"/>
      <c r="B373" s="6"/>
      <c r="C373" s="8"/>
      <c r="D373" s="13" t="str">
        <f>IF(A373="","",SUMIFS(Base_Porao_Turno!$K:$K,Base_Porao_Turno!$A:$A,A373,Base_Porao_Turno!$E:$E,B373))</f>
        <v/>
      </c>
      <c r="E373" s="13" t="str">
        <f t="shared" si="15"/>
        <v/>
      </c>
      <c r="F373" s="14" t="str">
        <f t="shared" si="16"/>
        <v/>
      </c>
      <c r="G373" s="13" t="str">
        <f>IF(A373="","",SUMIFS(Base_Porao_Turno!$H:$H,Base_Porao_Turno!$A:$A,A373,Base_Porao_Turno!$E:$E,B373))</f>
        <v/>
      </c>
      <c r="H373" s="13" t="str">
        <f t="shared" si="17"/>
        <v/>
      </c>
    </row>
    <row r="374" spans="1:8" x14ac:dyDescent="0.3">
      <c r="A374" s="6"/>
      <c r="B374" s="6"/>
      <c r="C374" s="8"/>
      <c r="D374" s="13" t="str">
        <f>IF(A374="","",SUMIFS(Base_Porao_Turno!$K:$K,Base_Porao_Turno!$A:$A,A374,Base_Porao_Turno!$E:$E,B374))</f>
        <v/>
      </c>
      <c r="E374" s="13" t="str">
        <f t="shared" si="15"/>
        <v/>
      </c>
      <c r="F374" s="14" t="str">
        <f t="shared" si="16"/>
        <v/>
      </c>
      <c r="G374" s="13" t="str">
        <f>IF(A374="","",SUMIFS(Base_Porao_Turno!$H:$H,Base_Porao_Turno!$A:$A,A374,Base_Porao_Turno!$E:$E,B374))</f>
        <v/>
      </c>
      <c r="H374" s="13" t="str">
        <f t="shared" si="17"/>
        <v/>
      </c>
    </row>
    <row r="375" spans="1:8" x14ac:dyDescent="0.3">
      <c r="A375" s="6"/>
      <c r="B375" s="6"/>
      <c r="C375" s="8"/>
      <c r="D375" s="13" t="str">
        <f>IF(A375="","",SUMIFS(Base_Porao_Turno!$K:$K,Base_Porao_Turno!$A:$A,A375,Base_Porao_Turno!$E:$E,B375))</f>
        <v/>
      </c>
      <c r="E375" s="13" t="str">
        <f t="shared" si="15"/>
        <v/>
      </c>
      <c r="F375" s="14" t="str">
        <f t="shared" si="16"/>
        <v/>
      </c>
      <c r="G375" s="13" t="str">
        <f>IF(A375="","",SUMIFS(Base_Porao_Turno!$H:$H,Base_Porao_Turno!$A:$A,A375,Base_Porao_Turno!$E:$E,B375))</f>
        <v/>
      </c>
      <c r="H375" s="13" t="str">
        <f t="shared" si="17"/>
        <v/>
      </c>
    </row>
    <row r="376" spans="1:8" x14ac:dyDescent="0.3">
      <c r="A376" s="6"/>
      <c r="B376" s="6"/>
      <c r="C376" s="8"/>
      <c r="D376" s="13" t="str">
        <f>IF(A376="","",SUMIFS(Base_Porao_Turno!$K:$K,Base_Porao_Turno!$A:$A,A376,Base_Porao_Turno!$E:$E,B376))</f>
        <v/>
      </c>
      <c r="E376" s="13" t="str">
        <f t="shared" si="15"/>
        <v/>
      </c>
      <c r="F376" s="14" t="str">
        <f t="shared" si="16"/>
        <v/>
      </c>
      <c r="G376" s="13" t="str">
        <f>IF(A376="","",SUMIFS(Base_Porao_Turno!$H:$H,Base_Porao_Turno!$A:$A,A376,Base_Porao_Turno!$E:$E,B376))</f>
        <v/>
      </c>
      <c r="H376" s="13" t="str">
        <f t="shared" si="17"/>
        <v/>
      </c>
    </row>
    <row r="377" spans="1:8" x14ac:dyDescent="0.3">
      <c r="A377" s="6"/>
      <c r="B377" s="6"/>
      <c r="C377" s="8"/>
      <c r="D377" s="13" t="str">
        <f>IF(A377="","",SUMIFS(Base_Porao_Turno!$K:$K,Base_Porao_Turno!$A:$A,A377,Base_Porao_Turno!$E:$E,B377))</f>
        <v/>
      </c>
      <c r="E377" s="13" t="str">
        <f t="shared" si="15"/>
        <v/>
      </c>
      <c r="F377" s="14" t="str">
        <f t="shared" si="16"/>
        <v/>
      </c>
      <c r="G377" s="13" t="str">
        <f>IF(A377="","",SUMIFS(Base_Porao_Turno!$H:$H,Base_Porao_Turno!$A:$A,A377,Base_Porao_Turno!$E:$E,B377))</f>
        <v/>
      </c>
      <c r="H377" s="13" t="str">
        <f t="shared" si="17"/>
        <v/>
      </c>
    </row>
    <row r="378" spans="1:8" x14ac:dyDescent="0.3">
      <c r="A378" s="6"/>
      <c r="B378" s="6"/>
      <c r="C378" s="8"/>
      <c r="D378" s="13" t="str">
        <f>IF(A378="","",SUMIFS(Base_Porao_Turno!$K:$K,Base_Porao_Turno!$A:$A,A378,Base_Porao_Turno!$E:$E,B378))</f>
        <v/>
      </c>
      <c r="E378" s="13" t="str">
        <f t="shared" si="15"/>
        <v/>
      </c>
      <c r="F378" s="14" t="str">
        <f t="shared" si="16"/>
        <v/>
      </c>
      <c r="G378" s="13" t="str">
        <f>IF(A378="","",SUMIFS(Base_Porao_Turno!$H:$H,Base_Porao_Turno!$A:$A,A378,Base_Porao_Turno!$E:$E,B378))</f>
        <v/>
      </c>
      <c r="H378" s="13" t="str">
        <f t="shared" si="17"/>
        <v/>
      </c>
    </row>
    <row r="379" spans="1:8" x14ac:dyDescent="0.3">
      <c r="A379" s="6"/>
      <c r="B379" s="6"/>
      <c r="C379" s="8"/>
      <c r="D379" s="13" t="str">
        <f>IF(A379="","",SUMIFS(Base_Porao_Turno!$K:$K,Base_Porao_Turno!$A:$A,A379,Base_Porao_Turno!$E:$E,B379))</f>
        <v/>
      </c>
      <c r="E379" s="13" t="str">
        <f t="shared" si="15"/>
        <v/>
      </c>
      <c r="F379" s="14" t="str">
        <f t="shared" si="16"/>
        <v/>
      </c>
      <c r="G379" s="13" t="str">
        <f>IF(A379="","",SUMIFS(Base_Porao_Turno!$H:$H,Base_Porao_Turno!$A:$A,A379,Base_Porao_Turno!$E:$E,B379))</f>
        <v/>
      </c>
      <c r="H379" s="13" t="str">
        <f t="shared" si="17"/>
        <v/>
      </c>
    </row>
    <row r="380" spans="1:8" x14ac:dyDescent="0.3">
      <c r="A380" s="6"/>
      <c r="B380" s="6"/>
      <c r="C380" s="8"/>
      <c r="D380" s="13" t="str">
        <f>IF(A380="","",SUMIFS(Base_Porao_Turno!$K:$K,Base_Porao_Turno!$A:$A,A380,Base_Porao_Turno!$E:$E,B380))</f>
        <v/>
      </c>
      <c r="E380" s="13" t="str">
        <f t="shared" si="15"/>
        <v/>
      </c>
      <c r="F380" s="14" t="str">
        <f t="shared" si="16"/>
        <v/>
      </c>
      <c r="G380" s="13" t="str">
        <f>IF(A380="","",SUMIFS(Base_Porao_Turno!$H:$H,Base_Porao_Turno!$A:$A,A380,Base_Porao_Turno!$E:$E,B380))</f>
        <v/>
      </c>
      <c r="H380" s="13" t="str">
        <f t="shared" si="17"/>
        <v/>
      </c>
    </row>
    <row r="381" spans="1:8" x14ac:dyDescent="0.3">
      <c r="A381" s="6"/>
      <c r="B381" s="6"/>
      <c r="C381" s="8"/>
      <c r="D381" s="13" t="str">
        <f>IF(A381="","",SUMIFS(Base_Porao_Turno!$K:$K,Base_Porao_Turno!$A:$A,A381,Base_Porao_Turno!$E:$E,B381))</f>
        <v/>
      </c>
      <c r="E381" s="13" t="str">
        <f t="shared" si="15"/>
        <v/>
      </c>
      <c r="F381" s="14" t="str">
        <f t="shared" si="16"/>
        <v/>
      </c>
      <c r="G381" s="13" t="str">
        <f>IF(A381="","",SUMIFS(Base_Porao_Turno!$H:$H,Base_Porao_Turno!$A:$A,A381,Base_Porao_Turno!$E:$E,B381))</f>
        <v/>
      </c>
      <c r="H381" s="13" t="str">
        <f t="shared" si="17"/>
        <v/>
      </c>
    </row>
    <row r="382" spans="1:8" x14ac:dyDescent="0.3">
      <c r="A382" s="6"/>
      <c r="B382" s="6"/>
      <c r="C382" s="8"/>
      <c r="D382" s="13" t="str">
        <f>IF(A382="","",SUMIFS(Base_Porao_Turno!$K:$K,Base_Porao_Turno!$A:$A,A382,Base_Porao_Turno!$E:$E,B382))</f>
        <v/>
      </c>
      <c r="E382" s="13" t="str">
        <f t="shared" si="15"/>
        <v/>
      </c>
      <c r="F382" s="14" t="str">
        <f t="shared" si="16"/>
        <v/>
      </c>
      <c r="G382" s="13" t="str">
        <f>IF(A382="","",SUMIFS(Base_Porao_Turno!$H:$H,Base_Porao_Turno!$A:$A,A382,Base_Porao_Turno!$E:$E,B382))</f>
        <v/>
      </c>
      <c r="H382" s="13" t="str">
        <f t="shared" si="17"/>
        <v/>
      </c>
    </row>
    <row r="383" spans="1:8" x14ac:dyDescent="0.3">
      <c r="A383" s="6"/>
      <c r="B383" s="6"/>
      <c r="C383" s="8"/>
      <c r="D383" s="13" t="str">
        <f>IF(A383="","",SUMIFS(Base_Porao_Turno!$K:$K,Base_Porao_Turno!$A:$A,A383,Base_Porao_Turno!$E:$E,B383))</f>
        <v/>
      </c>
      <c r="E383" s="13" t="str">
        <f t="shared" si="15"/>
        <v/>
      </c>
      <c r="F383" s="14" t="str">
        <f t="shared" si="16"/>
        <v/>
      </c>
      <c r="G383" s="13" t="str">
        <f>IF(A383="","",SUMIFS(Base_Porao_Turno!$H:$H,Base_Porao_Turno!$A:$A,A383,Base_Porao_Turno!$E:$E,B383))</f>
        <v/>
      </c>
      <c r="H383" s="13" t="str">
        <f t="shared" si="17"/>
        <v/>
      </c>
    </row>
    <row r="384" spans="1:8" x14ac:dyDescent="0.3">
      <c r="A384" s="6"/>
      <c r="B384" s="6"/>
      <c r="C384" s="8"/>
      <c r="D384" s="13" t="str">
        <f>IF(A384="","",SUMIFS(Base_Porao_Turno!$K:$K,Base_Porao_Turno!$A:$A,A384,Base_Porao_Turno!$E:$E,B384))</f>
        <v/>
      </c>
      <c r="E384" s="13" t="str">
        <f t="shared" si="15"/>
        <v/>
      </c>
      <c r="F384" s="14" t="str">
        <f t="shared" si="16"/>
        <v/>
      </c>
      <c r="G384" s="13" t="str">
        <f>IF(A384="","",SUMIFS(Base_Porao_Turno!$H:$H,Base_Porao_Turno!$A:$A,A384,Base_Porao_Turno!$E:$E,B384))</f>
        <v/>
      </c>
      <c r="H384" s="13" t="str">
        <f t="shared" si="17"/>
        <v/>
      </c>
    </row>
    <row r="385" spans="1:8" x14ac:dyDescent="0.3">
      <c r="A385" s="6"/>
      <c r="B385" s="6"/>
      <c r="C385" s="8"/>
      <c r="D385" s="13" t="str">
        <f>IF(A385="","",SUMIFS(Base_Porao_Turno!$K:$K,Base_Porao_Turno!$A:$A,A385,Base_Porao_Turno!$E:$E,B385))</f>
        <v/>
      </c>
      <c r="E385" s="13" t="str">
        <f t="shared" si="15"/>
        <v/>
      </c>
      <c r="F385" s="14" t="str">
        <f t="shared" si="16"/>
        <v/>
      </c>
      <c r="G385" s="13" t="str">
        <f>IF(A385="","",SUMIFS(Base_Porao_Turno!$H:$H,Base_Porao_Turno!$A:$A,A385,Base_Porao_Turno!$E:$E,B385))</f>
        <v/>
      </c>
      <c r="H385" s="13" t="str">
        <f t="shared" si="17"/>
        <v/>
      </c>
    </row>
    <row r="386" spans="1:8" x14ac:dyDescent="0.3">
      <c r="A386" s="6"/>
      <c r="B386" s="6"/>
      <c r="C386" s="8"/>
      <c r="D386" s="13" t="str">
        <f>IF(A386="","",SUMIFS(Base_Porao_Turno!$K:$K,Base_Porao_Turno!$A:$A,A386,Base_Porao_Turno!$E:$E,B386))</f>
        <v/>
      </c>
      <c r="E386" s="13" t="str">
        <f t="shared" ref="E386:E449" si="18">IF(OR(C386="",D386=""),"",C386-D386)</f>
        <v/>
      </c>
      <c r="F386" s="14" t="str">
        <f t="shared" ref="F386:F449" si="19">IFERROR(D386/C386,"")</f>
        <v/>
      </c>
      <c r="G386" s="13" t="str">
        <f>IF(A386="","",SUMIFS(Base_Porao_Turno!$H:$H,Base_Porao_Turno!$A:$A,A386,Base_Porao_Turno!$E:$E,B386))</f>
        <v/>
      </c>
      <c r="H386" s="13" t="str">
        <f t="shared" ref="H386:H449" si="20">IFERROR(D386/G386,"")</f>
        <v/>
      </c>
    </row>
    <row r="387" spans="1:8" x14ac:dyDescent="0.3">
      <c r="A387" s="6"/>
      <c r="B387" s="6"/>
      <c r="C387" s="8"/>
      <c r="D387" s="13" t="str">
        <f>IF(A387="","",SUMIFS(Base_Porao_Turno!$K:$K,Base_Porao_Turno!$A:$A,A387,Base_Porao_Turno!$E:$E,B387))</f>
        <v/>
      </c>
      <c r="E387" s="13" t="str">
        <f t="shared" si="18"/>
        <v/>
      </c>
      <c r="F387" s="14" t="str">
        <f t="shared" si="19"/>
        <v/>
      </c>
      <c r="G387" s="13" t="str">
        <f>IF(A387="","",SUMIFS(Base_Porao_Turno!$H:$H,Base_Porao_Turno!$A:$A,A387,Base_Porao_Turno!$E:$E,B387))</f>
        <v/>
      </c>
      <c r="H387" s="13" t="str">
        <f t="shared" si="20"/>
        <v/>
      </c>
    </row>
    <row r="388" spans="1:8" x14ac:dyDescent="0.3">
      <c r="A388" s="6"/>
      <c r="B388" s="6"/>
      <c r="C388" s="8"/>
      <c r="D388" s="13" t="str">
        <f>IF(A388="","",SUMIFS(Base_Porao_Turno!$K:$K,Base_Porao_Turno!$A:$A,A388,Base_Porao_Turno!$E:$E,B388))</f>
        <v/>
      </c>
      <c r="E388" s="13" t="str">
        <f t="shared" si="18"/>
        <v/>
      </c>
      <c r="F388" s="14" t="str">
        <f t="shared" si="19"/>
        <v/>
      </c>
      <c r="G388" s="13" t="str">
        <f>IF(A388="","",SUMIFS(Base_Porao_Turno!$H:$H,Base_Porao_Turno!$A:$A,A388,Base_Porao_Turno!$E:$E,B388))</f>
        <v/>
      </c>
      <c r="H388" s="13" t="str">
        <f t="shared" si="20"/>
        <v/>
      </c>
    </row>
    <row r="389" spans="1:8" x14ac:dyDescent="0.3">
      <c r="A389" s="6"/>
      <c r="B389" s="6"/>
      <c r="C389" s="8"/>
      <c r="D389" s="13" t="str">
        <f>IF(A389="","",SUMIFS(Base_Porao_Turno!$K:$K,Base_Porao_Turno!$A:$A,A389,Base_Porao_Turno!$E:$E,B389))</f>
        <v/>
      </c>
      <c r="E389" s="13" t="str">
        <f t="shared" si="18"/>
        <v/>
      </c>
      <c r="F389" s="14" t="str">
        <f t="shared" si="19"/>
        <v/>
      </c>
      <c r="G389" s="13" t="str">
        <f>IF(A389="","",SUMIFS(Base_Porao_Turno!$H:$H,Base_Porao_Turno!$A:$A,A389,Base_Porao_Turno!$E:$E,B389))</f>
        <v/>
      </c>
      <c r="H389" s="13" t="str">
        <f t="shared" si="20"/>
        <v/>
      </c>
    </row>
    <row r="390" spans="1:8" x14ac:dyDescent="0.3">
      <c r="A390" s="6"/>
      <c r="B390" s="6"/>
      <c r="C390" s="8"/>
      <c r="D390" s="13" t="str">
        <f>IF(A390="","",SUMIFS(Base_Porao_Turno!$K:$K,Base_Porao_Turno!$A:$A,A390,Base_Porao_Turno!$E:$E,B390))</f>
        <v/>
      </c>
      <c r="E390" s="13" t="str">
        <f t="shared" si="18"/>
        <v/>
      </c>
      <c r="F390" s="14" t="str">
        <f t="shared" si="19"/>
        <v/>
      </c>
      <c r="G390" s="13" t="str">
        <f>IF(A390="","",SUMIFS(Base_Porao_Turno!$H:$H,Base_Porao_Turno!$A:$A,A390,Base_Porao_Turno!$E:$E,B390))</f>
        <v/>
      </c>
      <c r="H390" s="13" t="str">
        <f t="shared" si="20"/>
        <v/>
      </c>
    </row>
    <row r="391" spans="1:8" x14ac:dyDescent="0.3">
      <c r="A391" s="6"/>
      <c r="B391" s="6"/>
      <c r="C391" s="8"/>
      <c r="D391" s="13" t="str">
        <f>IF(A391="","",SUMIFS(Base_Porao_Turno!$K:$K,Base_Porao_Turno!$A:$A,A391,Base_Porao_Turno!$E:$E,B391))</f>
        <v/>
      </c>
      <c r="E391" s="13" t="str">
        <f t="shared" si="18"/>
        <v/>
      </c>
      <c r="F391" s="14" t="str">
        <f t="shared" si="19"/>
        <v/>
      </c>
      <c r="G391" s="13" t="str">
        <f>IF(A391="","",SUMIFS(Base_Porao_Turno!$H:$H,Base_Porao_Turno!$A:$A,A391,Base_Porao_Turno!$E:$E,B391))</f>
        <v/>
      </c>
      <c r="H391" s="13" t="str">
        <f t="shared" si="20"/>
        <v/>
      </c>
    </row>
    <row r="392" spans="1:8" x14ac:dyDescent="0.3">
      <c r="A392" s="6"/>
      <c r="B392" s="6"/>
      <c r="C392" s="8"/>
      <c r="D392" s="13" t="str">
        <f>IF(A392="","",SUMIFS(Base_Porao_Turno!$K:$K,Base_Porao_Turno!$A:$A,A392,Base_Porao_Turno!$E:$E,B392))</f>
        <v/>
      </c>
      <c r="E392" s="13" t="str">
        <f t="shared" si="18"/>
        <v/>
      </c>
      <c r="F392" s="14" t="str">
        <f t="shared" si="19"/>
        <v/>
      </c>
      <c r="G392" s="13" t="str">
        <f>IF(A392="","",SUMIFS(Base_Porao_Turno!$H:$H,Base_Porao_Turno!$A:$A,A392,Base_Porao_Turno!$E:$E,B392))</f>
        <v/>
      </c>
      <c r="H392" s="13" t="str">
        <f t="shared" si="20"/>
        <v/>
      </c>
    </row>
    <row r="393" spans="1:8" x14ac:dyDescent="0.3">
      <c r="A393" s="6"/>
      <c r="B393" s="6"/>
      <c r="C393" s="8"/>
      <c r="D393" s="13" t="str">
        <f>IF(A393="","",SUMIFS(Base_Porao_Turno!$K:$K,Base_Porao_Turno!$A:$A,A393,Base_Porao_Turno!$E:$E,B393))</f>
        <v/>
      </c>
      <c r="E393" s="13" t="str">
        <f t="shared" si="18"/>
        <v/>
      </c>
      <c r="F393" s="14" t="str">
        <f t="shared" si="19"/>
        <v/>
      </c>
      <c r="G393" s="13" t="str">
        <f>IF(A393="","",SUMIFS(Base_Porao_Turno!$H:$H,Base_Porao_Turno!$A:$A,A393,Base_Porao_Turno!$E:$E,B393))</f>
        <v/>
      </c>
      <c r="H393" s="13" t="str">
        <f t="shared" si="20"/>
        <v/>
      </c>
    </row>
    <row r="394" spans="1:8" x14ac:dyDescent="0.3">
      <c r="A394" s="6"/>
      <c r="B394" s="6"/>
      <c r="C394" s="8"/>
      <c r="D394" s="13" t="str">
        <f>IF(A394="","",SUMIFS(Base_Porao_Turno!$K:$K,Base_Porao_Turno!$A:$A,A394,Base_Porao_Turno!$E:$E,B394))</f>
        <v/>
      </c>
      <c r="E394" s="13" t="str">
        <f t="shared" si="18"/>
        <v/>
      </c>
      <c r="F394" s="14" t="str">
        <f t="shared" si="19"/>
        <v/>
      </c>
      <c r="G394" s="13" t="str">
        <f>IF(A394="","",SUMIFS(Base_Porao_Turno!$H:$H,Base_Porao_Turno!$A:$A,A394,Base_Porao_Turno!$E:$E,B394))</f>
        <v/>
      </c>
      <c r="H394" s="13" t="str">
        <f t="shared" si="20"/>
        <v/>
      </c>
    </row>
    <row r="395" spans="1:8" x14ac:dyDescent="0.3">
      <c r="A395" s="6"/>
      <c r="B395" s="6"/>
      <c r="C395" s="8"/>
      <c r="D395" s="13" t="str">
        <f>IF(A395="","",SUMIFS(Base_Porao_Turno!$K:$K,Base_Porao_Turno!$A:$A,A395,Base_Porao_Turno!$E:$E,B395))</f>
        <v/>
      </c>
      <c r="E395" s="13" t="str">
        <f t="shared" si="18"/>
        <v/>
      </c>
      <c r="F395" s="14" t="str">
        <f t="shared" si="19"/>
        <v/>
      </c>
      <c r="G395" s="13" t="str">
        <f>IF(A395="","",SUMIFS(Base_Porao_Turno!$H:$H,Base_Porao_Turno!$A:$A,A395,Base_Porao_Turno!$E:$E,B395))</f>
        <v/>
      </c>
      <c r="H395" s="13" t="str">
        <f t="shared" si="20"/>
        <v/>
      </c>
    </row>
    <row r="396" spans="1:8" x14ac:dyDescent="0.3">
      <c r="A396" s="6"/>
      <c r="B396" s="6"/>
      <c r="C396" s="8"/>
      <c r="D396" s="13" t="str">
        <f>IF(A396="","",SUMIFS(Base_Porao_Turno!$K:$K,Base_Porao_Turno!$A:$A,A396,Base_Porao_Turno!$E:$E,B396))</f>
        <v/>
      </c>
      <c r="E396" s="13" t="str">
        <f t="shared" si="18"/>
        <v/>
      </c>
      <c r="F396" s="14" t="str">
        <f t="shared" si="19"/>
        <v/>
      </c>
      <c r="G396" s="13" t="str">
        <f>IF(A396="","",SUMIFS(Base_Porao_Turno!$H:$H,Base_Porao_Turno!$A:$A,A396,Base_Porao_Turno!$E:$E,B396))</f>
        <v/>
      </c>
      <c r="H396" s="13" t="str">
        <f t="shared" si="20"/>
        <v/>
      </c>
    </row>
    <row r="397" spans="1:8" x14ac:dyDescent="0.3">
      <c r="A397" s="6"/>
      <c r="B397" s="6"/>
      <c r="C397" s="8"/>
      <c r="D397" s="13" t="str">
        <f>IF(A397="","",SUMIFS(Base_Porao_Turno!$K:$K,Base_Porao_Turno!$A:$A,A397,Base_Porao_Turno!$E:$E,B397))</f>
        <v/>
      </c>
      <c r="E397" s="13" t="str">
        <f t="shared" si="18"/>
        <v/>
      </c>
      <c r="F397" s="14" t="str">
        <f t="shared" si="19"/>
        <v/>
      </c>
      <c r="G397" s="13" t="str">
        <f>IF(A397="","",SUMIFS(Base_Porao_Turno!$H:$H,Base_Porao_Turno!$A:$A,A397,Base_Porao_Turno!$E:$E,B397))</f>
        <v/>
      </c>
      <c r="H397" s="13" t="str">
        <f t="shared" si="20"/>
        <v/>
      </c>
    </row>
    <row r="398" spans="1:8" x14ac:dyDescent="0.3">
      <c r="A398" s="6"/>
      <c r="B398" s="6"/>
      <c r="C398" s="8"/>
      <c r="D398" s="13" t="str">
        <f>IF(A398="","",SUMIFS(Base_Porao_Turno!$K:$K,Base_Porao_Turno!$A:$A,A398,Base_Porao_Turno!$E:$E,B398))</f>
        <v/>
      </c>
      <c r="E398" s="13" t="str">
        <f t="shared" si="18"/>
        <v/>
      </c>
      <c r="F398" s="14" t="str">
        <f t="shared" si="19"/>
        <v/>
      </c>
      <c r="G398" s="13" t="str">
        <f>IF(A398="","",SUMIFS(Base_Porao_Turno!$H:$H,Base_Porao_Turno!$A:$A,A398,Base_Porao_Turno!$E:$E,B398))</f>
        <v/>
      </c>
      <c r="H398" s="13" t="str">
        <f t="shared" si="20"/>
        <v/>
      </c>
    </row>
    <row r="399" spans="1:8" x14ac:dyDescent="0.3">
      <c r="A399" s="6"/>
      <c r="B399" s="6"/>
      <c r="C399" s="8"/>
      <c r="D399" s="13" t="str">
        <f>IF(A399="","",SUMIFS(Base_Porao_Turno!$K:$K,Base_Porao_Turno!$A:$A,A399,Base_Porao_Turno!$E:$E,B399))</f>
        <v/>
      </c>
      <c r="E399" s="13" t="str">
        <f t="shared" si="18"/>
        <v/>
      </c>
      <c r="F399" s="14" t="str">
        <f t="shared" si="19"/>
        <v/>
      </c>
      <c r="G399" s="13" t="str">
        <f>IF(A399="","",SUMIFS(Base_Porao_Turno!$H:$H,Base_Porao_Turno!$A:$A,A399,Base_Porao_Turno!$E:$E,B399))</f>
        <v/>
      </c>
      <c r="H399" s="13" t="str">
        <f t="shared" si="20"/>
        <v/>
      </c>
    </row>
    <row r="400" spans="1:8" x14ac:dyDescent="0.3">
      <c r="A400" s="6"/>
      <c r="B400" s="6"/>
      <c r="C400" s="8"/>
      <c r="D400" s="13" t="str">
        <f>IF(A400="","",SUMIFS(Base_Porao_Turno!$K:$K,Base_Porao_Turno!$A:$A,A400,Base_Porao_Turno!$E:$E,B400))</f>
        <v/>
      </c>
      <c r="E400" s="13" t="str">
        <f t="shared" si="18"/>
        <v/>
      </c>
      <c r="F400" s="14" t="str">
        <f t="shared" si="19"/>
        <v/>
      </c>
      <c r="G400" s="13" t="str">
        <f>IF(A400="","",SUMIFS(Base_Porao_Turno!$H:$H,Base_Porao_Turno!$A:$A,A400,Base_Porao_Turno!$E:$E,B400))</f>
        <v/>
      </c>
      <c r="H400" s="13" t="str">
        <f t="shared" si="20"/>
        <v/>
      </c>
    </row>
    <row r="401" spans="1:8" x14ac:dyDescent="0.3">
      <c r="A401" s="6"/>
      <c r="B401" s="6"/>
      <c r="C401" s="8"/>
      <c r="D401" s="13" t="str">
        <f>IF(A401="","",SUMIFS(Base_Porao_Turno!$K:$K,Base_Porao_Turno!$A:$A,A401,Base_Porao_Turno!$E:$E,B401))</f>
        <v/>
      </c>
      <c r="E401" s="13" t="str">
        <f t="shared" si="18"/>
        <v/>
      </c>
      <c r="F401" s="14" t="str">
        <f t="shared" si="19"/>
        <v/>
      </c>
      <c r="G401" s="13" t="str">
        <f>IF(A401="","",SUMIFS(Base_Porao_Turno!$H:$H,Base_Porao_Turno!$A:$A,A401,Base_Porao_Turno!$E:$E,B401))</f>
        <v/>
      </c>
      <c r="H401" s="13" t="str">
        <f t="shared" si="20"/>
        <v/>
      </c>
    </row>
    <row r="402" spans="1:8" x14ac:dyDescent="0.3">
      <c r="A402" s="6"/>
      <c r="B402" s="6"/>
      <c r="C402" s="8"/>
      <c r="D402" s="13" t="str">
        <f>IF(A402="","",SUMIFS(Base_Porao_Turno!$K:$K,Base_Porao_Turno!$A:$A,A402,Base_Porao_Turno!$E:$E,B402))</f>
        <v/>
      </c>
      <c r="E402" s="13" t="str">
        <f t="shared" si="18"/>
        <v/>
      </c>
      <c r="F402" s="14" t="str">
        <f t="shared" si="19"/>
        <v/>
      </c>
      <c r="G402" s="13" t="str">
        <f>IF(A402="","",SUMIFS(Base_Porao_Turno!$H:$H,Base_Porao_Turno!$A:$A,A402,Base_Porao_Turno!$E:$E,B402))</f>
        <v/>
      </c>
      <c r="H402" s="13" t="str">
        <f t="shared" si="20"/>
        <v/>
      </c>
    </row>
    <row r="403" spans="1:8" x14ac:dyDescent="0.3">
      <c r="A403" s="6"/>
      <c r="B403" s="6"/>
      <c r="C403" s="8"/>
      <c r="D403" s="13" t="str">
        <f>IF(A403="","",SUMIFS(Base_Porao_Turno!$K:$K,Base_Porao_Turno!$A:$A,A403,Base_Porao_Turno!$E:$E,B403))</f>
        <v/>
      </c>
      <c r="E403" s="13" t="str">
        <f t="shared" si="18"/>
        <v/>
      </c>
      <c r="F403" s="14" t="str">
        <f t="shared" si="19"/>
        <v/>
      </c>
      <c r="G403" s="13" t="str">
        <f>IF(A403="","",SUMIFS(Base_Porao_Turno!$H:$H,Base_Porao_Turno!$A:$A,A403,Base_Porao_Turno!$E:$E,B403))</f>
        <v/>
      </c>
      <c r="H403" s="13" t="str">
        <f t="shared" si="20"/>
        <v/>
      </c>
    </row>
    <row r="404" spans="1:8" x14ac:dyDescent="0.3">
      <c r="A404" s="6"/>
      <c r="B404" s="6"/>
      <c r="C404" s="8"/>
      <c r="D404" s="13" t="str">
        <f>IF(A404="","",SUMIFS(Base_Porao_Turno!$K:$K,Base_Porao_Turno!$A:$A,A404,Base_Porao_Turno!$E:$E,B404))</f>
        <v/>
      </c>
      <c r="E404" s="13" t="str">
        <f t="shared" si="18"/>
        <v/>
      </c>
      <c r="F404" s="14" t="str">
        <f t="shared" si="19"/>
        <v/>
      </c>
      <c r="G404" s="13" t="str">
        <f>IF(A404="","",SUMIFS(Base_Porao_Turno!$H:$H,Base_Porao_Turno!$A:$A,A404,Base_Porao_Turno!$E:$E,B404))</f>
        <v/>
      </c>
      <c r="H404" s="13" t="str">
        <f t="shared" si="20"/>
        <v/>
      </c>
    </row>
    <row r="405" spans="1:8" x14ac:dyDescent="0.3">
      <c r="A405" s="6"/>
      <c r="B405" s="6"/>
      <c r="C405" s="8"/>
      <c r="D405" s="13" t="str">
        <f>IF(A405="","",SUMIFS(Base_Porao_Turno!$K:$K,Base_Porao_Turno!$A:$A,A405,Base_Porao_Turno!$E:$E,B405))</f>
        <v/>
      </c>
      <c r="E405" s="13" t="str">
        <f t="shared" si="18"/>
        <v/>
      </c>
      <c r="F405" s="14" t="str">
        <f t="shared" si="19"/>
        <v/>
      </c>
      <c r="G405" s="13" t="str">
        <f>IF(A405="","",SUMIFS(Base_Porao_Turno!$H:$H,Base_Porao_Turno!$A:$A,A405,Base_Porao_Turno!$E:$E,B405))</f>
        <v/>
      </c>
      <c r="H405" s="13" t="str">
        <f t="shared" si="20"/>
        <v/>
      </c>
    </row>
    <row r="406" spans="1:8" x14ac:dyDescent="0.3">
      <c r="A406" s="6"/>
      <c r="B406" s="6"/>
      <c r="C406" s="8"/>
      <c r="D406" s="13" t="str">
        <f>IF(A406="","",SUMIFS(Base_Porao_Turno!$K:$K,Base_Porao_Turno!$A:$A,A406,Base_Porao_Turno!$E:$E,B406))</f>
        <v/>
      </c>
      <c r="E406" s="13" t="str">
        <f t="shared" si="18"/>
        <v/>
      </c>
      <c r="F406" s="14" t="str">
        <f t="shared" si="19"/>
        <v/>
      </c>
      <c r="G406" s="13" t="str">
        <f>IF(A406="","",SUMIFS(Base_Porao_Turno!$H:$H,Base_Porao_Turno!$A:$A,A406,Base_Porao_Turno!$E:$E,B406))</f>
        <v/>
      </c>
      <c r="H406" s="13" t="str">
        <f t="shared" si="20"/>
        <v/>
      </c>
    </row>
    <row r="407" spans="1:8" x14ac:dyDescent="0.3">
      <c r="A407" s="6"/>
      <c r="B407" s="6"/>
      <c r="C407" s="8"/>
      <c r="D407" s="13" t="str">
        <f>IF(A407="","",SUMIFS(Base_Porao_Turno!$K:$K,Base_Porao_Turno!$A:$A,A407,Base_Porao_Turno!$E:$E,B407))</f>
        <v/>
      </c>
      <c r="E407" s="13" t="str">
        <f t="shared" si="18"/>
        <v/>
      </c>
      <c r="F407" s="14" t="str">
        <f t="shared" si="19"/>
        <v/>
      </c>
      <c r="G407" s="13" t="str">
        <f>IF(A407="","",SUMIFS(Base_Porao_Turno!$H:$H,Base_Porao_Turno!$A:$A,A407,Base_Porao_Turno!$E:$E,B407))</f>
        <v/>
      </c>
      <c r="H407" s="13" t="str">
        <f t="shared" si="20"/>
        <v/>
      </c>
    </row>
    <row r="408" spans="1:8" x14ac:dyDescent="0.3">
      <c r="A408" s="6"/>
      <c r="B408" s="6"/>
      <c r="C408" s="8"/>
      <c r="D408" s="13" t="str">
        <f>IF(A408="","",SUMIFS(Base_Porao_Turno!$K:$K,Base_Porao_Turno!$A:$A,A408,Base_Porao_Turno!$E:$E,B408))</f>
        <v/>
      </c>
      <c r="E408" s="13" t="str">
        <f t="shared" si="18"/>
        <v/>
      </c>
      <c r="F408" s="14" t="str">
        <f t="shared" si="19"/>
        <v/>
      </c>
      <c r="G408" s="13" t="str">
        <f>IF(A408="","",SUMIFS(Base_Porao_Turno!$H:$H,Base_Porao_Turno!$A:$A,A408,Base_Porao_Turno!$E:$E,B408))</f>
        <v/>
      </c>
      <c r="H408" s="13" t="str">
        <f t="shared" si="20"/>
        <v/>
      </c>
    </row>
    <row r="409" spans="1:8" x14ac:dyDescent="0.3">
      <c r="A409" s="6"/>
      <c r="B409" s="6"/>
      <c r="C409" s="8"/>
      <c r="D409" s="13" t="str">
        <f>IF(A409="","",SUMIFS(Base_Porao_Turno!$K:$K,Base_Porao_Turno!$A:$A,A409,Base_Porao_Turno!$E:$E,B409))</f>
        <v/>
      </c>
      <c r="E409" s="13" t="str">
        <f t="shared" si="18"/>
        <v/>
      </c>
      <c r="F409" s="14" t="str">
        <f t="shared" si="19"/>
        <v/>
      </c>
      <c r="G409" s="13" t="str">
        <f>IF(A409="","",SUMIFS(Base_Porao_Turno!$H:$H,Base_Porao_Turno!$A:$A,A409,Base_Porao_Turno!$E:$E,B409))</f>
        <v/>
      </c>
      <c r="H409" s="13" t="str">
        <f t="shared" si="20"/>
        <v/>
      </c>
    </row>
    <row r="410" spans="1:8" x14ac:dyDescent="0.3">
      <c r="A410" s="6"/>
      <c r="B410" s="6"/>
      <c r="C410" s="8"/>
      <c r="D410" s="13" t="str">
        <f>IF(A410="","",SUMIFS(Base_Porao_Turno!$K:$K,Base_Porao_Turno!$A:$A,A410,Base_Porao_Turno!$E:$E,B410))</f>
        <v/>
      </c>
      <c r="E410" s="13" t="str">
        <f t="shared" si="18"/>
        <v/>
      </c>
      <c r="F410" s="14" t="str">
        <f t="shared" si="19"/>
        <v/>
      </c>
      <c r="G410" s="13" t="str">
        <f>IF(A410="","",SUMIFS(Base_Porao_Turno!$H:$H,Base_Porao_Turno!$A:$A,A410,Base_Porao_Turno!$E:$E,B410))</f>
        <v/>
      </c>
      <c r="H410" s="13" t="str">
        <f t="shared" si="20"/>
        <v/>
      </c>
    </row>
    <row r="411" spans="1:8" x14ac:dyDescent="0.3">
      <c r="A411" s="6"/>
      <c r="B411" s="6"/>
      <c r="C411" s="8"/>
      <c r="D411" s="13" t="str">
        <f>IF(A411="","",SUMIFS(Base_Porao_Turno!$K:$K,Base_Porao_Turno!$A:$A,A411,Base_Porao_Turno!$E:$E,B411))</f>
        <v/>
      </c>
      <c r="E411" s="13" t="str">
        <f t="shared" si="18"/>
        <v/>
      </c>
      <c r="F411" s="14" t="str">
        <f t="shared" si="19"/>
        <v/>
      </c>
      <c r="G411" s="13" t="str">
        <f>IF(A411="","",SUMIFS(Base_Porao_Turno!$H:$H,Base_Porao_Turno!$A:$A,A411,Base_Porao_Turno!$E:$E,B411))</f>
        <v/>
      </c>
      <c r="H411" s="13" t="str">
        <f t="shared" si="20"/>
        <v/>
      </c>
    </row>
    <row r="412" spans="1:8" x14ac:dyDescent="0.3">
      <c r="A412" s="6"/>
      <c r="B412" s="6"/>
      <c r="C412" s="8"/>
      <c r="D412" s="13" t="str">
        <f>IF(A412="","",SUMIFS(Base_Porao_Turno!$K:$K,Base_Porao_Turno!$A:$A,A412,Base_Porao_Turno!$E:$E,B412))</f>
        <v/>
      </c>
      <c r="E412" s="13" t="str">
        <f t="shared" si="18"/>
        <v/>
      </c>
      <c r="F412" s="14" t="str">
        <f t="shared" si="19"/>
        <v/>
      </c>
      <c r="G412" s="13" t="str">
        <f>IF(A412="","",SUMIFS(Base_Porao_Turno!$H:$H,Base_Porao_Turno!$A:$A,A412,Base_Porao_Turno!$E:$E,B412))</f>
        <v/>
      </c>
      <c r="H412" s="13" t="str">
        <f t="shared" si="20"/>
        <v/>
      </c>
    </row>
    <row r="413" spans="1:8" x14ac:dyDescent="0.3">
      <c r="A413" s="6"/>
      <c r="B413" s="6"/>
      <c r="C413" s="8"/>
      <c r="D413" s="13" t="str">
        <f>IF(A413="","",SUMIFS(Base_Porao_Turno!$K:$K,Base_Porao_Turno!$A:$A,A413,Base_Porao_Turno!$E:$E,B413))</f>
        <v/>
      </c>
      <c r="E413" s="13" t="str">
        <f t="shared" si="18"/>
        <v/>
      </c>
      <c r="F413" s="14" t="str">
        <f t="shared" si="19"/>
        <v/>
      </c>
      <c r="G413" s="13" t="str">
        <f>IF(A413="","",SUMIFS(Base_Porao_Turno!$H:$H,Base_Porao_Turno!$A:$A,A413,Base_Porao_Turno!$E:$E,B413))</f>
        <v/>
      </c>
      <c r="H413" s="13" t="str">
        <f t="shared" si="20"/>
        <v/>
      </c>
    </row>
    <row r="414" spans="1:8" x14ac:dyDescent="0.3">
      <c r="A414" s="6"/>
      <c r="B414" s="6"/>
      <c r="C414" s="8"/>
      <c r="D414" s="13" t="str">
        <f>IF(A414="","",SUMIFS(Base_Porao_Turno!$K:$K,Base_Porao_Turno!$A:$A,A414,Base_Porao_Turno!$E:$E,B414))</f>
        <v/>
      </c>
      <c r="E414" s="13" t="str">
        <f t="shared" si="18"/>
        <v/>
      </c>
      <c r="F414" s="14" t="str">
        <f t="shared" si="19"/>
        <v/>
      </c>
      <c r="G414" s="13" t="str">
        <f>IF(A414="","",SUMIFS(Base_Porao_Turno!$H:$H,Base_Porao_Turno!$A:$A,A414,Base_Porao_Turno!$E:$E,B414))</f>
        <v/>
      </c>
      <c r="H414" s="13" t="str">
        <f t="shared" si="20"/>
        <v/>
      </c>
    </row>
    <row r="415" spans="1:8" x14ac:dyDescent="0.3">
      <c r="A415" s="6"/>
      <c r="B415" s="6"/>
      <c r="C415" s="8"/>
      <c r="D415" s="13" t="str">
        <f>IF(A415="","",SUMIFS(Base_Porao_Turno!$K:$K,Base_Porao_Turno!$A:$A,A415,Base_Porao_Turno!$E:$E,B415))</f>
        <v/>
      </c>
      <c r="E415" s="13" t="str">
        <f t="shared" si="18"/>
        <v/>
      </c>
      <c r="F415" s="14" t="str">
        <f t="shared" si="19"/>
        <v/>
      </c>
      <c r="G415" s="13" t="str">
        <f>IF(A415="","",SUMIFS(Base_Porao_Turno!$H:$H,Base_Porao_Turno!$A:$A,A415,Base_Porao_Turno!$E:$E,B415))</f>
        <v/>
      </c>
      <c r="H415" s="13" t="str">
        <f t="shared" si="20"/>
        <v/>
      </c>
    </row>
    <row r="416" spans="1:8" x14ac:dyDescent="0.3">
      <c r="A416" s="6"/>
      <c r="B416" s="6"/>
      <c r="C416" s="8"/>
      <c r="D416" s="13" t="str">
        <f>IF(A416="","",SUMIFS(Base_Porao_Turno!$K:$K,Base_Porao_Turno!$A:$A,A416,Base_Porao_Turno!$E:$E,B416))</f>
        <v/>
      </c>
      <c r="E416" s="13" t="str">
        <f t="shared" si="18"/>
        <v/>
      </c>
      <c r="F416" s="14" t="str">
        <f t="shared" si="19"/>
        <v/>
      </c>
      <c r="G416" s="13" t="str">
        <f>IF(A416="","",SUMIFS(Base_Porao_Turno!$H:$H,Base_Porao_Turno!$A:$A,A416,Base_Porao_Turno!$E:$E,B416))</f>
        <v/>
      </c>
      <c r="H416" s="13" t="str">
        <f t="shared" si="20"/>
        <v/>
      </c>
    </row>
    <row r="417" spans="1:8" x14ac:dyDescent="0.3">
      <c r="A417" s="6"/>
      <c r="B417" s="6"/>
      <c r="C417" s="8"/>
      <c r="D417" s="13" t="str">
        <f>IF(A417="","",SUMIFS(Base_Porao_Turno!$K:$K,Base_Porao_Turno!$A:$A,A417,Base_Porao_Turno!$E:$E,B417))</f>
        <v/>
      </c>
      <c r="E417" s="13" t="str">
        <f t="shared" si="18"/>
        <v/>
      </c>
      <c r="F417" s="14" t="str">
        <f t="shared" si="19"/>
        <v/>
      </c>
      <c r="G417" s="13" t="str">
        <f>IF(A417="","",SUMIFS(Base_Porao_Turno!$H:$H,Base_Porao_Turno!$A:$A,A417,Base_Porao_Turno!$E:$E,B417))</f>
        <v/>
      </c>
      <c r="H417" s="13" t="str">
        <f t="shared" si="20"/>
        <v/>
      </c>
    </row>
    <row r="418" spans="1:8" x14ac:dyDescent="0.3">
      <c r="A418" s="6"/>
      <c r="B418" s="6"/>
      <c r="C418" s="8"/>
      <c r="D418" s="13" t="str">
        <f>IF(A418="","",SUMIFS(Base_Porao_Turno!$K:$K,Base_Porao_Turno!$A:$A,A418,Base_Porao_Turno!$E:$E,B418))</f>
        <v/>
      </c>
      <c r="E418" s="13" t="str">
        <f t="shared" si="18"/>
        <v/>
      </c>
      <c r="F418" s="14" t="str">
        <f t="shared" si="19"/>
        <v/>
      </c>
      <c r="G418" s="13" t="str">
        <f>IF(A418="","",SUMIFS(Base_Porao_Turno!$H:$H,Base_Porao_Turno!$A:$A,A418,Base_Porao_Turno!$E:$E,B418))</f>
        <v/>
      </c>
      <c r="H418" s="13" t="str">
        <f t="shared" si="20"/>
        <v/>
      </c>
    </row>
    <row r="419" spans="1:8" x14ac:dyDescent="0.3">
      <c r="A419" s="6"/>
      <c r="B419" s="6"/>
      <c r="C419" s="8"/>
      <c r="D419" s="13" t="str">
        <f>IF(A419="","",SUMIFS(Base_Porao_Turno!$K:$K,Base_Porao_Turno!$A:$A,A419,Base_Porao_Turno!$E:$E,B419))</f>
        <v/>
      </c>
      <c r="E419" s="13" t="str">
        <f t="shared" si="18"/>
        <v/>
      </c>
      <c r="F419" s="14" t="str">
        <f t="shared" si="19"/>
        <v/>
      </c>
      <c r="G419" s="13" t="str">
        <f>IF(A419="","",SUMIFS(Base_Porao_Turno!$H:$H,Base_Porao_Turno!$A:$A,A419,Base_Porao_Turno!$E:$E,B419))</f>
        <v/>
      </c>
      <c r="H419" s="13" t="str">
        <f t="shared" si="20"/>
        <v/>
      </c>
    </row>
    <row r="420" spans="1:8" x14ac:dyDescent="0.3">
      <c r="A420" s="6"/>
      <c r="B420" s="6"/>
      <c r="C420" s="8"/>
      <c r="D420" s="13" t="str">
        <f>IF(A420="","",SUMIFS(Base_Porao_Turno!$K:$K,Base_Porao_Turno!$A:$A,A420,Base_Porao_Turno!$E:$E,B420))</f>
        <v/>
      </c>
      <c r="E420" s="13" t="str">
        <f t="shared" si="18"/>
        <v/>
      </c>
      <c r="F420" s="14" t="str">
        <f t="shared" si="19"/>
        <v/>
      </c>
      <c r="G420" s="13" t="str">
        <f>IF(A420="","",SUMIFS(Base_Porao_Turno!$H:$H,Base_Porao_Turno!$A:$A,A420,Base_Porao_Turno!$E:$E,B420))</f>
        <v/>
      </c>
      <c r="H420" s="13" t="str">
        <f t="shared" si="20"/>
        <v/>
      </c>
    </row>
    <row r="421" spans="1:8" x14ac:dyDescent="0.3">
      <c r="A421" s="6"/>
      <c r="B421" s="6"/>
      <c r="C421" s="8"/>
      <c r="D421" s="13" t="str">
        <f>IF(A421="","",SUMIFS(Base_Porao_Turno!$K:$K,Base_Porao_Turno!$A:$A,A421,Base_Porao_Turno!$E:$E,B421))</f>
        <v/>
      </c>
      <c r="E421" s="13" t="str">
        <f t="shared" si="18"/>
        <v/>
      </c>
      <c r="F421" s="14" t="str">
        <f t="shared" si="19"/>
        <v/>
      </c>
      <c r="G421" s="13" t="str">
        <f>IF(A421="","",SUMIFS(Base_Porao_Turno!$H:$H,Base_Porao_Turno!$A:$A,A421,Base_Porao_Turno!$E:$E,B421))</f>
        <v/>
      </c>
      <c r="H421" s="13" t="str">
        <f t="shared" si="20"/>
        <v/>
      </c>
    </row>
    <row r="422" spans="1:8" x14ac:dyDescent="0.3">
      <c r="A422" s="6"/>
      <c r="B422" s="6"/>
      <c r="C422" s="8"/>
      <c r="D422" s="13" t="str">
        <f>IF(A422="","",SUMIFS(Base_Porao_Turno!$K:$K,Base_Porao_Turno!$A:$A,A422,Base_Porao_Turno!$E:$E,B422))</f>
        <v/>
      </c>
      <c r="E422" s="13" t="str">
        <f t="shared" si="18"/>
        <v/>
      </c>
      <c r="F422" s="14" t="str">
        <f t="shared" si="19"/>
        <v/>
      </c>
      <c r="G422" s="13" t="str">
        <f>IF(A422="","",SUMIFS(Base_Porao_Turno!$H:$H,Base_Porao_Turno!$A:$A,A422,Base_Porao_Turno!$E:$E,B422))</f>
        <v/>
      </c>
      <c r="H422" s="13" t="str">
        <f t="shared" si="20"/>
        <v/>
      </c>
    </row>
    <row r="423" spans="1:8" x14ac:dyDescent="0.3">
      <c r="A423" s="6"/>
      <c r="B423" s="6"/>
      <c r="C423" s="8"/>
      <c r="D423" s="13" t="str">
        <f>IF(A423="","",SUMIFS(Base_Porao_Turno!$K:$K,Base_Porao_Turno!$A:$A,A423,Base_Porao_Turno!$E:$E,B423))</f>
        <v/>
      </c>
      <c r="E423" s="13" t="str">
        <f t="shared" si="18"/>
        <v/>
      </c>
      <c r="F423" s="14" t="str">
        <f t="shared" si="19"/>
        <v/>
      </c>
      <c r="G423" s="13" t="str">
        <f>IF(A423="","",SUMIFS(Base_Porao_Turno!$H:$H,Base_Porao_Turno!$A:$A,A423,Base_Porao_Turno!$E:$E,B423))</f>
        <v/>
      </c>
      <c r="H423" s="13" t="str">
        <f t="shared" si="20"/>
        <v/>
      </c>
    </row>
    <row r="424" spans="1:8" x14ac:dyDescent="0.3">
      <c r="A424" s="6"/>
      <c r="B424" s="6"/>
      <c r="C424" s="8"/>
      <c r="D424" s="13" t="str">
        <f>IF(A424="","",SUMIFS(Base_Porao_Turno!$K:$K,Base_Porao_Turno!$A:$A,A424,Base_Porao_Turno!$E:$E,B424))</f>
        <v/>
      </c>
      <c r="E424" s="13" t="str">
        <f t="shared" si="18"/>
        <v/>
      </c>
      <c r="F424" s="14" t="str">
        <f t="shared" si="19"/>
        <v/>
      </c>
      <c r="G424" s="13" t="str">
        <f>IF(A424="","",SUMIFS(Base_Porao_Turno!$H:$H,Base_Porao_Turno!$A:$A,A424,Base_Porao_Turno!$E:$E,B424))</f>
        <v/>
      </c>
      <c r="H424" s="13" t="str">
        <f t="shared" si="20"/>
        <v/>
      </c>
    </row>
    <row r="425" spans="1:8" x14ac:dyDescent="0.3">
      <c r="A425" s="6"/>
      <c r="B425" s="6"/>
      <c r="C425" s="8"/>
      <c r="D425" s="13" t="str">
        <f>IF(A425="","",SUMIFS(Base_Porao_Turno!$K:$K,Base_Porao_Turno!$A:$A,A425,Base_Porao_Turno!$E:$E,B425))</f>
        <v/>
      </c>
      <c r="E425" s="13" t="str">
        <f t="shared" si="18"/>
        <v/>
      </c>
      <c r="F425" s="14" t="str">
        <f t="shared" si="19"/>
        <v/>
      </c>
      <c r="G425" s="13" t="str">
        <f>IF(A425="","",SUMIFS(Base_Porao_Turno!$H:$H,Base_Porao_Turno!$A:$A,A425,Base_Porao_Turno!$E:$E,B425))</f>
        <v/>
      </c>
      <c r="H425" s="13" t="str">
        <f t="shared" si="20"/>
        <v/>
      </c>
    </row>
    <row r="426" spans="1:8" x14ac:dyDescent="0.3">
      <c r="A426" s="6"/>
      <c r="B426" s="6"/>
      <c r="C426" s="8"/>
      <c r="D426" s="13" t="str">
        <f>IF(A426="","",SUMIFS(Base_Porao_Turno!$K:$K,Base_Porao_Turno!$A:$A,A426,Base_Porao_Turno!$E:$E,B426))</f>
        <v/>
      </c>
      <c r="E426" s="13" t="str">
        <f t="shared" si="18"/>
        <v/>
      </c>
      <c r="F426" s="14" t="str">
        <f t="shared" si="19"/>
        <v/>
      </c>
      <c r="G426" s="13" t="str">
        <f>IF(A426="","",SUMIFS(Base_Porao_Turno!$H:$H,Base_Porao_Turno!$A:$A,A426,Base_Porao_Turno!$E:$E,B426))</f>
        <v/>
      </c>
      <c r="H426" s="13" t="str">
        <f t="shared" si="20"/>
        <v/>
      </c>
    </row>
    <row r="427" spans="1:8" x14ac:dyDescent="0.3">
      <c r="A427" s="6"/>
      <c r="B427" s="6"/>
      <c r="C427" s="8"/>
      <c r="D427" s="13" t="str">
        <f>IF(A427="","",SUMIFS(Base_Porao_Turno!$K:$K,Base_Porao_Turno!$A:$A,A427,Base_Porao_Turno!$E:$E,B427))</f>
        <v/>
      </c>
      <c r="E427" s="13" t="str">
        <f t="shared" si="18"/>
        <v/>
      </c>
      <c r="F427" s="14" t="str">
        <f t="shared" si="19"/>
        <v/>
      </c>
      <c r="G427" s="13" t="str">
        <f>IF(A427="","",SUMIFS(Base_Porao_Turno!$H:$H,Base_Porao_Turno!$A:$A,A427,Base_Porao_Turno!$E:$E,B427))</f>
        <v/>
      </c>
      <c r="H427" s="13" t="str">
        <f t="shared" si="20"/>
        <v/>
      </c>
    </row>
    <row r="428" spans="1:8" x14ac:dyDescent="0.3">
      <c r="A428" s="6"/>
      <c r="B428" s="6"/>
      <c r="C428" s="8"/>
      <c r="D428" s="13" t="str">
        <f>IF(A428="","",SUMIFS(Base_Porao_Turno!$K:$K,Base_Porao_Turno!$A:$A,A428,Base_Porao_Turno!$E:$E,B428))</f>
        <v/>
      </c>
      <c r="E428" s="13" t="str">
        <f t="shared" si="18"/>
        <v/>
      </c>
      <c r="F428" s="14" t="str">
        <f t="shared" si="19"/>
        <v/>
      </c>
      <c r="G428" s="13" t="str">
        <f>IF(A428="","",SUMIFS(Base_Porao_Turno!$H:$H,Base_Porao_Turno!$A:$A,A428,Base_Porao_Turno!$E:$E,B428))</f>
        <v/>
      </c>
      <c r="H428" s="13" t="str">
        <f t="shared" si="20"/>
        <v/>
      </c>
    </row>
    <row r="429" spans="1:8" x14ac:dyDescent="0.3">
      <c r="A429" s="6"/>
      <c r="B429" s="6"/>
      <c r="C429" s="8"/>
      <c r="D429" s="13" t="str">
        <f>IF(A429="","",SUMIFS(Base_Porao_Turno!$K:$K,Base_Porao_Turno!$A:$A,A429,Base_Porao_Turno!$E:$E,B429))</f>
        <v/>
      </c>
      <c r="E429" s="13" t="str">
        <f t="shared" si="18"/>
        <v/>
      </c>
      <c r="F429" s="14" t="str">
        <f t="shared" si="19"/>
        <v/>
      </c>
      <c r="G429" s="13" t="str">
        <f>IF(A429="","",SUMIFS(Base_Porao_Turno!$H:$H,Base_Porao_Turno!$A:$A,A429,Base_Porao_Turno!$E:$E,B429))</f>
        <v/>
      </c>
      <c r="H429" s="13" t="str">
        <f t="shared" si="20"/>
        <v/>
      </c>
    </row>
    <row r="430" spans="1:8" x14ac:dyDescent="0.3">
      <c r="A430" s="6"/>
      <c r="B430" s="6"/>
      <c r="C430" s="8"/>
      <c r="D430" s="13" t="str">
        <f>IF(A430="","",SUMIFS(Base_Porao_Turno!$K:$K,Base_Porao_Turno!$A:$A,A430,Base_Porao_Turno!$E:$E,B430))</f>
        <v/>
      </c>
      <c r="E430" s="13" t="str">
        <f t="shared" si="18"/>
        <v/>
      </c>
      <c r="F430" s="14" t="str">
        <f t="shared" si="19"/>
        <v/>
      </c>
      <c r="G430" s="13" t="str">
        <f>IF(A430="","",SUMIFS(Base_Porao_Turno!$H:$H,Base_Porao_Turno!$A:$A,A430,Base_Porao_Turno!$E:$E,B430))</f>
        <v/>
      </c>
      <c r="H430" s="13" t="str">
        <f t="shared" si="20"/>
        <v/>
      </c>
    </row>
    <row r="431" spans="1:8" x14ac:dyDescent="0.3">
      <c r="A431" s="6"/>
      <c r="B431" s="6"/>
      <c r="C431" s="8"/>
      <c r="D431" s="13" t="str">
        <f>IF(A431="","",SUMIFS(Base_Porao_Turno!$K:$K,Base_Porao_Turno!$A:$A,A431,Base_Porao_Turno!$E:$E,B431))</f>
        <v/>
      </c>
      <c r="E431" s="13" t="str">
        <f t="shared" si="18"/>
        <v/>
      </c>
      <c r="F431" s="14" t="str">
        <f t="shared" si="19"/>
        <v/>
      </c>
      <c r="G431" s="13" t="str">
        <f>IF(A431="","",SUMIFS(Base_Porao_Turno!$H:$H,Base_Porao_Turno!$A:$A,A431,Base_Porao_Turno!$E:$E,B431))</f>
        <v/>
      </c>
      <c r="H431" s="13" t="str">
        <f t="shared" si="20"/>
        <v/>
      </c>
    </row>
    <row r="432" spans="1:8" x14ac:dyDescent="0.3">
      <c r="A432" s="6"/>
      <c r="B432" s="6"/>
      <c r="C432" s="8"/>
      <c r="D432" s="13" t="str">
        <f>IF(A432="","",SUMIFS(Base_Porao_Turno!$K:$K,Base_Porao_Turno!$A:$A,A432,Base_Porao_Turno!$E:$E,B432))</f>
        <v/>
      </c>
      <c r="E432" s="13" t="str">
        <f t="shared" si="18"/>
        <v/>
      </c>
      <c r="F432" s="14" t="str">
        <f t="shared" si="19"/>
        <v/>
      </c>
      <c r="G432" s="13" t="str">
        <f>IF(A432="","",SUMIFS(Base_Porao_Turno!$H:$H,Base_Porao_Turno!$A:$A,A432,Base_Porao_Turno!$E:$E,B432))</f>
        <v/>
      </c>
      <c r="H432" s="13" t="str">
        <f t="shared" si="20"/>
        <v/>
      </c>
    </row>
    <row r="433" spans="1:8" x14ac:dyDescent="0.3">
      <c r="A433" s="6"/>
      <c r="B433" s="6"/>
      <c r="C433" s="8"/>
      <c r="D433" s="13" t="str">
        <f>IF(A433="","",SUMIFS(Base_Porao_Turno!$K:$K,Base_Porao_Turno!$A:$A,A433,Base_Porao_Turno!$E:$E,B433))</f>
        <v/>
      </c>
      <c r="E433" s="13" t="str">
        <f t="shared" si="18"/>
        <v/>
      </c>
      <c r="F433" s="14" t="str">
        <f t="shared" si="19"/>
        <v/>
      </c>
      <c r="G433" s="13" t="str">
        <f>IF(A433="","",SUMIFS(Base_Porao_Turno!$H:$H,Base_Porao_Turno!$A:$A,A433,Base_Porao_Turno!$E:$E,B433))</f>
        <v/>
      </c>
      <c r="H433" s="13" t="str">
        <f t="shared" si="20"/>
        <v/>
      </c>
    </row>
    <row r="434" spans="1:8" x14ac:dyDescent="0.3">
      <c r="A434" s="6"/>
      <c r="B434" s="6"/>
      <c r="C434" s="8"/>
      <c r="D434" s="13" t="str">
        <f>IF(A434="","",SUMIFS(Base_Porao_Turno!$K:$K,Base_Porao_Turno!$A:$A,A434,Base_Porao_Turno!$E:$E,B434))</f>
        <v/>
      </c>
      <c r="E434" s="13" t="str">
        <f t="shared" si="18"/>
        <v/>
      </c>
      <c r="F434" s="14" t="str">
        <f t="shared" si="19"/>
        <v/>
      </c>
      <c r="G434" s="13" t="str">
        <f>IF(A434="","",SUMIFS(Base_Porao_Turno!$H:$H,Base_Porao_Turno!$A:$A,A434,Base_Porao_Turno!$E:$E,B434))</f>
        <v/>
      </c>
      <c r="H434" s="13" t="str">
        <f t="shared" si="20"/>
        <v/>
      </c>
    </row>
    <row r="435" spans="1:8" x14ac:dyDescent="0.3">
      <c r="A435" s="6"/>
      <c r="B435" s="6"/>
      <c r="C435" s="8"/>
      <c r="D435" s="13" t="str">
        <f>IF(A435="","",SUMIFS(Base_Porao_Turno!$K:$K,Base_Porao_Turno!$A:$A,A435,Base_Porao_Turno!$E:$E,B435))</f>
        <v/>
      </c>
      <c r="E435" s="13" t="str">
        <f t="shared" si="18"/>
        <v/>
      </c>
      <c r="F435" s="14" t="str">
        <f t="shared" si="19"/>
        <v/>
      </c>
      <c r="G435" s="13" t="str">
        <f>IF(A435="","",SUMIFS(Base_Porao_Turno!$H:$H,Base_Porao_Turno!$A:$A,A435,Base_Porao_Turno!$E:$E,B435))</f>
        <v/>
      </c>
      <c r="H435" s="13" t="str">
        <f t="shared" si="20"/>
        <v/>
      </c>
    </row>
    <row r="436" spans="1:8" x14ac:dyDescent="0.3">
      <c r="A436" s="6"/>
      <c r="B436" s="6"/>
      <c r="C436" s="8"/>
      <c r="D436" s="13" t="str">
        <f>IF(A436="","",SUMIFS(Base_Porao_Turno!$K:$K,Base_Porao_Turno!$A:$A,A436,Base_Porao_Turno!$E:$E,B436))</f>
        <v/>
      </c>
      <c r="E436" s="13" t="str">
        <f t="shared" si="18"/>
        <v/>
      </c>
      <c r="F436" s="14" t="str">
        <f t="shared" si="19"/>
        <v/>
      </c>
      <c r="G436" s="13" t="str">
        <f>IF(A436="","",SUMIFS(Base_Porao_Turno!$H:$H,Base_Porao_Turno!$A:$A,A436,Base_Porao_Turno!$E:$E,B436))</f>
        <v/>
      </c>
      <c r="H436" s="13" t="str">
        <f t="shared" si="20"/>
        <v/>
      </c>
    </row>
    <row r="437" spans="1:8" x14ac:dyDescent="0.3">
      <c r="A437" s="6"/>
      <c r="B437" s="6"/>
      <c r="C437" s="8"/>
      <c r="D437" s="13" t="str">
        <f>IF(A437="","",SUMIFS(Base_Porao_Turno!$K:$K,Base_Porao_Turno!$A:$A,A437,Base_Porao_Turno!$E:$E,B437))</f>
        <v/>
      </c>
      <c r="E437" s="13" t="str">
        <f t="shared" si="18"/>
        <v/>
      </c>
      <c r="F437" s="14" t="str">
        <f t="shared" si="19"/>
        <v/>
      </c>
      <c r="G437" s="13" t="str">
        <f>IF(A437="","",SUMIFS(Base_Porao_Turno!$H:$H,Base_Porao_Turno!$A:$A,A437,Base_Porao_Turno!$E:$E,B437))</f>
        <v/>
      </c>
      <c r="H437" s="13" t="str">
        <f t="shared" si="20"/>
        <v/>
      </c>
    </row>
    <row r="438" spans="1:8" x14ac:dyDescent="0.3">
      <c r="A438" s="6"/>
      <c r="B438" s="6"/>
      <c r="C438" s="8"/>
      <c r="D438" s="13" t="str">
        <f>IF(A438="","",SUMIFS(Base_Porao_Turno!$K:$K,Base_Porao_Turno!$A:$A,A438,Base_Porao_Turno!$E:$E,B438))</f>
        <v/>
      </c>
      <c r="E438" s="13" t="str">
        <f t="shared" si="18"/>
        <v/>
      </c>
      <c r="F438" s="14" t="str">
        <f t="shared" si="19"/>
        <v/>
      </c>
      <c r="G438" s="13" t="str">
        <f>IF(A438="","",SUMIFS(Base_Porao_Turno!$H:$H,Base_Porao_Turno!$A:$A,A438,Base_Porao_Turno!$E:$E,B438))</f>
        <v/>
      </c>
      <c r="H438" s="13" t="str">
        <f t="shared" si="20"/>
        <v/>
      </c>
    </row>
    <row r="439" spans="1:8" x14ac:dyDescent="0.3">
      <c r="A439" s="6"/>
      <c r="B439" s="6"/>
      <c r="C439" s="8"/>
      <c r="D439" s="13" t="str">
        <f>IF(A439="","",SUMIFS(Base_Porao_Turno!$K:$K,Base_Porao_Turno!$A:$A,A439,Base_Porao_Turno!$E:$E,B439))</f>
        <v/>
      </c>
      <c r="E439" s="13" t="str">
        <f t="shared" si="18"/>
        <v/>
      </c>
      <c r="F439" s="14" t="str">
        <f t="shared" si="19"/>
        <v/>
      </c>
      <c r="G439" s="13" t="str">
        <f>IF(A439="","",SUMIFS(Base_Porao_Turno!$H:$H,Base_Porao_Turno!$A:$A,A439,Base_Porao_Turno!$E:$E,B439))</f>
        <v/>
      </c>
      <c r="H439" s="13" t="str">
        <f t="shared" si="20"/>
        <v/>
      </c>
    </row>
    <row r="440" spans="1:8" x14ac:dyDescent="0.3">
      <c r="A440" s="6"/>
      <c r="B440" s="6"/>
      <c r="C440" s="8"/>
      <c r="D440" s="13" t="str">
        <f>IF(A440="","",SUMIFS(Base_Porao_Turno!$K:$K,Base_Porao_Turno!$A:$A,A440,Base_Porao_Turno!$E:$E,B440))</f>
        <v/>
      </c>
      <c r="E440" s="13" t="str">
        <f t="shared" si="18"/>
        <v/>
      </c>
      <c r="F440" s="14" t="str">
        <f t="shared" si="19"/>
        <v/>
      </c>
      <c r="G440" s="13" t="str">
        <f>IF(A440="","",SUMIFS(Base_Porao_Turno!$H:$H,Base_Porao_Turno!$A:$A,A440,Base_Porao_Turno!$E:$E,B440))</f>
        <v/>
      </c>
      <c r="H440" s="13" t="str">
        <f t="shared" si="20"/>
        <v/>
      </c>
    </row>
    <row r="441" spans="1:8" x14ac:dyDescent="0.3">
      <c r="A441" s="6"/>
      <c r="B441" s="6"/>
      <c r="C441" s="8"/>
      <c r="D441" s="13" t="str">
        <f>IF(A441="","",SUMIFS(Base_Porao_Turno!$K:$K,Base_Porao_Turno!$A:$A,A441,Base_Porao_Turno!$E:$E,B441))</f>
        <v/>
      </c>
      <c r="E441" s="13" t="str">
        <f t="shared" si="18"/>
        <v/>
      </c>
      <c r="F441" s="14" t="str">
        <f t="shared" si="19"/>
        <v/>
      </c>
      <c r="G441" s="13" t="str">
        <f>IF(A441="","",SUMIFS(Base_Porao_Turno!$H:$H,Base_Porao_Turno!$A:$A,A441,Base_Porao_Turno!$E:$E,B441))</f>
        <v/>
      </c>
      <c r="H441" s="13" t="str">
        <f t="shared" si="20"/>
        <v/>
      </c>
    </row>
    <row r="442" spans="1:8" x14ac:dyDescent="0.3">
      <c r="A442" s="6"/>
      <c r="B442" s="6"/>
      <c r="C442" s="8"/>
      <c r="D442" s="13" t="str">
        <f>IF(A442="","",SUMIFS(Base_Porao_Turno!$K:$K,Base_Porao_Turno!$A:$A,A442,Base_Porao_Turno!$E:$E,B442))</f>
        <v/>
      </c>
      <c r="E442" s="13" t="str">
        <f t="shared" si="18"/>
        <v/>
      </c>
      <c r="F442" s="14" t="str">
        <f t="shared" si="19"/>
        <v/>
      </c>
      <c r="G442" s="13" t="str">
        <f>IF(A442="","",SUMIFS(Base_Porao_Turno!$H:$H,Base_Porao_Turno!$A:$A,A442,Base_Porao_Turno!$E:$E,B442))</f>
        <v/>
      </c>
      <c r="H442" s="13" t="str">
        <f t="shared" si="20"/>
        <v/>
      </c>
    </row>
    <row r="443" spans="1:8" x14ac:dyDescent="0.3">
      <c r="A443" s="6"/>
      <c r="B443" s="6"/>
      <c r="C443" s="8"/>
      <c r="D443" s="13" t="str">
        <f>IF(A443="","",SUMIFS(Base_Porao_Turno!$K:$K,Base_Porao_Turno!$A:$A,A443,Base_Porao_Turno!$E:$E,B443))</f>
        <v/>
      </c>
      <c r="E443" s="13" t="str">
        <f t="shared" si="18"/>
        <v/>
      </c>
      <c r="F443" s="14" t="str">
        <f t="shared" si="19"/>
        <v/>
      </c>
      <c r="G443" s="13" t="str">
        <f>IF(A443="","",SUMIFS(Base_Porao_Turno!$H:$H,Base_Porao_Turno!$A:$A,A443,Base_Porao_Turno!$E:$E,B443))</f>
        <v/>
      </c>
      <c r="H443" s="13" t="str">
        <f t="shared" si="20"/>
        <v/>
      </c>
    </row>
    <row r="444" spans="1:8" x14ac:dyDescent="0.3">
      <c r="A444" s="6"/>
      <c r="B444" s="6"/>
      <c r="C444" s="8"/>
      <c r="D444" s="13" t="str">
        <f>IF(A444="","",SUMIFS(Base_Porao_Turno!$K:$K,Base_Porao_Turno!$A:$A,A444,Base_Porao_Turno!$E:$E,B444))</f>
        <v/>
      </c>
      <c r="E444" s="13" t="str">
        <f t="shared" si="18"/>
        <v/>
      </c>
      <c r="F444" s="14" t="str">
        <f t="shared" si="19"/>
        <v/>
      </c>
      <c r="G444" s="13" t="str">
        <f>IF(A444="","",SUMIFS(Base_Porao_Turno!$H:$H,Base_Porao_Turno!$A:$A,A444,Base_Porao_Turno!$E:$E,B444))</f>
        <v/>
      </c>
      <c r="H444" s="13" t="str">
        <f t="shared" si="20"/>
        <v/>
      </c>
    </row>
    <row r="445" spans="1:8" x14ac:dyDescent="0.3">
      <c r="A445" s="6"/>
      <c r="B445" s="6"/>
      <c r="C445" s="8"/>
      <c r="D445" s="13" t="str">
        <f>IF(A445="","",SUMIFS(Base_Porao_Turno!$K:$K,Base_Porao_Turno!$A:$A,A445,Base_Porao_Turno!$E:$E,B445))</f>
        <v/>
      </c>
      <c r="E445" s="13" t="str">
        <f t="shared" si="18"/>
        <v/>
      </c>
      <c r="F445" s="14" t="str">
        <f t="shared" si="19"/>
        <v/>
      </c>
      <c r="G445" s="13" t="str">
        <f>IF(A445="","",SUMIFS(Base_Porao_Turno!$H:$H,Base_Porao_Turno!$A:$A,A445,Base_Porao_Turno!$E:$E,B445))</f>
        <v/>
      </c>
      <c r="H445" s="13" t="str">
        <f t="shared" si="20"/>
        <v/>
      </c>
    </row>
    <row r="446" spans="1:8" x14ac:dyDescent="0.3">
      <c r="A446" s="6"/>
      <c r="B446" s="6"/>
      <c r="C446" s="8"/>
      <c r="D446" s="13" t="str">
        <f>IF(A446="","",SUMIFS(Base_Porao_Turno!$K:$K,Base_Porao_Turno!$A:$A,A446,Base_Porao_Turno!$E:$E,B446))</f>
        <v/>
      </c>
      <c r="E446" s="13" t="str">
        <f t="shared" si="18"/>
        <v/>
      </c>
      <c r="F446" s="14" t="str">
        <f t="shared" si="19"/>
        <v/>
      </c>
      <c r="G446" s="13" t="str">
        <f>IF(A446="","",SUMIFS(Base_Porao_Turno!$H:$H,Base_Porao_Turno!$A:$A,A446,Base_Porao_Turno!$E:$E,B446))</f>
        <v/>
      </c>
      <c r="H446" s="13" t="str">
        <f t="shared" si="20"/>
        <v/>
      </c>
    </row>
    <row r="447" spans="1:8" x14ac:dyDescent="0.3">
      <c r="A447" s="6"/>
      <c r="B447" s="6"/>
      <c r="C447" s="8"/>
      <c r="D447" s="13" t="str">
        <f>IF(A447="","",SUMIFS(Base_Porao_Turno!$K:$K,Base_Porao_Turno!$A:$A,A447,Base_Porao_Turno!$E:$E,B447))</f>
        <v/>
      </c>
      <c r="E447" s="13" t="str">
        <f t="shared" si="18"/>
        <v/>
      </c>
      <c r="F447" s="14" t="str">
        <f t="shared" si="19"/>
        <v/>
      </c>
      <c r="G447" s="13" t="str">
        <f>IF(A447="","",SUMIFS(Base_Porao_Turno!$H:$H,Base_Porao_Turno!$A:$A,A447,Base_Porao_Turno!$E:$E,B447))</f>
        <v/>
      </c>
      <c r="H447" s="13" t="str">
        <f t="shared" si="20"/>
        <v/>
      </c>
    </row>
    <row r="448" spans="1:8" x14ac:dyDescent="0.3">
      <c r="A448" s="6"/>
      <c r="B448" s="6"/>
      <c r="C448" s="8"/>
      <c r="D448" s="13" t="str">
        <f>IF(A448="","",SUMIFS(Base_Porao_Turno!$K:$K,Base_Porao_Turno!$A:$A,A448,Base_Porao_Turno!$E:$E,B448))</f>
        <v/>
      </c>
      <c r="E448" s="13" t="str">
        <f t="shared" si="18"/>
        <v/>
      </c>
      <c r="F448" s="14" t="str">
        <f t="shared" si="19"/>
        <v/>
      </c>
      <c r="G448" s="13" t="str">
        <f>IF(A448="","",SUMIFS(Base_Porao_Turno!$H:$H,Base_Porao_Turno!$A:$A,A448,Base_Porao_Turno!$E:$E,B448))</f>
        <v/>
      </c>
      <c r="H448" s="13" t="str">
        <f t="shared" si="20"/>
        <v/>
      </c>
    </row>
    <row r="449" spans="1:8" x14ac:dyDescent="0.3">
      <c r="A449" s="6"/>
      <c r="B449" s="6"/>
      <c r="C449" s="8"/>
      <c r="D449" s="13" t="str">
        <f>IF(A449="","",SUMIFS(Base_Porao_Turno!$K:$K,Base_Porao_Turno!$A:$A,A449,Base_Porao_Turno!$E:$E,B449))</f>
        <v/>
      </c>
      <c r="E449" s="13" t="str">
        <f t="shared" si="18"/>
        <v/>
      </c>
      <c r="F449" s="14" t="str">
        <f t="shared" si="19"/>
        <v/>
      </c>
      <c r="G449" s="13" t="str">
        <f>IF(A449="","",SUMIFS(Base_Porao_Turno!$H:$H,Base_Porao_Turno!$A:$A,A449,Base_Porao_Turno!$E:$E,B449))</f>
        <v/>
      </c>
      <c r="H449" s="13" t="str">
        <f t="shared" si="20"/>
        <v/>
      </c>
    </row>
    <row r="450" spans="1:8" x14ac:dyDescent="0.3">
      <c r="A450" s="6"/>
      <c r="B450" s="6"/>
      <c r="C450" s="8"/>
      <c r="D450" s="13" t="str">
        <f>IF(A450="","",SUMIFS(Base_Porao_Turno!$K:$K,Base_Porao_Turno!$A:$A,A450,Base_Porao_Turno!$E:$E,B450))</f>
        <v/>
      </c>
      <c r="E450" s="13" t="str">
        <f t="shared" ref="E450:E513" si="21">IF(OR(C450="",D450=""),"",C450-D450)</f>
        <v/>
      </c>
      <c r="F450" s="14" t="str">
        <f t="shared" ref="F450:F513" si="22">IFERROR(D450/C450,"")</f>
        <v/>
      </c>
      <c r="G450" s="13" t="str">
        <f>IF(A450="","",SUMIFS(Base_Porao_Turno!$H:$H,Base_Porao_Turno!$A:$A,A450,Base_Porao_Turno!$E:$E,B450))</f>
        <v/>
      </c>
      <c r="H450" s="13" t="str">
        <f t="shared" ref="H450:H513" si="23">IFERROR(D450/G450,"")</f>
        <v/>
      </c>
    </row>
    <row r="451" spans="1:8" x14ac:dyDescent="0.3">
      <c r="A451" s="6"/>
      <c r="B451" s="6"/>
      <c r="C451" s="8"/>
      <c r="D451" s="13" t="str">
        <f>IF(A451="","",SUMIFS(Base_Porao_Turno!$K:$K,Base_Porao_Turno!$A:$A,A451,Base_Porao_Turno!$E:$E,B451))</f>
        <v/>
      </c>
      <c r="E451" s="13" t="str">
        <f t="shared" si="21"/>
        <v/>
      </c>
      <c r="F451" s="14" t="str">
        <f t="shared" si="22"/>
        <v/>
      </c>
      <c r="G451" s="13" t="str">
        <f>IF(A451="","",SUMIFS(Base_Porao_Turno!$H:$H,Base_Porao_Turno!$A:$A,A451,Base_Porao_Turno!$E:$E,B451))</f>
        <v/>
      </c>
      <c r="H451" s="13" t="str">
        <f t="shared" si="23"/>
        <v/>
      </c>
    </row>
    <row r="452" spans="1:8" x14ac:dyDescent="0.3">
      <c r="A452" s="6"/>
      <c r="B452" s="6"/>
      <c r="C452" s="8"/>
      <c r="D452" s="13" t="str">
        <f>IF(A452="","",SUMIFS(Base_Porao_Turno!$K:$K,Base_Porao_Turno!$A:$A,A452,Base_Porao_Turno!$E:$E,B452))</f>
        <v/>
      </c>
      <c r="E452" s="13" t="str">
        <f t="shared" si="21"/>
        <v/>
      </c>
      <c r="F452" s="14" t="str">
        <f t="shared" si="22"/>
        <v/>
      </c>
      <c r="G452" s="13" t="str">
        <f>IF(A452="","",SUMIFS(Base_Porao_Turno!$H:$H,Base_Porao_Turno!$A:$A,A452,Base_Porao_Turno!$E:$E,B452))</f>
        <v/>
      </c>
      <c r="H452" s="13" t="str">
        <f t="shared" si="23"/>
        <v/>
      </c>
    </row>
    <row r="453" spans="1:8" x14ac:dyDescent="0.3">
      <c r="A453" s="6"/>
      <c r="B453" s="6"/>
      <c r="C453" s="8"/>
      <c r="D453" s="13" t="str">
        <f>IF(A453="","",SUMIFS(Base_Porao_Turno!$K:$K,Base_Porao_Turno!$A:$A,A453,Base_Porao_Turno!$E:$E,B453))</f>
        <v/>
      </c>
      <c r="E453" s="13" t="str">
        <f t="shared" si="21"/>
        <v/>
      </c>
      <c r="F453" s="14" t="str">
        <f t="shared" si="22"/>
        <v/>
      </c>
      <c r="G453" s="13" t="str">
        <f>IF(A453="","",SUMIFS(Base_Porao_Turno!$H:$H,Base_Porao_Turno!$A:$A,A453,Base_Porao_Turno!$E:$E,B453))</f>
        <v/>
      </c>
      <c r="H453" s="13" t="str">
        <f t="shared" si="23"/>
        <v/>
      </c>
    </row>
    <row r="454" spans="1:8" x14ac:dyDescent="0.3">
      <c r="A454" s="6"/>
      <c r="B454" s="6"/>
      <c r="C454" s="8"/>
      <c r="D454" s="13" t="str">
        <f>IF(A454="","",SUMIFS(Base_Porao_Turno!$K:$K,Base_Porao_Turno!$A:$A,A454,Base_Porao_Turno!$E:$E,B454))</f>
        <v/>
      </c>
      <c r="E454" s="13" t="str">
        <f t="shared" si="21"/>
        <v/>
      </c>
      <c r="F454" s="14" t="str">
        <f t="shared" si="22"/>
        <v/>
      </c>
      <c r="G454" s="13" t="str">
        <f>IF(A454="","",SUMIFS(Base_Porao_Turno!$H:$H,Base_Porao_Turno!$A:$A,A454,Base_Porao_Turno!$E:$E,B454))</f>
        <v/>
      </c>
      <c r="H454" s="13" t="str">
        <f t="shared" si="23"/>
        <v/>
      </c>
    </row>
    <row r="455" spans="1:8" x14ac:dyDescent="0.3">
      <c r="A455" s="6"/>
      <c r="B455" s="6"/>
      <c r="C455" s="8"/>
      <c r="D455" s="13" t="str">
        <f>IF(A455="","",SUMIFS(Base_Porao_Turno!$K:$K,Base_Porao_Turno!$A:$A,A455,Base_Porao_Turno!$E:$E,B455))</f>
        <v/>
      </c>
      <c r="E455" s="13" t="str">
        <f t="shared" si="21"/>
        <v/>
      </c>
      <c r="F455" s="14" t="str">
        <f t="shared" si="22"/>
        <v/>
      </c>
      <c r="G455" s="13" t="str">
        <f>IF(A455="","",SUMIFS(Base_Porao_Turno!$H:$H,Base_Porao_Turno!$A:$A,A455,Base_Porao_Turno!$E:$E,B455))</f>
        <v/>
      </c>
      <c r="H455" s="13" t="str">
        <f t="shared" si="23"/>
        <v/>
      </c>
    </row>
    <row r="456" spans="1:8" x14ac:dyDescent="0.3">
      <c r="A456" s="6"/>
      <c r="B456" s="6"/>
      <c r="C456" s="8"/>
      <c r="D456" s="13" t="str">
        <f>IF(A456="","",SUMIFS(Base_Porao_Turno!$K:$K,Base_Porao_Turno!$A:$A,A456,Base_Porao_Turno!$E:$E,B456))</f>
        <v/>
      </c>
      <c r="E456" s="13" t="str">
        <f t="shared" si="21"/>
        <v/>
      </c>
      <c r="F456" s="14" t="str">
        <f t="shared" si="22"/>
        <v/>
      </c>
      <c r="G456" s="13" t="str">
        <f>IF(A456="","",SUMIFS(Base_Porao_Turno!$H:$H,Base_Porao_Turno!$A:$A,A456,Base_Porao_Turno!$E:$E,B456))</f>
        <v/>
      </c>
      <c r="H456" s="13" t="str">
        <f t="shared" si="23"/>
        <v/>
      </c>
    </row>
    <row r="457" spans="1:8" x14ac:dyDescent="0.3">
      <c r="A457" s="6"/>
      <c r="B457" s="6"/>
      <c r="C457" s="8"/>
      <c r="D457" s="13" t="str">
        <f>IF(A457="","",SUMIFS(Base_Porao_Turno!$K:$K,Base_Porao_Turno!$A:$A,A457,Base_Porao_Turno!$E:$E,B457))</f>
        <v/>
      </c>
      <c r="E457" s="13" t="str">
        <f t="shared" si="21"/>
        <v/>
      </c>
      <c r="F457" s="14" t="str">
        <f t="shared" si="22"/>
        <v/>
      </c>
      <c r="G457" s="13" t="str">
        <f>IF(A457="","",SUMIFS(Base_Porao_Turno!$H:$H,Base_Porao_Turno!$A:$A,A457,Base_Porao_Turno!$E:$E,B457))</f>
        <v/>
      </c>
      <c r="H457" s="13" t="str">
        <f t="shared" si="23"/>
        <v/>
      </c>
    </row>
    <row r="458" spans="1:8" x14ac:dyDescent="0.3">
      <c r="A458" s="6"/>
      <c r="B458" s="6"/>
      <c r="C458" s="8"/>
      <c r="D458" s="13" t="str">
        <f>IF(A458="","",SUMIFS(Base_Porao_Turno!$K:$K,Base_Porao_Turno!$A:$A,A458,Base_Porao_Turno!$E:$E,B458))</f>
        <v/>
      </c>
      <c r="E458" s="13" t="str">
        <f t="shared" si="21"/>
        <v/>
      </c>
      <c r="F458" s="14" t="str">
        <f t="shared" si="22"/>
        <v/>
      </c>
      <c r="G458" s="13" t="str">
        <f>IF(A458="","",SUMIFS(Base_Porao_Turno!$H:$H,Base_Porao_Turno!$A:$A,A458,Base_Porao_Turno!$E:$E,B458))</f>
        <v/>
      </c>
      <c r="H458" s="13" t="str">
        <f t="shared" si="23"/>
        <v/>
      </c>
    </row>
    <row r="459" spans="1:8" x14ac:dyDescent="0.3">
      <c r="A459" s="6"/>
      <c r="B459" s="6"/>
      <c r="C459" s="8"/>
      <c r="D459" s="13" t="str">
        <f>IF(A459="","",SUMIFS(Base_Porao_Turno!$K:$K,Base_Porao_Turno!$A:$A,A459,Base_Porao_Turno!$E:$E,B459))</f>
        <v/>
      </c>
      <c r="E459" s="13" t="str">
        <f t="shared" si="21"/>
        <v/>
      </c>
      <c r="F459" s="14" t="str">
        <f t="shared" si="22"/>
        <v/>
      </c>
      <c r="G459" s="13" t="str">
        <f>IF(A459="","",SUMIFS(Base_Porao_Turno!$H:$H,Base_Porao_Turno!$A:$A,A459,Base_Porao_Turno!$E:$E,B459))</f>
        <v/>
      </c>
      <c r="H459" s="13" t="str">
        <f t="shared" si="23"/>
        <v/>
      </c>
    </row>
    <row r="460" spans="1:8" x14ac:dyDescent="0.3">
      <c r="A460" s="6"/>
      <c r="B460" s="6"/>
      <c r="C460" s="8"/>
      <c r="D460" s="13" t="str">
        <f>IF(A460="","",SUMIFS(Base_Porao_Turno!$K:$K,Base_Porao_Turno!$A:$A,A460,Base_Porao_Turno!$E:$E,B460))</f>
        <v/>
      </c>
      <c r="E460" s="13" t="str">
        <f t="shared" si="21"/>
        <v/>
      </c>
      <c r="F460" s="14" t="str">
        <f t="shared" si="22"/>
        <v/>
      </c>
      <c r="G460" s="13" t="str">
        <f>IF(A460="","",SUMIFS(Base_Porao_Turno!$H:$H,Base_Porao_Turno!$A:$A,A460,Base_Porao_Turno!$E:$E,B460))</f>
        <v/>
      </c>
      <c r="H460" s="13" t="str">
        <f t="shared" si="23"/>
        <v/>
      </c>
    </row>
    <row r="461" spans="1:8" x14ac:dyDescent="0.3">
      <c r="A461" s="6"/>
      <c r="B461" s="6"/>
      <c r="C461" s="8"/>
      <c r="D461" s="13" t="str">
        <f>IF(A461="","",SUMIFS(Base_Porao_Turno!$K:$K,Base_Porao_Turno!$A:$A,A461,Base_Porao_Turno!$E:$E,B461))</f>
        <v/>
      </c>
      <c r="E461" s="13" t="str">
        <f t="shared" si="21"/>
        <v/>
      </c>
      <c r="F461" s="14" t="str">
        <f t="shared" si="22"/>
        <v/>
      </c>
      <c r="G461" s="13" t="str">
        <f>IF(A461="","",SUMIFS(Base_Porao_Turno!$H:$H,Base_Porao_Turno!$A:$A,A461,Base_Porao_Turno!$E:$E,B461))</f>
        <v/>
      </c>
      <c r="H461" s="13" t="str">
        <f t="shared" si="23"/>
        <v/>
      </c>
    </row>
    <row r="462" spans="1:8" x14ac:dyDescent="0.3">
      <c r="A462" s="6"/>
      <c r="B462" s="6"/>
      <c r="C462" s="8"/>
      <c r="D462" s="13" t="str">
        <f>IF(A462="","",SUMIFS(Base_Porao_Turno!$K:$K,Base_Porao_Turno!$A:$A,A462,Base_Porao_Turno!$E:$E,B462))</f>
        <v/>
      </c>
      <c r="E462" s="13" t="str">
        <f t="shared" si="21"/>
        <v/>
      </c>
      <c r="F462" s="14" t="str">
        <f t="shared" si="22"/>
        <v/>
      </c>
      <c r="G462" s="13" t="str">
        <f>IF(A462="","",SUMIFS(Base_Porao_Turno!$H:$H,Base_Porao_Turno!$A:$A,A462,Base_Porao_Turno!$E:$E,B462))</f>
        <v/>
      </c>
      <c r="H462" s="13" t="str">
        <f t="shared" si="23"/>
        <v/>
      </c>
    </row>
    <row r="463" spans="1:8" x14ac:dyDescent="0.3">
      <c r="A463" s="6"/>
      <c r="B463" s="6"/>
      <c r="C463" s="8"/>
      <c r="D463" s="13" t="str">
        <f>IF(A463="","",SUMIFS(Base_Porao_Turno!$K:$K,Base_Porao_Turno!$A:$A,A463,Base_Porao_Turno!$E:$E,B463))</f>
        <v/>
      </c>
      <c r="E463" s="13" t="str">
        <f t="shared" si="21"/>
        <v/>
      </c>
      <c r="F463" s="14" t="str">
        <f t="shared" si="22"/>
        <v/>
      </c>
      <c r="G463" s="13" t="str">
        <f>IF(A463="","",SUMIFS(Base_Porao_Turno!$H:$H,Base_Porao_Turno!$A:$A,A463,Base_Porao_Turno!$E:$E,B463))</f>
        <v/>
      </c>
      <c r="H463" s="13" t="str">
        <f t="shared" si="23"/>
        <v/>
      </c>
    </row>
    <row r="464" spans="1:8" x14ac:dyDescent="0.3">
      <c r="A464" s="6"/>
      <c r="B464" s="6"/>
      <c r="C464" s="8"/>
      <c r="D464" s="13" t="str">
        <f>IF(A464="","",SUMIFS(Base_Porao_Turno!$K:$K,Base_Porao_Turno!$A:$A,A464,Base_Porao_Turno!$E:$E,B464))</f>
        <v/>
      </c>
      <c r="E464" s="13" t="str">
        <f t="shared" si="21"/>
        <v/>
      </c>
      <c r="F464" s="14" t="str">
        <f t="shared" si="22"/>
        <v/>
      </c>
      <c r="G464" s="13" t="str">
        <f>IF(A464="","",SUMIFS(Base_Porao_Turno!$H:$H,Base_Porao_Turno!$A:$A,A464,Base_Porao_Turno!$E:$E,B464))</f>
        <v/>
      </c>
      <c r="H464" s="13" t="str">
        <f t="shared" si="23"/>
        <v/>
      </c>
    </row>
    <row r="465" spans="1:8" x14ac:dyDescent="0.3">
      <c r="A465" s="6"/>
      <c r="B465" s="6"/>
      <c r="C465" s="8"/>
      <c r="D465" s="13" t="str">
        <f>IF(A465="","",SUMIFS(Base_Porao_Turno!$K:$K,Base_Porao_Turno!$A:$A,A465,Base_Porao_Turno!$E:$E,B465))</f>
        <v/>
      </c>
      <c r="E465" s="13" t="str">
        <f t="shared" si="21"/>
        <v/>
      </c>
      <c r="F465" s="14" t="str">
        <f t="shared" si="22"/>
        <v/>
      </c>
      <c r="G465" s="13" t="str">
        <f>IF(A465="","",SUMIFS(Base_Porao_Turno!$H:$H,Base_Porao_Turno!$A:$A,A465,Base_Porao_Turno!$E:$E,B465))</f>
        <v/>
      </c>
      <c r="H465" s="13" t="str">
        <f t="shared" si="23"/>
        <v/>
      </c>
    </row>
    <row r="466" spans="1:8" x14ac:dyDescent="0.3">
      <c r="A466" s="6"/>
      <c r="B466" s="6"/>
      <c r="C466" s="8"/>
      <c r="D466" s="13" t="str">
        <f>IF(A466="","",SUMIFS(Base_Porao_Turno!$K:$K,Base_Porao_Turno!$A:$A,A466,Base_Porao_Turno!$E:$E,B466))</f>
        <v/>
      </c>
      <c r="E466" s="13" t="str">
        <f t="shared" si="21"/>
        <v/>
      </c>
      <c r="F466" s="14" t="str">
        <f t="shared" si="22"/>
        <v/>
      </c>
      <c r="G466" s="13" t="str">
        <f>IF(A466="","",SUMIFS(Base_Porao_Turno!$H:$H,Base_Porao_Turno!$A:$A,A466,Base_Porao_Turno!$E:$E,B466))</f>
        <v/>
      </c>
      <c r="H466" s="13" t="str">
        <f t="shared" si="23"/>
        <v/>
      </c>
    </row>
    <row r="467" spans="1:8" x14ac:dyDescent="0.3">
      <c r="A467" s="6"/>
      <c r="B467" s="6"/>
      <c r="C467" s="8"/>
      <c r="D467" s="13" t="str">
        <f>IF(A467="","",SUMIFS(Base_Porao_Turno!$K:$K,Base_Porao_Turno!$A:$A,A467,Base_Porao_Turno!$E:$E,B467))</f>
        <v/>
      </c>
      <c r="E467" s="13" t="str">
        <f t="shared" si="21"/>
        <v/>
      </c>
      <c r="F467" s="14" t="str">
        <f t="shared" si="22"/>
        <v/>
      </c>
      <c r="G467" s="13" t="str">
        <f>IF(A467="","",SUMIFS(Base_Porao_Turno!$H:$H,Base_Porao_Turno!$A:$A,A467,Base_Porao_Turno!$E:$E,B467))</f>
        <v/>
      </c>
      <c r="H467" s="13" t="str">
        <f t="shared" si="23"/>
        <v/>
      </c>
    </row>
    <row r="468" spans="1:8" x14ac:dyDescent="0.3">
      <c r="A468" s="6"/>
      <c r="B468" s="6"/>
      <c r="C468" s="8"/>
      <c r="D468" s="13" t="str">
        <f>IF(A468="","",SUMIFS(Base_Porao_Turno!$K:$K,Base_Porao_Turno!$A:$A,A468,Base_Porao_Turno!$E:$E,B468))</f>
        <v/>
      </c>
      <c r="E468" s="13" t="str">
        <f t="shared" si="21"/>
        <v/>
      </c>
      <c r="F468" s="14" t="str">
        <f t="shared" si="22"/>
        <v/>
      </c>
      <c r="G468" s="13" t="str">
        <f>IF(A468="","",SUMIFS(Base_Porao_Turno!$H:$H,Base_Porao_Turno!$A:$A,A468,Base_Porao_Turno!$E:$E,B468))</f>
        <v/>
      </c>
      <c r="H468" s="13" t="str">
        <f t="shared" si="23"/>
        <v/>
      </c>
    </row>
    <row r="469" spans="1:8" x14ac:dyDescent="0.3">
      <c r="A469" s="6"/>
      <c r="B469" s="6"/>
      <c r="C469" s="8"/>
      <c r="D469" s="13" t="str">
        <f>IF(A469="","",SUMIFS(Base_Porao_Turno!$K:$K,Base_Porao_Turno!$A:$A,A469,Base_Porao_Turno!$E:$E,B469))</f>
        <v/>
      </c>
      <c r="E469" s="13" t="str">
        <f t="shared" si="21"/>
        <v/>
      </c>
      <c r="F469" s="14" t="str">
        <f t="shared" si="22"/>
        <v/>
      </c>
      <c r="G469" s="13" t="str">
        <f>IF(A469="","",SUMIFS(Base_Porao_Turno!$H:$H,Base_Porao_Turno!$A:$A,A469,Base_Porao_Turno!$E:$E,B469))</f>
        <v/>
      </c>
      <c r="H469" s="13" t="str">
        <f t="shared" si="23"/>
        <v/>
      </c>
    </row>
    <row r="470" spans="1:8" x14ac:dyDescent="0.3">
      <c r="A470" s="6"/>
      <c r="B470" s="6"/>
      <c r="C470" s="8"/>
      <c r="D470" s="13" t="str">
        <f>IF(A470="","",SUMIFS(Base_Porao_Turno!$K:$K,Base_Porao_Turno!$A:$A,A470,Base_Porao_Turno!$E:$E,B470))</f>
        <v/>
      </c>
      <c r="E470" s="13" t="str">
        <f t="shared" si="21"/>
        <v/>
      </c>
      <c r="F470" s="14" t="str">
        <f t="shared" si="22"/>
        <v/>
      </c>
      <c r="G470" s="13" t="str">
        <f>IF(A470="","",SUMIFS(Base_Porao_Turno!$H:$H,Base_Porao_Turno!$A:$A,A470,Base_Porao_Turno!$E:$E,B470))</f>
        <v/>
      </c>
      <c r="H470" s="13" t="str">
        <f t="shared" si="23"/>
        <v/>
      </c>
    </row>
    <row r="471" spans="1:8" x14ac:dyDescent="0.3">
      <c r="A471" s="6"/>
      <c r="B471" s="6"/>
      <c r="C471" s="8"/>
      <c r="D471" s="13" t="str">
        <f>IF(A471="","",SUMIFS(Base_Porao_Turno!$K:$K,Base_Porao_Turno!$A:$A,A471,Base_Porao_Turno!$E:$E,B471))</f>
        <v/>
      </c>
      <c r="E471" s="13" t="str">
        <f t="shared" si="21"/>
        <v/>
      </c>
      <c r="F471" s="14" t="str">
        <f t="shared" si="22"/>
        <v/>
      </c>
      <c r="G471" s="13" t="str">
        <f>IF(A471="","",SUMIFS(Base_Porao_Turno!$H:$H,Base_Porao_Turno!$A:$A,A471,Base_Porao_Turno!$E:$E,B471))</f>
        <v/>
      </c>
      <c r="H471" s="13" t="str">
        <f t="shared" si="23"/>
        <v/>
      </c>
    </row>
    <row r="472" spans="1:8" x14ac:dyDescent="0.3">
      <c r="A472" s="6"/>
      <c r="B472" s="6"/>
      <c r="C472" s="8"/>
      <c r="D472" s="13" t="str">
        <f>IF(A472="","",SUMIFS(Base_Porao_Turno!$K:$K,Base_Porao_Turno!$A:$A,A472,Base_Porao_Turno!$E:$E,B472))</f>
        <v/>
      </c>
      <c r="E472" s="13" t="str">
        <f t="shared" si="21"/>
        <v/>
      </c>
      <c r="F472" s="14" t="str">
        <f t="shared" si="22"/>
        <v/>
      </c>
      <c r="G472" s="13" t="str">
        <f>IF(A472="","",SUMIFS(Base_Porao_Turno!$H:$H,Base_Porao_Turno!$A:$A,A472,Base_Porao_Turno!$E:$E,B472))</f>
        <v/>
      </c>
      <c r="H472" s="13" t="str">
        <f t="shared" si="23"/>
        <v/>
      </c>
    </row>
    <row r="473" spans="1:8" x14ac:dyDescent="0.3">
      <c r="A473" s="6"/>
      <c r="B473" s="6"/>
      <c r="C473" s="8"/>
      <c r="D473" s="13" t="str">
        <f>IF(A473="","",SUMIFS(Base_Porao_Turno!$K:$K,Base_Porao_Turno!$A:$A,A473,Base_Porao_Turno!$E:$E,B473))</f>
        <v/>
      </c>
      <c r="E473" s="13" t="str">
        <f t="shared" si="21"/>
        <v/>
      </c>
      <c r="F473" s="14" t="str">
        <f t="shared" si="22"/>
        <v/>
      </c>
      <c r="G473" s="13" t="str">
        <f>IF(A473="","",SUMIFS(Base_Porao_Turno!$H:$H,Base_Porao_Turno!$A:$A,A473,Base_Porao_Turno!$E:$E,B473))</f>
        <v/>
      </c>
      <c r="H473" s="13" t="str">
        <f t="shared" si="23"/>
        <v/>
      </c>
    </row>
    <row r="474" spans="1:8" x14ac:dyDescent="0.3">
      <c r="A474" s="6"/>
      <c r="B474" s="6"/>
      <c r="C474" s="8"/>
      <c r="D474" s="13" t="str">
        <f>IF(A474="","",SUMIFS(Base_Porao_Turno!$K:$K,Base_Porao_Turno!$A:$A,A474,Base_Porao_Turno!$E:$E,B474))</f>
        <v/>
      </c>
      <c r="E474" s="13" t="str">
        <f t="shared" si="21"/>
        <v/>
      </c>
      <c r="F474" s="14" t="str">
        <f t="shared" si="22"/>
        <v/>
      </c>
      <c r="G474" s="13" t="str">
        <f>IF(A474="","",SUMIFS(Base_Porao_Turno!$H:$H,Base_Porao_Turno!$A:$A,A474,Base_Porao_Turno!$E:$E,B474))</f>
        <v/>
      </c>
      <c r="H474" s="13" t="str">
        <f t="shared" si="23"/>
        <v/>
      </c>
    </row>
    <row r="475" spans="1:8" x14ac:dyDescent="0.3">
      <c r="A475" s="6"/>
      <c r="B475" s="6"/>
      <c r="C475" s="8"/>
      <c r="D475" s="13" t="str">
        <f>IF(A475="","",SUMIFS(Base_Porao_Turno!$K:$K,Base_Porao_Turno!$A:$A,A475,Base_Porao_Turno!$E:$E,B475))</f>
        <v/>
      </c>
      <c r="E475" s="13" t="str">
        <f t="shared" si="21"/>
        <v/>
      </c>
      <c r="F475" s="14" t="str">
        <f t="shared" si="22"/>
        <v/>
      </c>
      <c r="G475" s="13" t="str">
        <f>IF(A475="","",SUMIFS(Base_Porao_Turno!$H:$H,Base_Porao_Turno!$A:$A,A475,Base_Porao_Turno!$E:$E,B475))</f>
        <v/>
      </c>
      <c r="H475" s="13" t="str">
        <f t="shared" si="23"/>
        <v/>
      </c>
    </row>
    <row r="476" spans="1:8" x14ac:dyDescent="0.3">
      <c r="A476" s="6"/>
      <c r="B476" s="6"/>
      <c r="C476" s="8"/>
      <c r="D476" s="13" t="str">
        <f>IF(A476="","",SUMIFS(Base_Porao_Turno!$K:$K,Base_Porao_Turno!$A:$A,A476,Base_Porao_Turno!$E:$E,B476))</f>
        <v/>
      </c>
      <c r="E476" s="13" t="str">
        <f t="shared" si="21"/>
        <v/>
      </c>
      <c r="F476" s="14" t="str">
        <f t="shared" si="22"/>
        <v/>
      </c>
      <c r="G476" s="13" t="str">
        <f>IF(A476="","",SUMIFS(Base_Porao_Turno!$H:$H,Base_Porao_Turno!$A:$A,A476,Base_Porao_Turno!$E:$E,B476))</f>
        <v/>
      </c>
      <c r="H476" s="13" t="str">
        <f t="shared" si="23"/>
        <v/>
      </c>
    </row>
    <row r="477" spans="1:8" x14ac:dyDescent="0.3">
      <c r="A477" s="6"/>
      <c r="B477" s="6"/>
      <c r="C477" s="8"/>
      <c r="D477" s="13" t="str">
        <f>IF(A477="","",SUMIFS(Base_Porao_Turno!$K:$K,Base_Porao_Turno!$A:$A,A477,Base_Porao_Turno!$E:$E,B477))</f>
        <v/>
      </c>
      <c r="E477" s="13" t="str">
        <f t="shared" si="21"/>
        <v/>
      </c>
      <c r="F477" s="14" t="str">
        <f t="shared" si="22"/>
        <v/>
      </c>
      <c r="G477" s="13" t="str">
        <f>IF(A477="","",SUMIFS(Base_Porao_Turno!$H:$H,Base_Porao_Turno!$A:$A,A477,Base_Porao_Turno!$E:$E,B477))</f>
        <v/>
      </c>
      <c r="H477" s="13" t="str">
        <f t="shared" si="23"/>
        <v/>
      </c>
    </row>
    <row r="478" spans="1:8" x14ac:dyDescent="0.3">
      <c r="A478" s="6"/>
      <c r="B478" s="6"/>
      <c r="C478" s="8"/>
      <c r="D478" s="13" t="str">
        <f>IF(A478="","",SUMIFS(Base_Porao_Turno!$K:$K,Base_Porao_Turno!$A:$A,A478,Base_Porao_Turno!$E:$E,B478))</f>
        <v/>
      </c>
      <c r="E478" s="13" t="str">
        <f t="shared" si="21"/>
        <v/>
      </c>
      <c r="F478" s="14" t="str">
        <f t="shared" si="22"/>
        <v/>
      </c>
      <c r="G478" s="13" t="str">
        <f>IF(A478="","",SUMIFS(Base_Porao_Turno!$H:$H,Base_Porao_Turno!$A:$A,A478,Base_Porao_Turno!$E:$E,B478))</f>
        <v/>
      </c>
      <c r="H478" s="13" t="str">
        <f t="shared" si="23"/>
        <v/>
      </c>
    </row>
    <row r="479" spans="1:8" x14ac:dyDescent="0.3">
      <c r="A479" s="6"/>
      <c r="B479" s="6"/>
      <c r="C479" s="8"/>
      <c r="D479" s="13" t="str">
        <f>IF(A479="","",SUMIFS(Base_Porao_Turno!$K:$K,Base_Porao_Turno!$A:$A,A479,Base_Porao_Turno!$E:$E,B479))</f>
        <v/>
      </c>
      <c r="E479" s="13" t="str">
        <f t="shared" si="21"/>
        <v/>
      </c>
      <c r="F479" s="14" t="str">
        <f t="shared" si="22"/>
        <v/>
      </c>
      <c r="G479" s="13" t="str">
        <f>IF(A479="","",SUMIFS(Base_Porao_Turno!$H:$H,Base_Porao_Turno!$A:$A,A479,Base_Porao_Turno!$E:$E,B479))</f>
        <v/>
      </c>
      <c r="H479" s="13" t="str">
        <f t="shared" si="23"/>
        <v/>
      </c>
    </row>
    <row r="480" spans="1:8" x14ac:dyDescent="0.3">
      <c r="A480" s="6"/>
      <c r="B480" s="6"/>
      <c r="C480" s="8"/>
      <c r="D480" s="13" t="str">
        <f>IF(A480="","",SUMIFS(Base_Porao_Turno!$K:$K,Base_Porao_Turno!$A:$A,A480,Base_Porao_Turno!$E:$E,B480))</f>
        <v/>
      </c>
      <c r="E480" s="13" t="str">
        <f t="shared" si="21"/>
        <v/>
      </c>
      <c r="F480" s="14" t="str">
        <f t="shared" si="22"/>
        <v/>
      </c>
      <c r="G480" s="13" t="str">
        <f>IF(A480="","",SUMIFS(Base_Porao_Turno!$H:$H,Base_Porao_Turno!$A:$A,A480,Base_Porao_Turno!$E:$E,B480))</f>
        <v/>
      </c>
      <c r="H480" s="13" t="str">
        <f t="shared" si="23"/>
        <v/>
      </c>
    </row>
    <row r="481" spans="1:8" x14ac:dyDescent="0.3">
      <c r="A481" s="6"/>
      <c r="B481" s="6"/>
      <c r="C481" s="8"/>
      <c r="D481" s="13" t="str">
        <f>IF(A481="","",SUMIFS(Base_Porao_Turno!$K:$K,Base_Porao_Turno!$A:$A,A481,Base_Porao_Turno!$E:$E,B481))</f>
        <v/>
      </c>
      <c r="E481" s="13" t="str">
        <f t="shared" si="21"/>
        <v/>
      </c>
      <c r="F481" s="14" t="str">
        <f t="shared" si="22"/>
        <v/>
      </c>
      <c r="G481" s="13" t="str">
        <f>IF(A481="","",SUMIFS(Base_Porao_Turno!$H:$H,Base_Porao_Turno!$A:$A,A481,Base_Porao_Turno!$E:$E,B481))</f>
        <v/>
      </c>
      <c r="H481" s="13" t="str">
        <f t="shared" si="23"/>
        <v/>
      </c>
    </row>
    <row r="482" spans="1:8" x14ac:dyDescent="0.3">
      <c r="A482" s="6"/>
      <c r="B482" s="6"/>
      <c r="C482" s="8"/>
      <c r="D482" s="13" t="str">
        <f>IF(A482="","",SUMIFS(Base_Porao_Turno!$K:$K,Base_Porao_Turno!$A:$A,A482,Base_Porao_Turno!$E:$E,B482))</f>
        <v/>
      </c>
      <c r="E482" s="13" t="str">
        <f t="shared" si="21"/>
        <v/>
      </c>
      <c r="F482" s="14" t="str">
        <f t="shared" si="22"/>
        <v/>
      </c>
      <c r="G482" s="13" t="str">
        <f>IF(A482="","",SUMIFS(Base_Porao_Turno!$H:$H,Base_Porao_Turno!$A:$A,A482,Base_Porao_Turno!$E:$E,B482))</f>
        <v/>
      </c>
      <c r="H482" s="13" t="str">
        <f t="shared" si="23"/>
        <v/>
      </c>
    </row>
    <row r="483" spans="1:8" x14ac:dyDescent="0.3">
      <c r="A483" s="6"/>
      <c r="B483" s="6"/>
      <c r="C483" s="8"/>
      <c r="D483" s="13" t="str">
        <f>IF(A483="","",SUMIFS(Base_Porao_Turno!$K:$K,Base_Porao_Turno!$A:$A,A483,Base_Porao_Turno!$E:$E,B483))</f>
        <v/>
      </c>
      <c r="E483" s="13" t="str">
        <f t="shared" si="21"/>
        <v/>
      </c>
      <c r="F483" s="14" t="str">
        <f t="shared" si="22"/>
        <v/>
      </c>
      <c r="G483" s="13" t="str">
        <f>IF(A483="","",SUMIFS(Base_Porao_Turno!$H:$H,Base_Porao_Turno!$A:$A,A483,Base_Porao_Turno!$E:$E,B483))</f>
        <v/>
      </c>
      <c r="H483" s="13" t="str">
        <f t="shared" si="23"/>
        <v/>
      </c>
    </row>
    <row r="484" spans="1:8" x14ac:dyDescent="0.3">
      <c r="A484" s="6"/>
      <c r="B484" s="6"/>
      <c r="C484" s="8"/>
      <c r="D484" s="13" t="str">
        <f>IF(A484="","",SUMIFS(Base_Porao_Turno!$K:$K,Base_Porao_Turno!$A:$A,A484,Base_Porao_Turno!$E:$E,B484))</f>
        <v/>
      </c>
      <c r="E484" s="13" t="str">
        <f t="shared" si="21"/>
        <v/>
      </c>
      <c r="F484" s="14" t="str">
        <f t="shared" si="22"/>
        <v/>
      </c>
      <c r="G484" s="13" t="str">
        <f>IF(A484="","",SUMIFS(Base_Porao_Turno!$H:$H,Base_Porao_Turno!$A:$A,A484,Base_Porao_Turno!$E:$E,B484))</f>
        <v/>
      </c>
      <c r="H484" s="13" t="str">
        <f t="shared" si="23"/>
        <v/>
      </c>
    </row>
    <row r="485" spans="1:8" x14ac:dyDescent="0.3">
      <c r="A485" s="6"/>
      <c r="B485" s="6"/>
      <c r="C485" s="8"/>
      <c r="D485" s="13" t="str">
        <f>IF(A485="","",SUMIFS(Base_Porao_Turno!$K:$K,Base_Porao_Turno!$A:$A,A485,Base_Porao_Turno!$E:$E,B485))</f>
        <v/>
      </c>
      <c r="E485" s="13" t="str">
        <f t="shared" si="21"/>
        <v/>
      </c>
      <c r="F485" s="14" t="str">
        <f t="shared" si="22"/>
        <v/>
      </c>
      <c r="G485" s="13" t="str">
        <f>IF(A485="","",SUMIFS(Base_Porao_Turno!$H:$H,Base_Porao_Turno!$A:$A,A485,Base_Porao_Turno!$E:$E,B485))</f>
        <v/>
      </c>
      <c r="H485" s="13" t="str">
        <f t="shared" si="23"/>
        <v/>
      </c>
    </row>
    <row r="486" spans="1:8" x14ac:dyDescent="0.3">
      <c r="A486" s="6"/>
      <c r="B486" s="6"/>
      <c r="C486" s="8"/>
      <c r="D486" s="13" t="str">
        <f>IF(A486="","",SUMIFS(Base_Porao_Turno!$K:$K,Base_Porao_Turno!$A:$A,A486,Base_Porao_Turno!$E:$E,B486))</f>
        <v/>
      </c>
      <c r="E486" s="13" t="str">
        <f t="shared" si="21"/>
        <v/>
      </c>
      <c r="F486" s="14" t="str">
        <f t="shared" si="22"/>
        <v/>
      </c>
      <c r="G486" s="13" t="str">
        <f>IF(A486="","",SUMIFS(Base_Porao_Turno!$H:$H,Base_Porao_Turno!$A:$A,A486,Base_Porao_Turno!$E:$E,B486))</f>
        <v/>
      </c>
      <c r="H486" s="13" t="str">
        <f t="shared" si="23"/>
        <v/>
      </c>
    </row>
    <row r="487" spans="1:8" x14ac:dyDescent="0.3">
      <c r="A487" s="6"/>
      <c r="B487" s="6"/>
      <c r="C487" s="8"/>
      <c r="D487" s="13" t="str">
        <f>IF(A487="","",SUMIFS(Base_Porao_Turno!$K:$K,Base_Porao_Turno!$A:$A,A487,Base_Porao_Turno!$E:$E,B487))</f>
        <v/>
      </c>
      <c r="E487" s="13" t="str">
        <f t="shared" si="21"/>
        <v/>
      </c>
      <c r="F487" s="14" t="str">
        <f t="shared" si="22"/>
        <v/>
      </c>
      <c r="G487" s="13" t="str">
        <f>IF(A487="","",SUMIFS(Base_Porao_Turno!$H:$H,Base_Porao_Turno!$A:$A,A487,Base_Porao_Turno!$E:$E,B487))</f>
        <v/>
      </c>
      <c r="H487" s="13" t="str">
        <f t="shared" si="23"/>
        <v/>
      </c>
    </row>
    <row r="488" spans="1:8" x14ac:dyDescent="0.3">
      <c r="A488" s="6"/>
      <c r="B488" s="6"/>
      <c r="C488" s="8"/>
      <c r="D488" s="13" t="str">
        <f>IF(A488="","",SUMIFS(Base_Porao_Turno!$K:$K,Base_Porao_Turno!$A:$A,A488,Base_Porao_Turno!$E:$E,B488))</f>
        <v/>
      </c>
      <c r="E488" s="13" t="str">
        <f t="shared" si="21"/>
        <v/>
      </c>
      <c r="F488" s="14" t="str">
        <f t="shared" si="22"/>
        <v/>
      </c>
      <c r="G488" s="13" t="str">
        <f>IF(A488="","",SUMIFS(Base_Porao_Turno!$H:$H,Base_Porao_Turno!$A:$A,A488,Base_Porao_Turno!$E:$E,B488))</f>
        <v/>
      </c>
      <c r="H488" s="13" t="str">
        <f t="shared" si="23"/>
        <v/>
      </c>
    </row>
    <row r="489" spans="1:8" x14ac:dyDescent="0.3">
      <c r="A489" s="6"/>
      <c r="B489" s="6"/>
      <c r="C489" s="8"/>
      <c r="D489" s="13" t="str">
        <f>IF(A489="","",SUMIFS(Base_Porao_Turno!$K:$K,Base_Porao_Turno!$A:$A,A489,Base_Porao_Turno!$E:$E,B489))</f>
        <v/>
      </c>
      <c r="E489" s="13" t="str">
        <f t="shared" si="21"/>
        <v/>
      </c>
      <c r="F489" s="14" t="str">
        <f t="shared" si="22"/>
        <v/>
      </c>
      <c r="G489" s="13" t="str">
        <f>IF(A489="","",SUMIFS(Base_Porao_Turno!$H:$H,Base_Porao_Turno!$A:$A,A489,Base_Porao_Turno!$E:$E,B489))</f>
        <v/>
      </c>
      <c r="H489" s="13" t="str">
        <f t="shared" si="23"/>
        <v/>
      </c>
    </row>
    <row r="490" spans="1:8" x14ac:dyDescent="0.3">
      <c r="A490" s="6"/>
      <c r="B490" s="6"/>
      <c r="C490" s="8"/>
      <c r="D490" s="13" t="str">
        <f>IF(A490="","",SUMIFS(Base_Porao_Turno!$K:$K,Base_Porao_Turno!$A:$A,A490,Base_Porao_Turno!$E:$E,B490))</f>
        <v/>
      </c>
      <c r="E490" s="13" t="str">
        <f t="shared" si="21"/>
        <v/>
      </c>
      <c r="F490" s="14" t="str">
        <f t="shared" si="22"/>
        <v/>
      </c>
      <c r="G490" s="13" t="str">
        <f>IF(A490="","",SUMIFS(Base_Porao_Turno!$H:$H,Base_Porao_Turno!$A:$A,A490,Base_Porao_Turno!$E:$E,B490))</f>
        <v/>
      </c>
      <c r="H490" s="13" t="str">
        <f t="shared" si="23"/>
        <v/>
      </c>
    </row>
    <row r="491" spans="1:8" x14ac:dyDescent="0.3">
      <c r="A491" s="6"/>
      <c r="B491" s="6"/>
      <c r="C491" s="8"/>
      <c r="D491" s="13" t="str">
        <f>IF(A491="","",SUMIFS(Base_Porao_Turno!$K:$K,Base_Porao_Turno!$A:$A,A491,Base_Porao_Turno!$E:$E,B491))</f>
        <v/>
      </c>
      <c r="E491" s="13" t="str">
        <f t="shared" si="21"/>
        <v/>
      </c>
      <c r="F491" s="14" t="str">
        <f t="shared" si="22"/>
        <v/>
      </c>
      <c r="G491" s="13" t="str">
        <f>IF(A491="","",SUMIFS(Base_Porao_Turno!$H:$H,Base_Porao_Turno!$A:$A,A491,Base_Porao_Turno!$E:$E,B491))</f>
        <v/>
      </c>
      <c r="H491" s="13" t="str">
        <f t="shared" si="23"/>
        <v/>
      </c>
    </row>
    <row r="492" spans="1:8" x14ac:dyDescent="0.3">
      <c r="A492" s="6"/>
      <c r="B492" s="6"/>
      <c r="C492" s="8"/>
      <c r="D492" s="13" t="str">
        <f>IF(A492="","",SUMIFS(Base_Porao_Turno!$K:$K,Base_Porao_Turno!$A:$A,A492,Base_Porao_Turno!$E:$E,B492))</f>
        <v/>
      </c>
      <c r="E492" s="13" t="str">
        <f t="shared" si="21"/>
        <v/>
      </c>
      <c r="F492" s="14" t="str">
        <f t="shared" si="22"/>
        <v/>
      </c>
      <c r="G492" s="13" t="str">
        <f>IF(A492="","",SUMIFS(Base_Porao_Turno!$H:$H,Base_Porao_Turno!$A:$A,A492,Base_Porao_Turno!$E:$E,B492))</f>
        <v/>
      </c>
      <c r="H492" s="13" t="str">
        <f t="shared" si="23"/>
        <v/>
      </c>
    </row>
    <row r="493" spans="1:8" x14ac:dyDescent="0.3">
      <c r="A493" s="6"/>
      <c r="B493" s="6"/>
      <c r="C493" s="8"/>
      <c r="D493" s="13" t="str">
        <f>IF(A493="","",SUMIFS(Base_Porao_Turno!$K:$K,Base_Porao_Turno!$A:$A,A493,Base_Porao_Turno!$E:$E,B493))</f>
        <v/>
      </c>
      <c r="E493" s="13" t="str">
        <f t="shared" si="21"/>
        <v/>
      </c>
      <c r="F493" s="14" t="str">
        <f t="shared" si="22"/>
        <v/>
      </c>
      <c r="G493" s="13" t="str">
        <f>IF(A493="","",SUMIFS(Base_Porao_Turno!$H:$H,Base_Porao_Turno!$A:$A,A493,Base_Porao_Turno!$E:$E,B493))</f>
        <v/>
      </c>
      <c r="H493" s="13" t="str">
        <f t="shared" si="23"/>
        <v/>
      </c>
    </row>
    <row r="494" spans="1:8" x14ac:dyDescent="0.3">
      <c r="A494" s="6"/>
      <c r="B494" s="6"/>
      <c r="C494" s="8"/>
      <c r="D494" s="13" t="str">
        <f>IF(A494="","",SUMIFS(Base_Porao_Turno!$K:$K,Base_Porao_Turno!$A:$A,A494,Base_Porao_Turno!$E:$E,B494))</f>
        <v/>
      </c>
      <c r="E494" s="13" t="str">
        <f t="shared" si="21"/>
        <v/>
      </c>
      <c r="F494" s="14" t="str">
        <f t="shared" si="22"/>
        <v/>
      </c>
      <c r="G494" s="13" t="str">
        <f>IF(A494="","",SUMIFS(Base_Porao_Turno!$H:$H,Base_Porao_Turno!$A:$A,A494,Base_Porao_Turno!$E:$E,B494))</f>
        <v/>
      </c>
      <c r="H494" s="13" t="str">
        <f t="shared" si="23"/>
        <v/>
      </c>
    </row>
    <row r="495" spans="1:8" x14ac:dyDescent="0.3">
      <c r="A495" s="6"/>
      <c r="B495" s="6"/>
      <c r="C495" s="8"/>
      <c r="D495" s="13" t="str">
        <f>IF(A495="","",SUMIFS(Base_Porao_Turno!$K:$K,Base_Porao_Turno!$A:$A,A495,Base_Porao_Turno!$E:$E,B495))</f>
        <v/>
      </c>
      <c r="E495" s="13" t="str">
        <f t="shared" si="21"/>
        <v/>
      </c>
      <c r="F495" s="14" t="str">
        <f t="shared" si="22"/>
        <v/>
      </c>
      <c r="G495" s="13" t="str">
        <f>IF(A495="","",SUMIFS(Base_Porao_Turno!$H:$H,Base_Porao_Turno!$A:$A,A495,Base_Porao_Turno!$E:$E,B495))</f>
        <v/>
      </c>
      <c r="H495" s="13" t="str">
        <f t="shared" si="23"/>
        <v/>
      </c>
    </row>
    <row r="496" spans="1:8" x14ac:dyDescent="0.3">
      <c r="A496" s="6"/>
      <c r="B496" s="6"/>
      <c r="C496" s="8"/>
      <c r="D496" s="13" t="str">
        <f>IF(A496="","",SUMIFS(Base_Porao_Turno!$K:$K,Base_Porao_Turno!$A:$A,A496,Base_Porao_Turno!$E:$E,B496))</f>
        <v/>
      </c>
      <c r="E496" s="13" t="str">
        <f t="shared" si="21"/>
        <v/>
      </c>
      <c r="F496" s="14" t="str">
        <f t="shared" si="22"/>
        <v/>
      </c>
      <c r="G496" s="13" t="str">
        <f>IF(A496="","",SUMIFS(Base_Porao_Turno!$H:$H,Base_Porao_Turno!$A:$A,A496,Base_Porao_Turno!$E:$E,B496))</f>
        <v/>
      </c>
      <c r="H496" s="13" t="str">
        <f t="shared" si="23"/>
        <v/>
      </c>
    </row>
    <row r="497" spans="1:8" x14ac:dyDescent="0.3">
      <c r="A497" s="6"/>
      <c r="B497" s="6"/>
      <c r="C497" s="8"/>
      <c r="D497" s="13" t="str">
        <f>IF(A497="","",SUMIFS(Base_Porao_Turno!$K:$K,Base_Porao_Turno!$A:$A,A497,Base_Porao_Turno!$E:$E,B497))</f>
        <v/>
      </c>
      <c r="E497" s="13" t="str">
        <f t="shared" si="21"/>
        <v/>
      </c>
      <c r="F497" s="14" t="str">
        <f t="shared" si="22"/>
        <v/>
      </c>
      <c r="G497" s="13" t="str">
        <f>IF(A497="","",SUMIFS(Base_Porao_Turno!$H:$H,Base_Porao_Turno!$A:$A,A497,Base_Porao_Turno!$E:$E,B497))</f>
        <v/>
      </c>
      <c r="H497" s="13" t="str">
        <f t="shared" si="23"/>
        <v/>
      </c>
    </row>
    <row r="498" spans="1:8" x14ac:dyDescent="0.3">
      <c r="A498" s="6"/>
      <c r="B498" s="6"/>
      <c r="C498" s="8"/>
      <c r="D498" s="13" t="str">
        <f>IF(A498="","",SUMIFS(Base_Porao_Turno!$K:$K,Base_Porao_Turno!$A:$A,A498,Base_Porao_Turno!$E:$E,B498))</f>
        <v/>
      </c>
      <c r="E498" s="13" t="str">
        <f t="shared" si="21"/>
        <v/>
      </c>
      <c r="F498" s="14" t="str">
        <f t="shared" si="22"/>
        <v/>
      </c>
      <c r="G498" s="13" t="str">
        <f>IF(A498="","",SUMIFS(Base_Porao_Turno!$H:$H,Base_Porao_Turno!$A:$A,A498,Base_Porao_Turno!$E:$E,B498))</f>
        <v/>
      </c>
      <c r="H498" s="13" t="str">
        <f t="shared" si="23"/>
        <v/>
      </c>
    </row>
    <row r="499" spans="1:8" x14ac:dyDescent="0.3">
      <c r="A499" s="6"/>
      <c r="B499" s="6"/>
      <c r="C499" s="8"/>
      <c r="D499" s="13" t="str">
        <f>IF(A499="","",SUMIFS(Base_Porao_Turno!$K:$K,Base_Porao_Turno!$A:$A,A499,Base_Porao_Turno!$E:$E,B499))</f>
        <v/>
      </c>
      <c r="E499" s="13" t="str">
        <f t="shared" si="21"/>
        <v/>
      </c>
      <c r="F499" s="14" t="str">
        <f t="shared" si="22"/>
        <v/>
      </c>
      <c r="G499" s="13" t="str">
        <f>IF(A499="","",SUMIFS(Base_Porao_Turno!$H:$H,Base_Porao_Turno!$A:$A,A499,Base_Porao_Turno!$E:$E,B499))</f>
        <v/>
      </c>
      <c r="H499" s="13" t="str">
        <f t="shared" si="23"/>
        <v/>
      </c>
    </row>
    <row r="500" spans="1:8" x14ac:dyDescent="0.3">
      <c r="A500" s="6"/>
      <c r="B500" s="6"/>
      <c r="C500" s="8"/>
      <c r="D500" s="13" t="str">
        <f>IF(A500="","",SUMIFS(Base_Porao_Turno!$K:$K,Base_Porao_Turno!$A:$A,A500,Base_Porao_Turno!$E:$E,B500))</f>
        <v/>
      </c>
      <c r="E500" s="13" t="str">
        <f t="shared" si="21"/>
        <v/>
      </c>
      <c r="F500" s="14" t="str">
        <f t="shared" si="22"/>
        <v/>
      </c>
      <c r="G500" s="13" t="str">
        <f>IF(A500="","",SUMIFS(Base_Porao_Turno!$H:$H,Base_Porao_Turno!$A:$A,A500,Base_Porao_Turno!$E:$E,B500))</f>
        <v/>
      </c>
      <c r="H500" s="13" t="str">
        <f t="shared" si="23"/>
        <v/>
      </c>
    </row>
    <row r="501" spans="1:8" x14ac:dyDescent="0.3">
      <c r="A501" s="6"/>
      <c r="B501" s="6"/>
      <c r="C501" s="8"/>
      <c r="D501" s="13" t="str">
        <f>IF(A501="","",SUMIFS(Base_Porao_Turno!$K:$K,Base_Porao_Turno!$A:$A,A501,Base_Porao_Turno!$E:$E,B501))</f>
        <v/>
      </c>
      <c r="E501" s="13" t="str">
        <f t="shared" si="21"/>
        <v/>
      </c>
      <c r="F501" s="14" t="str">
        <f t="shared" si="22"/>
        <v/>
      </c>
      <c r="G501" s="13" t="str">
        <f>IF(A501="","",SUMIFS(Base_Porao_Turno!$H:$H,Base_Porao_Turno!$A:$A,A501,Base_Porao_Turno!$E:$E,B501))</f>
        <v/>
      </c>
      <c r="H501" s="13" t="str">
        <f t="shared" si="23"/>
        <v/>
      </c>
    </row>
    <row r="502" spans="1:8" x14ac:dyDescent="0.3">
      <c r="A502" s="6"/>
      <c r="B502" s="6"/>
      <c r="C502" s="8"/>
      <c r="D502" s="13" t="str">
        <f>IF(A502="","",SUMIFS(Base_Porao_Turno!$K:$K,Base_Porao_Turno!$A:$A,A502,Base_Porao_Turno!$E:$E,B502))</f>
        <v/>
      </c>
      <c r="E502" s="13" t="str">
        <f t="shared" si="21"/>
        <v/>
      </c>
      <c r="F502" s="14" t="str">
        <f t="shared" si="22"/>
        <v/>
      </c>
      <c r="G502" s="13" t="str">
        <f>IF(A502="","",SUMIFS(Base_Porao_Turno!$H:$H,Base_Porao_Turno!$A:$A,A502,Base_Porao_Turno!$E:$E,B502))</f>
        <v/>
      </c>
      <c r="H502" s="13" t="str">
        <f t="shared" si="23"/>
        <v/>
      </c>
    </row>
    <row r="503" spans="1:8" x14ac:dyDescent="0.3">
      <c r="A503" s="6"/>
      <c r="B503" s="6"/>
      <c r="C503" s="8"/>
      <c r="D503" s="13" t="str">
        <f>IF(A503="","",SUMIFS(Base_Porao_Turno!$K:$K,Base_Porao_Turno!$A:$A,A503,Base_Porao_Turno!$E:$E,B503))</f>
        <v/>
      </c>
      <c r="E503" s="13" t="str">
        <f t="shared" si="21"/>
        <v/>
      </c>
      <c r="F503" s="14" t="str">
        <f t="shared" si="22"/>
        <v/>
      </c>
      <c r="G503" s="13" t="str">
        <f>IF(A503="","",SUMIFS(Base_Porao_Turno!$H:$H,Base_Porao_Turno!$A:$A,A503,Base_Porao_Turno!$E:$E,B503))</f>
        <v/>
      </c>
      <c r="H503" s="13" t="str">
        <f t="shared" si="23"/>
        <v/>
      </c>
    </row>
    <row r="504" spans="1:8" x14ac:dyDescent="0.3">
      <c r="A504" s="6"/>
      <c r="B504" s="6"/>
      <c r="C504" s="8"/>
      <c r="D504" s="13" t="str">
        <f>IF(A504="","",SUMIFS(Base_Porao_Turno!$K:$K,Base_Porao_Turno!$A:$A,A504,Base_Porao_Turno!$E:$E,B504))</f>
        <v/>
      </c>
      <c r="E504" s="13" t="str">
        <f t="shared" si="21"/>
        <v/>
      </c>
      <c r="F504" s="14" t="str">
        <f t="shared" si="22"/>
        <v/>
      </c>
      <c r="G504" s="13" t="str">
        <f>IF(A504="","",SUMIFS(Base_Porao_Turno!$H:$H,Base_Porao_Turno!$A:$A,A504,Base_Porao_Turno!$E:$E,B504))</f>
        <v/>
      </c>
      <c r="H504" s="13" t="str">
        <f t="shared" si="23"/>
        <v/>
      </c>
    </row>
    <row r="505" spans="1:8" x14ac:dyDescent="0.3">
      <c r="A505" s="6"/>
      <c r="B505" s="6"/>
      <c r="C505" s="8"/>
      <c r="D505" s="13" t="str">
        <f>IF(A505="","",SUMIFS(Base_Porao_Turno!$K:$K,Base_Porao_Turno!$A:$A,A505,Base_Porao_Turno!$E:$E,B505))</f>
        <v/>
      </c>
      <c r="E505" s="13" t="str">
        <f t="shared" si="21"/>
        <v/>
      </c>
      <c r="F505" s="14" t="str">
        <f t="shared" si="22"/>
        <v/>
      </c>
      <c r="G505" s="13" t="str">
        <f>IF(A505="","",SUMIFS(Base_Porao_Turno!$H:$H,Base_Porao_Turno!$A:$A,A505,Base_Porao_Turno!$E:$E,B505))</f>
        <v/>
      </c>
      <c r="H505" s="13" t="str">
        <f t="shared" si="23"/>
        <v/>
      </c>
    </row>
    <row r="506" spans="1:8" x14ac:dyDescent="0.3">
      <c r="A506" s="6"/>
      <c r="B506" s="6"/>
      <c r="C506" s="8"/>
      <c r="D506" s="13" t="str">
        <f>IF(A506="","",SUMIFS(Base_Porao_Turno!$K:$K,Base_Porao_Turno!$A:$A,A506,Base_Porao_Turno!$E:$E,B506))</f>
        <v/>
      </c>
      <c r="E506" s="13" t="str">
        <f t="shared" si="21"/>
        <v/>
      </c>
      <c r="F506" s="14" t="str">
        <f t="shared" si="22"/>
        <v/>
      </c>
      <c r="G506" s="13" t="str">
        <f>IF(A506="","",SUMIFS(Base_Porao_Turno!$H:$H,Base_Porao_Turno!$A:$A,A506,Base_Porao_Turno!$E:$E,B506))</f>
        <v/>
      </c>
      <c r="H506" s="13" t="str">
        <f t="shared" si="23"/>
        <v/>
      </c>
    </row>
    <row r="507" spans="1:8" x14ac:dyDescent="0.3">
      <c r="A507" s="6"/>
      <c r="B507" s="6"/>
      <c r="C507" s="8"/>
      <c r="D507" s="13" t="str">
        <f>IF(A507="","",SUMIFS(Base_Porao_Turno!$K:$K,Base_Porao_Turno!$A:$A,A507,Base_Porao_Turno!$E:$E,B507))</f>
        <v/>
      </c>
      <c r="E507" s="13" t="str">
        <f t="shared" si="21"/>
        <v/>
      </c>
      <c r="F507" s="14" t="str">
        <f t="shared" si="22"/>
        <v/>
      </c>
      <c r="G507" s="13" t="str">
        <f>IF(A507="","",SUMIFS(Base_Porao_Turno!$H:$H,Base_Porao_Turno!$A:$A,A507,Base_Porao_Turno!$E:$E,B507))</f>
        <v/>
      </c>
      <c r="H507" s="13" t="str">
        <f t="shared" si="23"/>
        <v/>
      </c>
    </row>
    <row r="508" spans="1:8" x14ac:dyDescent="0.3">
      <c r="A508" s="6"/>
      <c r="B508" s="6"/>
      <c r="C508" s="8"/>
      <c r="D508" s="13" t="str">
        <f>IF(A508="","",SUMIFS(Base_Porao_Turno!$K:$K,Base_Porao_Turno!$A:$A,A508,Base_Porao_Turno!$E:$E,B508))</f>
        <v/>
      </c>
      <c r="E508" s="13" t="str">
        <f t="shared" si="21"/>
        <v/>
      </c>
      <c r="F508" s="14" t="str">
        <f t="shared" si="22"/>
        <v/>
      </c>
      <c r="G508" s="13" t="str">
        <f>IF(A508="","",SUMIFS(Base_Porao_Turno!$H:$H,Base_Porao_Turno!$A:$A,A508,Base_Porao_Turno!$E:$E,B508))</f>
        <v/>
      </c>
      <c r="H508" s="13" t="str">
        <f t="shared" si="23"/>
        <v/>
      </c>
    </row>
    <row r="509" spans="1:8" x14ac:dyDescent="0.3">
      <c r="A509" s="6"/>
      <c r="B509" s="6"/>
      <c r="C509" s="8"/>
      <c r="D509" s="13" t="str">
        <f>IF(A509="","",SUMIFS(Base_Porao_Turno!$K:$K,Base_Porao_Turno!$A:$A,A509,Base_Porao_Turno!$E:$E,B509))</f>
        <v/>
      </c>
      <c r="E509" s="13" t="str">
        <f t="shared" si="21"/>
        <v/>
      </c>
      <c r="F509" s="14" t="str">
        <f t="shared" si="22"/>
        <v/>
      </c>
      <c r="G509" s="13" t="str">
        <f>IF(A509="","",SUMIFS(Base_Porao_Turno!$H:$H,Base_Porao_Turno!$A:$A,A509,Base_Porao_Turno!$E:$E,B509))</f>
        <v/>
      </c>
      <c r="H509" s="13" t="str">
        <f t="shared" si="23"/>
        <v/>
      </c>
    </row>
    <row r="510" spans="1:8" x14ac:dyDescent="0.3">
      <c r="A510" s="6"/>
      <c r="B510" s="6"/>
      <c r="C510" s="8"/>
      <c r="D510" s="13" t="str">
        <f>IF(A510="","",SUMIFS(Base_Porao_Turno!$K:$K,Base_Porao_Turno!$A:$A,A510,Base_Porao_Turno!$E:$E,B510))</f>
        <v/>
      </c>
      <c r="E510" s="13" t="str">
        <f t="shared" si="21"/>
        <v/>
      </c>
      <c r="F510" s="14" t="str">
        <f t="shared" si="22"/>
        <v/>
      </c>
      <c r="G510" s="13" t="str">
        <f>IF(A510="","",SUMIFS(Base_Porao_Turno!$H:$H,Base_Porao_Turno!$A:$A,A510,Base_Porao_Turno!$E:$E,B510))</f>
        <v/>
      </c>
      <c r="H510" s="13" t="str">
        <f t="shared" si="23"/>
        <v/>
      </c>
    </row>
    <row r="511" spans="1:8" x14ac:dyDescent="0.3">
      <c r="A511" s="6"/>
      <c r="B511" s="6"/>
      <c r="C511" s="8"/>
      <c r="D511" s="13" t="str">
        <f>IF(A511="","",SUMIFS(Base_Porao_Turno!$K:$K,Base_Porao_Turno!$A:$A,A511,Base_Porao_Turno!$E:$E,B511))</f>
        <v/>
      </c>
      <c r="E511" s="13" t="str">
        <f t="shared" si="21"/>
        <v/>
      </c>
      <c r="F511" s="14" t="str">
        <f t="shared" si="22"/>
        <v/>
      </c>
      <c r="G511" s="13" t="str">
        <f>IF(A511="","",SUMIFS(Base_Porao_Turno!$H:$H,Base_Porao_Turno!$A:$A,A511,Base_Porao_Turno!$E:$E,B511))</f>
        <v/>
      </c>
      <c r="H511" s="13" t="str">
        <f t="shared" si="23"/>
        <v/>
      </c>
    </row>
    <row r="512" spans="1:8" x14ac:dyDescent="0.3">
      <c r="A512" s="6"/>
      <c r="B512" s="6"/>
      <c r="C512" s="8"/>
      <c r="D512" s="13" t="str">
        <f>IF(A512="","",SUMIFS(Base_Porao_Turno!$K:$K,Base_Porao_Turno!$A:$A,A512,Base_Porao_Turno!$E:$E,B512))</f>
        <v/>
      </c>
      <c r="E512" s="13" t="str">
        <f t="shared" si="21"/>
        <v/>
      </c>
      <c r="F512" s="14" t="str">
        <f t="shared" si="22"/>
        <v/>
      </c>
      <c r="G512" s="13" t="str">
        <f>IF(A512="","",SUMIFS(Base_Porao_Turno!$H:$H,Base_Porao_Turno!$A:$A,A512,Base_Porao_Turno!$E:$E,B512))</f>
        <v/>
      </c>
      <c r="H512" s="13" t="str">
        <f t="shared" si="23"/>
        <v/>
      </c>
    </row>
    <row r="513" spans="1:8" x14ac:dyDescent="0.3">
      <c r="A513" s="6"/>
      <c r="B513" s="6"/>
      <c r="C513" s="8"/>
      <c r="D513" s="13" t="str">
        <f>IF(A513="","",SUMIFS(Base_Porao_Turno!$K:$K,Base_Porao_Turno!$A:$A,A513,Base_Porao_Turno!$E:$E,B513))</f>
        <v/>
      </c>
      <c r="E513" s="13" t="str">
        <f t="shared" si="21"/>
        <v/>
      </c>
      <c r="F513" s="14" t="str">
        <f t="shared" si="22"/>
        <v/>
      </c>
      <c r="G513" s="13" t="str">
        <f>IF(A513="","",SUMIFS(Base_Porao_Turno!$H:$H,Base_Porao_Turno!$A:$A,A513,Base_Porao_Turno!$E:$E,B513))</f>
        <v/>
      </c>
      <c r="H513" s="13" t="str">
        <f t="shared" si="23"/>
        <v/>
      </c>
    </row>
    <row r="514" spans="1:8" x14ac:dyDescent="0.3">
      <c r="A514" s="6"/>
      <c r="B514" s="6"/>
      <c r="C514" s="8"/>
      <c r="D514" s="13" t="str">
        <f>IF(A514="","",SUMIFS(Base_Porao_Turno!$K:$K,Base_Porao_Turno!$A:$A,A514,Base_Porao_Turno!$E:$E,B514))</f>
        <v/>
      </c>
      <c r="E514" s="13" t="str">
        <f t="shared" ref="E514:E577" si="24">IF(OR(C514="",D514=""),"",C514-D514)</f>
        <v/>
      </c>
      <c r="F514" s="14" t="str">
        <f t="shared" ref="F514:F577" si="25">IFERROR(D514/C514,"")</f>
        <v/>
      </c>
      <c r="G514" s="13" t="str">
        <f>IF(A514="","",SUMIFS(Base_Porao_Turno!$H:$H,Base_Porao_Turno!$A:$A,A514,Base_Porao_Turno!$E:$E,B514))</f>
        <v/>
      </c>
      <c r="H514" s="13" t="str">
        <f t="shared" ref="H514:H577" si="26">IFERROR(D514/G514,"")</f>
        <v/>
      </c>
    </row>
    <row r="515" spans="1:8" x14ac:dyDescent="0.3">
      <c r="A515" s="6"/>
      <c r="B515" s="6"/>
      <c r="C515" s="8"/>
      <c r="D515" s="13" t="str">
        <f>IF(A515="","",SUMIFS(Base_Porao_Turno!$K:$K,Base_Porao_Turno!$A:$A,A515,Base_Porao_Turno!$E:$E,B515))</f>
        <v/>
      </c>
      <c r="E515" s="13" t="str">
        <f t="shared" si="24"/>
        <v/>
      </c>
      <c r="F515" s="14" t="str">
        <f t="shared" si="25"/>
        <v/>
      </c>
      <c r="G515" s="13" t="str">
        <f>IF(A515="","",SUMIFS(Base_Porao_Turno!$H:$H,Base_Porao_Turno!$A:$A,A515,Base_Porao_Turno!$E:$E,B515))</f>
        <v/>
      </c>
      <c r="H515" s="13" t="str">
        <f t="shared" si="26"/>
        <v/>
      </c>
    </row>
    <row r="516" spans="1:8" x14ac:dyDescent="0.3">
      <c r="A516" s="6"/>
      <c r="B516" s="6"/>
      <c r="C516" s="8"/>
      <c r="D516" s="13" t="str">
        <f>IF(A516="","",SUMIFS(Base_Porao_Turno!$K:$K,Base_Porao_Turno!$A:$A,A516,Base_Porao_Turno!$E:$E,B516))</f>
        <v/>
      </c>
      <c r="E516" s="13" t="str">
        <f t="shared" si="24"/>
        <v/>
      </c>
      <c r="F516" s="14" t="str">
        <f t="shared" si="25"/>
        <v/>
      </c>
      <c r="G516" s="13" t="str">
        <f>IF(A516="","",SUMIFS(Base_Porao_Turno!$H:$H,Base_Porao_Turno!$A:$A,A516,Base_Porao_Turno!$E:$E,B516))</f>
        <v/>
      </c>
      <c r="H516" s="13" t="str">
        <f t="shared" si="26"/>
        <v/>
      </c>
    </row>
    <row r="517" spans="1:8" x14ac:dyDescent="0.3">
      <c r="A517" s="6"/>
      <c r="B517" s="6"/>
      <c r="C517" s="8"/>
      <c r="D517" s="13" t="str">
        <f>IF(A517="","",SUMIFS(Base_Porao_Turno!$K:$K,Base_Porao_Turno!$A:$A,A517,Base_Porao_Turno!$E:$E,B517))</f>
        <v/>
      </c>
      <c r="E517" s="13" t="str">
        <f t="shared" si="24"/>
        <v/>
      </c>
      <c r="F517" s="14" t="str">
        <f t="shared" si="25"/>
        <v/>
      </c>
      <c r="G517" s="13" t="str">
        <f>IF(A517="","",SUMIFS(Base_Porao_Turno!$H:$H,Base_Porao_Turno!$A:$A,A517,Base_Porao_Turno!$E:$E,B517))</f>
        <v/>
      </c>
      <c r="H517" s="13" t="str">
        <f t="shared" si="26"/>
        <v/>
      </c>
    </row>
    <row r="518" spans="1:8" x14ac:dyDescent="0.3">
      <c r="A518" s="6"/>
      <c r="B518" s="6"/>
      <c r="C518" s="8"/>
      <c r="D518" s="13" t="str">
        <f>IF(A518="","",SUMIFS(Base_Porao_Turno!$K:$K,Base_Porao_Turno!$A:$A,A518,Base_Porao_Turno!$E:$E,B518))</f>
        <v/>
      </c>
      <c r="E518" s="13" t="str">
        <f t="shared" si="24"/>
        <v/>
      </c>
      <c r="F518" s="14" t="str">
        <f t="shared" si="25"/>
        <v/>
      </c>
      <c r="G518" s="13" t="str">
        <f>IF(A518="","",SUMIFS(Base_Porao_Turno!$H:$H,Base_Porao_Turno!$A:$A,A518,Base_Porao_Turno!$E:$E,B518))</f>
        <v/>
      </c>
      <c r="H518" s="13" t="str">
        <f t="shared" si="26"/>
        <v/>
      </c>
    </row>
    <row r="519" spans="1:8" x14ac:dyDescent="0.3">
      <c r="A519" s="6"/>
      <c r="B519" s="6"/>
      <c r="C519" s="8"/>
      <c r="D519" s="13" t="str">
        <f>IF(A519="","",SUMIFS(Base_Porao_Turno!$K:$K,Base_Porao_Turno!$A:$A,A519,Base_Porao_Turno!$E:$E,B519))</f>
        <v/>
      </c>
      <c r="E519" s="13" t="str">
        <f t="shared" si="24"/>
        <v/>
      </c>
      <c r="F519" s="14" t="str">
        <f t="shared" si="25"/>
        <v/>
      </c>
      <c r="G519" s="13" t="str">
        <f>IF(A519="","",SUMIFS(Base_Porao_Turno!$H:$H,Base_Porao_Turno!$A:$A,A519,Base_Porao_Turno!$E:$E,B519))</f>
        <v/>
      </c>
      <c r="H519" s="13" t="str">
        <f t="shared" si="26"/>
        <v/>
      </c>
    </row>
    <row r="520" spans="1:8" x14ac:dyDescent="0.3">
      <c r="A520" s="6"/>
      <c r="B520" s="6"/>
      <c r="C520" s="8"/>
      <c r="D520" s="13" t="str">
        <f>IF(A520="","",SUMIFS(Base_Porao_Turno!$K:$K,Base_Porao_Turno!$A:$A,A520,Base_Porao_Turno!$E:$E,B520))</f>
        <v/>
      </c>
      <c r="E520" s="13" t="str">
        <f t="shared" si="24"/>
        <v/>
      </c>
      <c r="F520" s="14" t="str">
        <f t="shared" si="25"/>
        <v/>
      </c>
      <c r="G520" s="13" t="str">
        <f>IF(A520="","",SUMIFS(Base_Porao_Turno!$H:$H,Base_Porao_Turno!$A:$A,A520,Base_Porao_Turno!$E:$E,B520))</f>
        <v/>
      </c>
      <c r="H520" s="13" t="str">
        <f t="shared" si="26"/>
        <v/>
      </c>
    </row>
    <row r="521" spans="1:8" x14ac:dyDescent="0.3">
      <c r="A521" s="6"/>
      <c r="B521" s="6"/>
      <c r="C521" s="8"/>
      <c r="D521" s="13" t="str">
        <f>IF(A521="","",SUMIFS(Base_Porao_Turno!$K:$K,Base_Porao_Turno!$A:$A,A521,Base_Porao_Turno!$E:$E,B521))</f>
        <v/>
      </c>
      <c r="E521" s="13" t="str">
        <f t="shared" si="24"/>
        <v/>
      </c>
      <c r="F521" s="14" t="str">
        <f t="shared" si="25"/>
        <v/>
      </c>
      <c r="G521" s="13" t="str">
        <f>IF(A521="","",SUMIFS(Base_Porao_Turno!$H:$H,Base_Porao_Turno!$A:$A,A521,Base_Porao_Turno!$E:$E,B521))</f>
        <v/>
      </c>
      <c r="H521" s="13" t="str">
        <f t="shared" si="26"/>
        <v/>
      </c>
    </row>
    <row r="522" spans="1:8" x14ac:dyDescent="0.3">
      <c r="A522" s="6"/>
      <c r="B522" s="6"/>
      <c r="C522" s="8"/>
      <c r="D522" s="13" t="str">
        <f>IF(A522="","",SUMIFS(Base_Porao_Turno!$K:$K,Base_Porao_Turno!$A:$A,A522,Base_Porao_Turno!$E:$E,B522))</f>
        <v/>
      </c>
      <c r="E522" s="13" t="str">
        <f t="shared" si="24"/>
        <v/>
      </c>
      <c r="F522" s="14" t="str">
        <f t="shared" si="25"/>
        <v/>
      </c>
      <c r="G522" s="13" t="str">
        <f>IF(A522="","",SUMIFS(Base_Porao_Turno!$H:$H,Base_Porao_Turno!$A:$A,A522,Base_Porao_Turno!$E:$E,B522))</f>
        <v/>
      </c>
      <c r="H522" s="13" t="str">
        <f t="shared" si="26"/>
        <v/>
      </c>
    </row>
    <row r="523" spans="1:8" x14ac:dyDescent="0.3">
      <c r="A523" s="6"/>
      <c r="B523" s="6"/>
      <c r="C523" s="8"/>
      <c r="D523" s="13" t="str">
        <f>IF(A523="","",SUMIFS(Base_Porao_Turno!$K:$K,Base_Porao_Turno!$A:$A,A523,Base_Porao_Turno!$E:$E,B523))</f>
        <v/>
      </c>
      <c r="E523" s="13" t="str">
        <f t="shared" si="24"/>
        <v/>
      </c>
      <c r="F523" s="14" t="str">
        <f t="shared" si="25"/>
        <v/>
      </c>
      <c r="G523" s="13" t="str">
        <f>IF(A523="","",SUMIFS(Base_Porao_Turno!$H:$H,Base_Porao_Turno!$A:$A,A523,Base_Porao_Turno!$E:$E,B523))</f>
        <v/>
      </c>
      <c r="H523" s="13" t="str">
        <f t="shared" si="26"/>
        <v/>
      </c>
    </row>
    <row r="524" spans="1:8" x14ac:dyDescent="0.3">
      <c r="A524" s="6"/>
      <c r="B524" s="6"/>
      <c r="C524" s="8"/>
      <c r="D524" s="13" t="str">
        <f>IF(A524="","",SUMIFS(Base_Porao_Turno!$K:$K,Base_Porao_Turno!$A:$A,A524,Base_Porao_Turno!$E:$E,B524))</f>
        <v/>
      </c>
      <c r="E524" s="13" t="str">
        <f t="shared" si="24"/>
        <v/>
      </c>
      <c r="F524" s="14" t="str">
        <f t="shared" si="25"/>
        <v/>
      </c>
      <c r="G524" s="13" t="str">
        <f>IF(A524="","",SUMIFS(Base_Porao_Turno!$H:$H,Base_Porao_Turno!$A:$A,A524,Base_Porao_Turno!$E:$E,B524))</f>
        <v/>
      </c>
      <c r="H524" s="13" t="str">
        <f t="shared" si="26"/>
        <v/>
      </c>
    </row>
    <row r="525" spans="1:8" x14ac:dyDescent="0.3">
      <c r="A525" s="6"/>
      <c r="B525" s="6"/>
      <c r="C525" s="8"/>
      <c r="D525" s="13" t="str">
        <f>IF(A525="","",SUMIFS(Base_Porao_Turno!$K:$K,Base_Porao_Turno!$A:$A,A525,Base_Porao_Turno!$E:$E,B525))</f>
        <v/>
      </c>
      <c r="E525" s="13" t="str">
        <f t="shared" si="24"/>
        <v/>
      </c>
      <c r="F525" s="14" t="str">
        <f t="shared" si="25"/>
        <v/>
      </c>
      <c r="G525" s="13" t="str">
        <f>IF(A525="","",SUMIFS(Base_Porao_Turno!$H:$H,Base_Porao_Turno!$A:$A,A525,Base_Porao_Turno!$E:$E,B525))</f>
        <v/>
      </c>
      <c r="H525" s="13" t="str">
        <f t="shared" si="26"/>
        <v/>
      </c>
    </row>
    <row r="526" spans="1:8" x14ac:dyDescent="0.3">
      <c r="A526" s="6"/>
      <c r="B526" s="6"/>
      <c r="C526" s="8"/>
      <c r="D526" s="13" t="str">
        <f>IF(A526="","",SUMIFS(Base_Porao_Turno!$K:$K,Base_Porao_Turno!$A:$A,A526,Base_Porao_Turno!$E:$E,B526))</f>
        <v/>
      </c>
      <c r="E526" s="13" t="str">
        <f t="shared" si="24"/>
        <v/>
      </c>
      <c r="F526" s="14" t="str">
        <f t="shared" si="25"/>
        <v/>
      </c>
      <c r="G526" s="13" t="str">
        <f>IF(A526="","",SUMIFS(Base_Porao_Turno!$H:$H,Base_Porao_Turno!$A:$A,A526,Base_Porao_Turno!$E:$E,B526))</f>
        <v/>
      </c>
      <c r="H526" s="13" t="str">
        <f t="shared" si="26"/>
        <v/>
      </c>
    </row>
    <row r="527" spans="1:8" x14ac:dyDescent="0.3">
      <c r="A527" s="6"/>
      <c r="B527" s="6"/>
      <c r="C527" s="8"/>
      <c r="D527" s="13" t="str">
        <f>IF(A527="","",SUMIFS(Base_Porao_Turno!$K:$K,Base_Porao_Turno!$A:$A,A527,Base_Porao_Turno!$E:$E,B527))</f>
        <v/>
      </c>
      <c r="E527" s="13" t="str">
        <f t="shared" si="24"/>
        <v/>
      </c>
      <c r="F527" s="14" t="str">
        <f t="shared" si="25"/>
        <v/>
      </c>
      <c r="G527" s="13" t="str">
        <f>IF(A527="","",SUMIFS(Base_Porao_Turno!$H:$H,Base_Porao_Turno!$A:$A,A527,Base_Porao_Turno!$E:$E,B527))</f>
        <v/>
      </c>
      <c r="H527" s="13" t="str">
        <f t="shared" si="26"/>
        <v/>
      </c>
    </row>
    <row r="528" spans="1:8" x14ac:dyDescent="0.3">
      <c r="A528" s="6"/>
      <c r="B528" s="6"/>
      <c r="C528" s="8"/>
      <c r="D528" s="13" t="str">
        <f>IF(A528="","",SUMIFS(Base_Porao_Turno!$K:$K,Base_Porao_Turno!$A:$A,A528,Base_Porao_Turno!$E:$E,B528))</f>
        <v/>
      </c>
      <c r="E528" s="13" t="str">
        <f t="shared" si="24"/>
        <v/>
      </c>
      <c r="F528" s="14" t="str">
        <f t="shared" si="25"/>
        <v/>
      </c>
      <c r="G528" s="13" t="str">
        <f>IF(A528="","",SUMIFS(Base_Porao_Turno!$H:$H,Base_Porao_Turno!$A:$A,A528,Base_Porao_Turno!$E:$E,B528))</f>
        <v/>
      </c>
      <c r="H528" s="13" t="str">
        <f t="shared" si="26"/>
        <v/>
      </c>
    </row>
    <row r="529" spans="1:8" x14ac:dyDescent="0.3">
      <c r="A529" s="6"/>
      <c r="B529" s="6"/>
      <c r="C529" s="8"/>
      <c r="D529" s="13" t="str">
        <f>IF(A529="","",SUMIFS(Base_Porao_Turno!$K:$K,Base_Porao_Turno!$A:$A,A529,Base_Porao_Turno!$E:$E,B529))</f>
        <v/>
      </c>
      <c r="E529" s="13" t="str">
        <f t="shared" si="24"/>
        <v/>
      </c>
      <c r="F529" s="14" t="str">
        <f t="shared" si="25"/>
        <v/>
      </c>
      <c r="G529" s="13" t="str">
        <f>IF(A529="","",SUMIFS(Base_Porao_Turno!$H:$H,Base_Porao_Turno!$A:$A,A529,Base_Porao_Turno!$E:$E,B529))</f>
        <v/>
      </c>
      <c r="H529" s="13" t="str">
        <f t="shared" si="26"/>
        <v/>
      </c>
    </row>
    <row r="530" spans="1:8" x14ac:dyDescent="0.3">
      <c r="A530" s="6"/>
      <c r="B530" s="6"/>
      <c r="C530" s="8"/>
      <c r="D530" s="13" t="str">
        <f>IF(A530="","",SUMIFS(Base_Porao_Turno!$K:$K,Base_Porao_Turno!$A:$A,A530,Base_Porao_Turno!$E:$E,B530))</f>
        <v/>
      </c>
      <c r="E530" s="13" t="str">
        <f t="shared" si="24"/>
        <v/>
      </c>
      <c r="F530" s="14" t="str">
        <f t="shared" si="25"/>
        <v/>
      </c>
      <c r="G530" s="13" t="str">
        <f>IF(A530="","",SUMIFS(Base_Porao_Turno!$H:$H,Base_Porao_Turno!$A:$A,A530,Base_Porao_Turno!$E:$E,B530))</f>
        <v/>
      </c>
      <c r="H530" s="13" t="str">
        <f t="shared" si="26"/>
        <v/>
      </c>
    </row>
    <row r="531" spans="1:8" x14ac:dyDescent="0.3">
      <c r="A531" s="6"/>
      <c r="B531" s="6"/>
      <c r="C531" s="8"/>
      <c r="D531" s="13" t="str">
        <f>IF(A531="","",SUMIFS(Base_Porao_Turno!$K:$K,Base_Porao_Turno!$A:$A,A531,Base_Porao_Turno!$E:$E,B531))</f>
        <v/>
      </c>
      <c r="E531" s="13" t="str">
        <f t="shared" si="24"/>
        <v/>
      </c>
      <c r="F531" s="14" t="str">
        <f t="shared" si="25"/>
        <v/>
      </c>
      <c r="G531" s="13" t="str">
        <f>IF(A531="","",SUMIFS(Base_Porao_Turno!$H:$H,Base_Porao_Turno!$A:$A,A531,Base_Porao_Turno!$E:$E,B531))</f>
        <v/>
      </c>
      <c r="H531" s="13" t="str">
        <f t="shared" si="26"/>
        <v/>
      </c>
    </row>
    <row r="532" spans="1:8" x14ac:dyDescent="0.3">
      <c r="A532" s="6"/>
      <c r="B532" s="6"/>
      <c r="C532" s="8"/>
      <c r="D532" s="13" t="str">
        <f>IF(A532="","",SUMIFS(Base_Porao_Turno!$K:$K,Base_Porao_Turno!$A:$A,A532,Base_Porao_Turno!$E:$E,B532))</f>
        <v/>
      </c>
      <c r="E532" s="13" t="str">
        <f t="shared" si="24"/>
        <v/>
      </c>
      <c r="F532" s="14" t="str">
        <f t="shared" si="25"/>
        <v/>
      </c>
      <c r="G532" s="13" t="str">
        <f>IF(A532="","",SUMIFS(Base_Porao_Turno!$H:$H,Base_Porao_Turno!$A:$A,A532,Base_Porao_Turno!$E:$E,B532))</f>
        <v/>
      </c>
      <c r="H532" s="13" t="str">
        <f t="shared" si="26"/>
        <v/>
      </c>
    </row>
    <row r="533" spans="1:8" x14ac:dyDescent="0.3">
      <c r="A533" s="6"/>
      <c r="B533" s="6"/>
      <c r="C533" s="8"/>
      <c r="D533" s="13" t="str">
        <f>IF(A533="","",SUMIFS(Base_Porao_Turno!$K:$K,Base_Porao_Turno!$A:$A,A533,Base_Porao_Turno!$E:$E,B533))</f>
        <v/>
      </c>
      <c r="E533" s="13" t="str">
        <f t="shared" si="24"/>
        <v/>
      </c>
      <c r="F533" s="14" t="str">
        <f t="shared" si="25"/>
        <v/>
      </c>
      <c r="G533" s="13" t="str">
        <f>IF(A533="","",SUMIFS(Base_Porao_Turno!$H:$H,Base_Porao_Turno!$A:$A,A533,Base_Porao_Turno!$E:$E,B533))</f>
        <v/>
      </c>
      <c r="H533" s="13" t="str">
        <f t="shared" si="26"/>
        <v/>
      </c>
    </row>
    <row r="534" spans="1:8" x14ac:dyDescent="0.3">
      <c r="A534" s="6"/>
      <c r="B534" s="6"/>
      <c r="C534" s="8"/>
      <c r="D534" s="13" t="str">
        <f>IF(A534="","",SUMIFS(Base_Porao_Turno!$K:$K,Base_Porao_Turno!$A:$A,A534,Base_Porao_Turno!$E:$E,B534))</f>
        <v/>
      </c>
      <c r="E534" s="13" t="str">
        <f t="shared" si="24"/>
        <v/>
      </c>
      <c r="F534" s="14" t="str">
        <f t="shared" si="25"/>
        <v/>
      </c>
      <c r="G534" s="13" t="str">
        <f>IF(A534="","",SUMIFS(Base_Porao_Turno!$H:$H,Base_Porao_Turno!$A:$A,A534,Base_Porao_Turno!$E:$E,B534))</f>
        <v/>
      </c>
      <c r="H534" s="13" t="str">
        <f t="shared" si="26"/>
        <v/>
      </c>
    </row>
    <row r="535" spans="1:8" x14ac:dyDescent="0.3">
      <c r="A535" s="6"/>
      <c r="B535" s="6"/>
      <c r="C535" s="8"/>
      <c r="D535" s="13" t="str">
        <f>IF(A535="","",SUMIFS(Base_Porao_Turno!$K:$K,Base_Porao_Turno!$A:$A,A535,Base_Porao_Turno!$E:$E,B535))</f>
        <v/>
      </c>
      <c r="E535" s="13" t="str">
        <f t="shared" si="24"/>
        <v/>
      </c>
      <c r="F535" s="14" t="str">
        <f t="shared" si="25"/>
        <v/>
      </c>
      <c r="G535" s="13" t="str">
        <f>IF(A535="","",SUMIFS(Base_Porao_Turno!$H:$H,Base_Porao_Turno!$A:$A,A535,Base_Porao_Turno!$E:$E,B535))</f>
        <v/>
      </c>
      <c r="H535" s="13" t="str">
        <f t="shared" si="26"/>
        <v/>
      </c>
    </row>
    <row r="536" spans="1:8" x14ac:dyDescent="0.3">
      <c r="A536" s="6"/>
      <c r="B536" s="6"/>
      <c r="C536" s="8"/>
      <c r="D536" s="13" t="str">
        <f>IF(A536="","",SUMIFS(Base_Porao_Turno!$K:$K,Base_Porao_Turno!$A:$A,A536,Base_Porao_Turno!$E:$E,B536))</f>
        <v/>
      </c>
      <c r="E536" s="13" t="str">
        <f t="shared" si="24"/>
        <v/>
      </c>
      <c r="F536" s="14" t="str">
        <f t="shared" si="25"/>
        <v/>
      </c>
      <c r="G536" s="13" t="str">
        <f>IF(A536="","",SUMIFS(Base_Porao_Turno!$H:$H,Base_Porao_Turno!$A:$A,A536,Base_Porao_Turno!$E:$E,B536))</f>
        <v/>
      </c>
      <c r="H536" s="13" t="str">
        <f t="shared" si="26"/>
        <v/>
      </c>
    </row>
    <row r="537" spans="1:8" x14ac:dyDescent="0.3">
      <c r="A537" s="6"/>
      <c r="B537" s="6"/>
      <c r="C537" s="8"/>
      <c r="D537" s="13" t="str">
        <f>IF(A537="","",SUMIFS(Base_Porao_Turno!$K:$K,Base_Porao_Turno!$A:$A,A537,Base_Porao_Turno!$E:$E,B537))</f>
        <v/>
      </c>
      <c r="E537" s="13" t="str">
        <f t="shared" si="24"/>
        <v/>
      </c>
      <c r="F537" s="14" t="str">
        <f t="shared" si="25"/>
        <v/>
      </c>
      <c r="G537" s="13" t="str">
        <f>IF(A537="","",SUMIFS(Base_Porao_Turno!$H:$H,Base_Porao_Turno!$A:$A,A537,Base_Porao_Turno!$E:$E,B537))</f>
        <v/>
      </c>
      <c r="H537" s="13" t="str">
        <f t="shared" si="26"/>
        <v/>
      </c>
    </row>
    <row r="538" spans="1:8" x14ac:dyDescent="0.3">
      <c r="A538" s="6"/>
      <c r="B538" s="6"/>
      <c r="C538" s="8"/>
      <c r="D538" s="13" t="str">
        <f>IF(A538="","",SUMIFS(Base_Porao_Turno!$K:$K,Base_Porao_Turno!$A:$A,A538,Base_Porao_Turno!$E:$E,B538))</f>
        <v/>
      </c>
      <c r="E538" s="13" t="str">
        <f t="shared" si="24"/>
        <v/>
      </c>
      <c r="F538" s="14" t="str">
        <f t="shared" si="25"/>
        <v/>
      </c>
      <c r="G538" s="13" t="str">
        <f>IF(A538="","",SUMIFS(Base_Porao_Turno!$H:$H,Base_Porao_Turno!$A:$A,A538,Base_Porao_Turno!$E:$E,B538))</f>
        <v/>
      </c>
      <c r="H538" s="13" t="str">
        <f t="shared" si="26"/>
        <v/>
      </c>
    </row>
    <row r="539" spans="1:8" x14ac:dyDescent="0.3">
      <c r="A539" s="6"/>
      <c r="B539" s="6"/>
      <c r="C539" s="8"/>
      <c r="D539" s="13" t="str">
        <f>IF(A539="","",SUMIFS(Base_Porao_Turno!$K:$K,Base_Porao_Turno!$A:$A,A539,Base_Porao_Turno!$E:$E,B539))</f>
        <v/>
      </c>
      <c r="E539" s="13" t="str">
        <f t="shared" si="24"/>
        <v/>
      </c>
      <c r="F539" s="14" t="str">
        <f t="shared" si="25"/>
        <v/>
      </c>
      <c r="G539" s="13" t="str">
        <f>IF(A539="","",SUMIFS(Base_Porao_Turno!$H:$H,Base_Porao_Turno!$A:$A,A539,Base_Porao_Turno!$E:$E,B539))</f>
        <v/>
      </c>
      <c r="H539" s="13" t="str">
        <f t="shared" si="26"/>
        <v/>
      </c>
    </row>
    <row r="540" spans="1:8" x14ac:dyDescent="0.3">
      <c r="A540" s="6"/>
      <c r="B540" s="6"/>
      <c r="C540" s="8"/>
      <c r="D540" s="13" t="str">
        <f>IF(A540="","",SUMIFS(Base_Porao_Turno!$K:$K,Base_Porao_Turno!$A:$A,A540,Base_Porao_Turno!$E:$E,B540))</f>
        <v/>
      </c>
      <c r="E540" s="13" t="str">
        <f t="shared" si="24"/>
        <v/>
      </c>
      <c r="F540" s="14" t="str">
        <f t="shared" si="25"/>
        <v/>
      </c>
      <c r="G540" s="13" t="str">
        <f>IF(A540="","",SUMIFS(Base_Porao_Turno!$H:$H,Base_Porao_Turno!$A:$A,A540,Base_Porao_Turno!$E:$E,B540))</f>
        <v/>
      </c>
      <c r="H540" s="13" t="str">
        <f t="shared" si="26"/>
        <v/>
      </c>
    </row>
    <row r="541" spans="1:8" x14ac:dyDescent="0.3">
      <c r="A541" s="6"/>
      <c r="B541" s="6"/>
      <c r="C541" s="8"/>
      <c r="D541" s="13" t="str">
        <f>IF(A541="","",SUMIFS(Base_Porao_Turno!$K:$K,Base_Porao_Turno!$A:$A,A541,Base_Porao_Turno!$E:$E,B541))</f>
        <v/>
      </c>
      <c r="E541" s="13" t="str">
        <f t="shared" si="24"/>
        <v/>
      </c>
      <c r="F541" s="14" t="str">
        <f t="shared" si="25"/>
        <v/>
      </c>
      <c r="G541" s="13" t="str">
        <f>IF(A541="","",SUMIFS(Base_Porao_Turno!$H:$H,Base_Porao_Turno!$A:$A,A541,Base_Porao_Turno!$E:$E,B541))</f>
        <v/>
      </c>
      <c r="H541" s="13" t="str">
        <f t="shared" si="26"/>
        <v/>
      </c>
    </row>
    <row r="542" spans="1:8" x14ac:dyDescent="0.3">
      <c r="A542" s="6"/>
      <c r="B542" s="6"/>
      <c r="C542" s="8"/>
      <c r="D542" s="13" t="str">
        <f>IF(A542="","",SUMIFS(Base_Porao_Turno!$K:$K,Base_Porao_Turno!$A:$A,A542,Base_Porao_Turno!$E:$E,B542))</f>
        <v/>
      </c>
      <c r="E542" s="13" t="str">
        <f t="shared" si="24"/>
        <v/>
      </c>
      <c r="F542" s="14" t="str">
        <f t="shared" si="25"/>
        <v/>
      </c>
      <c r="G542" s="13" t="str">
        <f>IF(A542="","",SUMIFS(Base_Porao_Turno!$H:$H,Base_Porao_Turno!$A:$A,A542,Base_Porao_Turno!$E:$E,B542))</f>
        <v/>
      </c>
      <c r="H542" s="13" t="str">
        <f t="shared" si="26"/>
        <v/>
      </c>
    </row>
    <row r="543" spans="1:8" x14ac:dyDescent="0.3">
      <c r="A543" s="6"/>
      <c r="B543" s="6"/>
      <c r="C543" s="8"/>
      <c r="D543" s="13" t="str">
        <f>IF(A543="","",SUMIFS(Base_Porao_Turno!$K:$K,Base_Porao_Turno!$A:$A,A543,Base_Porao_Turno!$E:$E,B543))</f>
        <v/>
      </c>
      <c r="E543" s="13" t="str">
        <f t="shared" si="24"/>
        <v/>
      </c>
      <c r="F543" s="14" t="str">
        <f t="shared" si="25"/>
        <v/>
      </c>
      <c r="G543" s="13" t="str">
        <f>IF(A543="","",SUMIFS(Base_Porao_Turno!$H:$H,Base_Porao_Turno!$A:$A,A543,Base_Porao_Turno!$E:$E,B543))</f>
        <v/>
      </c>
      <c r="H543" s="13" t="str">
        <f t="shared" si="26"/>
        <v/>
      </c>
    </row>
    <row r="544" spans="1:8" x14ac:dyDescent="0.3">
      <c r="A544" s="6"/>
      <c r="B544" s="6"/>
      <c r="C544" s="8"/>
      <c r="D544" s="13" t="str">
        <f>IF(A544="","",SUMIFS(Base_Porao_Turno!$K:$K,Base_Porao_Turno!$A:$A,A544,Base_Porao_Turno!$E:$E,B544))</f>
        <v/>
      </c>
      <c r="E544" s="13" t="str">
        <f t="shared" si="24"/>
        <v/>
      </c>
      <c r="F544" s="14" t="str">
        <f t="shared" si="25"/>
        <v/>
      </c>
      <c r="G544" s="13" t="str">
        <f>IF(A544="","",SUMIFS(Base_Porao_Turno!$H:$H,Base_Porao_Turno!$A:$A,A544,Base_Porao_Turno!$E:$E,B544))</f>
        <v/>
      </c>
      <c r="H544" s="13" t="str">
        <f t="shared" si="26"/>
        <v/>
      </c>
    </row>
    <row r="545" spans="1:8" x14ac:dyDescent="0.3">
      <c r="A545" s="6"/>
      <c r="B545" s="6"/>
      <c r="C545" s="8"/>
      <c r="D545" s="13" t="str">
        <f>IF(A545="","",SUMIFS(Base_Porao_Turno!$K:$K,Base_Porao_Turno!$A:$A,A545,Base_Porao_Turno!$E:$E,B545))</f>
        <v/>
      </c>
      <c r="E545" s="13" t="str">
        <f t="shared" si="24"/>
        <v/>
      </c>
      <c r="F545" s="14" t="str">
        <f t="shared" si="25"/>
        <v/>
      </c>
      <c r="G545" s="13" t="str">
        <f>IF(A545="","",SUMIFS(Base_Porao_Turno!$H:$H,Base_Porao_Turno!$A:$A,A545,Base_Porao_Turno!$E:$E,B545))</f>
        <v/>
      </c>
      <c r="H545" s="13" t="str">
        <f t="shared" si="26"/>
        <v/>
      </c>
    </row>
    <row r="546" spans="1:8" x14ac:dyDescent="0.3">
      <c r="A546" s="6"/>
      <c r="B546" s="6"/>
      <c r="C546" s="8"/>
      <c r="D546" s="13" t="str">
        <f>IF(A546="","",SUMIFS(Base_Porao_Turno!$K:$K,Base_Porao_Turno!$A:$A,A546,Base_Porao_Turno!$E:$E,B546))</f>
        <v/>
      </c>
      <c r="E546" s="13" t="str">
        <f t="shared" si="24"/>
        <v/>
      </c>
      <c r="F546" s="14" t="str">
        <f t="shared" si="25"/>
        <v/>
      </c>
      <c r="G546" s="13" t="str">
        <f>IF(A546="","",SUMIFS(Base_Porao_Turno!$H:$H,Base_Porao_Turno!$A:$A,A546,Base_Porao_Turno!$E:$E,B546))</f>
        <v/>
      </c>
      <c r="H546" s="13" t="str">
        <f t="shared" si="26"/>
        <v/>
      </c>
    </row>
    <row r="547" spans="1:8" x14ac:dyDescent="0.3">
      <c r="A547" s="6"/>
      <c r="B547" s="6"/>
      <c r="C547" s="8"/>
      <c r="D547" s="13" t="str">
        <f>IF(A547="","",SUMIFS(Base_Porao_Turno!$K:$K,Base_Porao_Turno!$A:$A,A547,Base_Porao_Turno!$E:$E,B547))</f>
        <v/>
      </c>
      <c r="E547" s="13" t="str">
        <f t="shared" si="24"/>
        <v/>
      </c>
      <c r="F547" s="14" t="str">
        <f t="shared" si="25"/>
        <v/>
      </c>
      <c r="G547" s="13" t="str">
        <f>IF(A547="","",SUMIFS(Base_Porao_Turno!$H:$H,Base_Porao_Turno!$A:$A,A547,Base_Porao_Turno!$E:$E,B547))</f>
        <v/>
      </c>
      <c r="H547" s="13" t="str">
        <f t="shared" si="26"/>
        <v/>
      </c>
    </row>
    <row r="548" spans="1:8" x14ac:dyDescent="0.3">
      <c r="A548" s="6"/>
      <c r="B548" s="6"/>
      <c r="C548" s="8"/>
      <c r="D548" s="13" t="str">
        <f>IF(A548="","",SUMIFS(Base_Porao_Turno!$K:$K,Base_Porao_Turno!$A:$A,A548,Base_Porao_Turno!$E:$E,B548))</f>
        <v/>
      </c>
      <c r="E548" s="13" t="str">
        <f t="shared" si="24"/>
        <v/>
      </c>
      <c r="F548" s="14" t="str">
        <f t="shared" si="25"/>
        <v/>
      </c>
      <c r="G548" s="13" t="str">
        <f>IF(A548="","",SUMIFS(Base_Porao_Turno!$H:$H,Base_Porao_Turno!$A:$A,A548,Base_Porao_Turno!$E:$E,B548))</f>
        <v/>
      </c>
      <c r="H548" s="13" t="str">
        <f t="shared" si="26"/>
        <v/>
      </c>
    </row>
    <row r="549" spans="1:8" x14ac:dyDescent="0.3">
      <c r="A549" s="6"/>
      <c r="B549" s="6"/>
      <c r="C549" s="8"/>
      <c r="D549" s="13" t="str">
        <f>IF(A549="","",SUMIFS(Base_Porao_Turno!$K:$K,Base_Porao_Turno!$A:$A,A549,Base_Porao_Turno!$E:$E,B549))</f>
        <v/>
      </c>
      <c r="E549" s="13" t="str">
        <f t="shared" si="24"/>
        <v/>
      </c>
      <c r="F549" s="14" t="str">
        <f t="shared" si="25"/>
        <v/>
      </c>
      <c r="G549" s="13" t="str">
        <f>IF(A549="","",SUMIFS(Base_Porao_Turno!$H:$H,Base_Porao_Turno!$A:$A,A549,Base_Porao_Turno!$E:$E,B549))</f>
        <v/>
      </c>
      <c r="H549" s="13" t="str">
        <f t="shared" si="26"/>
        <v/>
      </c>
    </row>
    <row r="550" spans="1:8" x14ac:dyDescent="0.3">
      <c r="A550" s="6"/>
      <c r="B550" s="6"/>
      <c r="C550" s="8"/>
      <c r="D550" s="13" t="str">
        <f>IF(A550="","",SUMIFS(Base_Porao_Turno!$K:$K,Base_Porao_Turno!$A:$A,A550,Base_Porao_Turno!$E:$E,B550))</f>
        <v/>
      </c>
      <c r="E550" s="13" t="str">
        <f t="shared" si="24"/>
        <v/>
      </c>
      <c r="F550" s="14" t="str">
        <f t="shared" si="25"/>
        <v/>
      </c>
      <c r="G550" s="13" t="str">
        <f>IF(A550="","",SUMIFS(Base_Porao_Turno!$H:$H,Base_Porao_Turno!$A:$A,A550,Base_Porao_Turno!$E:$E,B550))</f>
        <v/>
      </c>
      <c r="H550" s="13" t="str">
        <f t="shared" si="26"/>
        <v/>
      </c>
    </row>
    <row r="551" spans="1:8" x14ac:dyDescent="0.3">
      <c r="A551" s="6"/>
      <c r="B551" s="6"/>
      <c r="C551" s="8"/>
      <c r="D551" s="13" t="str">
        <f>IF(A551="","",SUMIFS(Base_Porao_Turno!$K:$K,Base_Porao_Turno!$A:$A,A551,Base_Porao_Turno!$E:$E,B551))</f>
        <v/>
      </c>
      <c r="E551" s="13" t="str">
        <f t="shared" si="24"/>
        <v/>
      </c>
      <c r="F551" s="14" t="str">
        <f t="shared" si="25"/>
        <v/>
      </c>
      <c r="G551" s="13" t="str">
        <f>IF(A551="","",SUMIFS(Base_Porao_Turno!$H:$H,Base_Porao_Turno!$A:$A,A551,Base_Porao_Turno!$E:$E,B551))</f>
        <v/>
      </c>
      <c r="H551" s="13" t="str">
        <f t="shared" si="26"/>
        <v/>
      </c>
    </row>
    <row r="552" spans="1:8" x14ac:dyDescent="0.3">
      <c r="A552" s="6"/>
      <c r="B552" s="6"/>
      <c r="C552" s="8"/>
      <c r="D552" s="13" t="str">
        <f>IF(A552="","",SUMIFS(Base_Porao_Turno!$K:$K,Base_Porao_Turno!$A:$A,A552,Base_Porao_Turno!$E:$E,B552))</f>
        <v/>
      </c>
      <c r="E552" s="13" t="str">
        <f t="shared" si="24"/>
        <v/>
      </c>
      <c r="F552" s="14" t="str">
        <f t="shared" si="25"/>
        <v/>
      </c>
      <c r="G552" s="13" t="str">
        <f>IF(A552="","",SUMIFS(Base_Porao_Turno!$H:$H,Base_Porao_Turno!$A:$A,A552,Base_Porao_Turno!$E:$E,B552))</f>
        <v/>
      </c>
      <c r="H552" s="13" t="str">
        <f t="shared" si="26"/>
        <v/>
      </c>
    </row>
    <row r="553" spans="1:8" x14ac:dyDescent="0.3">
      <c r="A553" s="6"/>
      <c r="B553" s="6"/>
      <c r="C553" s="8"/>
      <c r="D553" s="13" t="str">
        <f>IF(A553="","",SUMIFS(Base_Porao_Turno!$K:$K,Base_Porao_Turno!$A:$A,A553,Base_Porao_Turno!$E:$E,B553))</f>
        <v/>
      </c>
      <c r="E553" s="13" t="str">
        <f t="shared" si="24"/>
        <v/>
      </c>
      <c r="F553" s="14" t="str">
        <f t="shared" si="25"/>
        <v/>
      </c>
      <c r="G553" s="13" t="str">
        <f>IF(A553="","",SUMIFS(Base_Porao_Turno!$H:$H,Base_Porao_Turno!$A:$A,A553,Base_Porao_Turno!$E:$E,B553))</f>
        <v/>
      </c>
      <c r="H553" s="13" t="str">
        <f t="shared" si="26"/>
        <v/>
      </c>
    </row>
    <row r="554" spans="1:8" x14ac:dyDescent="0.3">
      <c r="A554" s="6"/>
      <c r="B554" s="6"/>
      <c r="C554" s="8"/>
      <c r="D554" s="13" t="str">
        <f>IF(A554="","",SUMIFS(Base_Porao_Turno!$K:$K,Base_Porao_Turno!$A:$A,A554,Base_Porao_Turno!$E:$E,B554))</f>
        <v/>
      </c>
      <c r="E554" s="13" t="str">
        <f t="shared" si="24"/>
        <v/>
      </c>
      <c r="F554" s="14" t="str">
        <f t="shared" si="25"/>
        <v/>
      </c>
      <c r="G554" s="13" t="str">
        <f>IF(A554="","",SUMIFS(Base_Porao_Turno!$H:$H,Base_Porao_Turno!$A:$A,A554,Base_Porao_Turno!$E:$E,B554))</f>
        <v/>
      </c>
      <c r="H554" s="13" t="str">
        <f t="shared" si="26"/>
        <v/>
      </c>
    </row>
    <row r="555" spans="1:8" x14ac:dyDescent="0.3">
      <c r="A555" s="6"/>
      <c r="B555" s="6"/>
      <c r="C555" s="8"/>
      <c r="D555" s="13" t="str">
        <f>IF(A555="","",SUMIFS(Base_Porao_Turno!$K:$K,Base_Porao_Turno!$A:$A,A555,Base_Porao_Turno!$E:$E,B555))</f>
        <v/>
      </c>
      <c r="E555" s="13" t="str">
        <f t="shared" si="24"/>
        <v/>
      </c>
      <c r="F555" s="14" t="str">
        <f t="shared" si="25"/>
        <v/>
      </c>
      <c r="G555" s="13" t="str">
        <f>IF(A555="","",SUMIFS(Base_Porao_Turno!$H:$H,Base_Porao_Turno!$A:$A,A555,Base_Porao_Turno!$E:$E,B555))</f>
        <v/>
      </c>
      <c r="H555" s="13" t="str">
        <f t="shared" si="26"/>
        <v/>
      </c>
    </row>
    <row r="556" spans="1:8" x14ac:dyDescent="0.3">
      <c r="A556" s="6"/>
      <c r="B556" s="6"/>
      <c r="C556" s="8"/>
      <c r="D556" s="13" t="str">
        <f>IF(A556="","",SUMIFS(Base_Porao_Turno!$K:$K,Base_Porao_Turno!$A:$A,A556,Base_Porao_Turno!$E:$E,B556))</f>
        <v/>
      </c>
      <c r="E556" s="13" t="str">
        <f t="shared" si="24"/>
        <v/>
      </c>
      <c r="F556" s="14" t="str">
        <f t="shared" si="25"/>
        <v/>
      </c>
      <c r="G556" s="13" t="str">
        <f>IF(A556="","",SUMIFS(Base_Porao_Turno!$H:$H,Base_Porao_Turno!$A:$A,A556,Base_Porao_Turno!$E:$E,B556))</f>
        <v/>
      </c>
      <c r="H556" s="13" t="str">
        <f t="shared" si="26"/>
        <v/>
      </c>
    </row>
    <row r="557" spans="1:8" x14ac:dyDescent="0.3">
      <c r="A557" s="6"/>
      <c r="B557" s="6"/>
      <c r="C557" s="8"/>
      <c r="D557" s="13" t="str">
        <f>IF(A557="","",SUMIFS(Base_Porao_Turno!$K:$K,Base_Porao_Turno!$A:$A,A557,Base_Porao_Turno!$E:$E,B557))</f>
        <v/>
      </c>
      <c r="E557" s="13" t="str">
        <f t="shared" si="24"/>
        <v/>
      </c>
      <c r="F557" s="14" t="str">
        <f t="shared" si="25"/>
        <v/>
      </c>
      <c r="G557" s="13" t="str">
        <f>IF(A557="","",SUMIFS(Base_Porao_Turno!$H:$H,Base_Porao_Turno!$A:$A,A557,Base_Porao_Turno!$E:$E,B557))</f>
        <v/>
      </c>
      <c r="H557" s="13" t="str">
        <f t="shared" si="26"/>
        <v/>
      </c>
    </row>
    <row r="558" spans="1:8" x14ac:dyDescent="0.3">
      <c r="A558" s="6"/>
      <c r="B558" s="6"/>
      <c r="C558" s="8"/>
      <c r="D558" s="13" t="str">
        <f>IF(A558="","",SUMIFS(Base_Porao_Turno!$K:$K,Base_Porao_Turno!$A:$A,A558,Base_Porao_Turno!$E:$E,B558))</f>
        <v/>
      </c>
      <c r="E558" s="13" t="str">
        <f t="shared" si="24"/>
        <v/>
      </c>
      <c r="F558" s="14" t="str">
        <f t="shared" si="25"/>
        <v/>
      </c>
      <c r="G558" s="13" t="str">
        <f>IF(A558="","",SUMIFS(Base_Porao_Turno!$H:$H,Base_Porao_Turno!$A:$A,A558,Base_Porao_Turno!$E:$E,B558))</f>
        <v/>
      </c>
      <c r="H558" s="13" t="str">
        <f t="shared" si="26"/>
        <v/>
      </c>
    </row>
    <row r="559" spans="1:8" x14ac:dyDescent="0.3">
      <c r="A559" s="6"/>
      <c r="B559" s="6"/>
      <c r="C559" s="8"/>
      <c r="D559" s="13" t="str">
        <f>IF(A559="","",SUMIFS(Base_Porao_Turno!$K:$K,Base_Porao_Turno!$A:$A,A559,Base_Porao_Turno!$E:$E,B559))</f>
        <v/>
      </c>
      <c r="E559" s="13" t="str">
        <f t="shared" si="24"/>
        <v/>
      </c>
      <c r="F559" s="14" t="str">
        <f t="shared" si="25"/>
        <v/>
      </c>
      <c r="G559" s="13" t="str">
        <f>IF(A559="","",SUMIFS(Base_Porao_Turno!$H:$H,Base_Porao_Turno!$A:$A,A559,Base_Porao_Turno!$E:$E,B559))</f>
        <v/>
      </c>
      <c r="H559" s="13" t="str">
        <f t="shared" si="26"/>
        <v/>
      </c>
    </row>
    <row r="560" spans="1:8" x14ac:dyDescent="0.3">
      <c r="A560" s="6"/>
      <c r="B560" s="6"/>
      <c r="C560" s="8"/>
      <c r="D560" s="13" t="str">
        <f>IF(A560="","",SUMIFS(Base_Porao_Turno!$K:$K,Base_Porao_Turno!$A:$A,A560,Base_Porao_Turno!$E:$E,B560))</f>
        <v/>
      </c>
      <c r="E560" s="13" t="str">
        <f t="shared" si="24"/>
        <v/>
      </c>
      <c r="F560" s="14" t="str">
        <f t="shared" si="25"/>
        <v/>
      </c>
      <c r="G560" s="13" t="str">
        <f>IF(A560="","",SUMIFS(Base_Porao_Turno!$H:$H,Base_Porao_Turno!$A:$A,A560,Base_Porao_Turno!$E:$E,B560))</f>
        <v/>
      </c>
      <c r="H560" s="13" t="str">
        <f t="shared" si="26"/>
        <v/>
      </c>
    </row>
    <row r="561" spans="1:8" x14ac:dyDescent="0.3">
      <c r="A561" s="6"/>
      <c r="B561" s="6"/>
      <c r="C561" s="8"/>
      <c r="D561" s="13" t="str">
        <f>IF(A561="","",SUMIFS(Base_Porao_Turno!$K:$K,Base_Porao_Turno!$A:$A,A561,Base_Porao_Turno!$E:$E,B561))</f>
        <v/>
      </c>
      <c r="E561" s="13" t="str">
        <f t="shared" si="24"/>
        <v/>
      </c>
      <c r="F561" s="14" t="str">
        <f t="shared" si="25"/>
        <v/>
      </c>
      <c r="G561" s="13" t="str">
        <f>IF(A561="","",SUMIFS(Base_Porao_Turno!$H:$H,Base_Porao_Turno!$A:$A,A561,Base_Porao_Turno!$E:$E,B561))</f>
        <v/>
      </c>
      <c r="H561" s="13" t="str">
        <f t="shared" si="26"/>
        <v/>
      </c>
    </row>
    <row r="562" spans="1:8" x14ac:dyDescent="0.3">
      <c r="A562" s="6"/>
      <c r="B562" s="6"/>
      <c r="C562" s="8"/>
      <c r="D562" s="13" t="str">
        <f>IF(A562="","",SUMIFS(Base_Porao_Turno!$K:$K,Base_Porao_Turno!$A:$A,A562,Base_Porao_Turno!$E:$E,B562))</f>
        <v/>
      </c>
      <c r="E562" s="13" t="str">
        <f t="shared" si="24"/>
        <v/>
      </c>
      <c r="F562" s="14" t="str">
        <f t="shared" si="25"/>
        <v/>
      </c>
      <c r="G562" s="13" t="str">
        <f>IF(A562="","",SUMIFS(Base_Porao_Turno!$H:$H,Base_Porao_Turno!$A:$A,A562,Base_Porao_Turno!$E:$E,B562))</f>
        <v/>
      </c>
      <c r="H562" s="13" t="str">
        <f t="shared" si="26"/>
        <v/>
      </c>
    </row>
    <row r="563" spans="1:8" x14ac:dyDescent="0.3">
      <c r="A563" s="6"/>
      <c r="B563" s="6"/>
      <c r="C563" s="8"/>
      <c r="D563" s="13" t="str">
        <f>IF(A563="","",SUMIFS(Base_Porao_Turno!$K:$K,Base_Porao_Turno!$A:$A,A563,Base_Porao_Turno!$E:$E,B563))</f>
        <v/>
      </c>
      <c r="E563" s="13" t="str">
        <f t="shared" si="24"/>
        <v/>
      </c>
      <c r="F563" s="14" t="str">
        <f t="shared" si="25"/>
        <v/>
      </c>
      <c r="G563" s="13" t="str">
        <f>IF(A563="","",SUMIFS(Base_Porao_Turno!$H:$H,Base_Porao_Turno!$A:$A,A563,Base_Porao_Turno!$E:$E,B563))</f>
        <v/>
      </c>
      <c r="H563" s="13" t="str">
        <f t="shared" si="26"/>
        <v/>
      </c>
    </row>
    <row r="564" spans="1:8" x14ac:dyDescent="0.3">
      <c r="A564" s="6"/>
      <c r="B564" s="6"/>
      <c r="C564" s="8"/>
      <c r="D564" s="13" t="str">
        <f>IF(A564="","",SUMIFS(Base_Porao_Turno!$K:$K,Base_Porao_Turno!$A:$A,A564,Base_Porao_Turno!$E:$E,B564))</f>
        <v/>
      </c>
      <c r="E564" s="13" t="str">
        <f t="shared" si="24"/>
        <v/>
      </c>
      <c r="F564" s="14" t="str">
        <f t="shared" si="25"/>
        <v/>
      </c>
      <c r="G564" s="13" t="str">
        <f>IF(A564="","",SUMIFS(Base_Porao_Turno!$H:$H,Base_Porao_Turno!$A:$A,A564,Base_Porao_Turno!$E:$E,B564))</f>
        <v/>
      </c>
      <c r="H564" s="13" t="str">
        <f t="shared" si="26"/>
        <v/>
      </c>
    </row>
    <row r="565" spans="1:8" x14ac:dyDescent="0.3">
      <c r="A565" s="6"/>
      <c r="B565" s="6"/>
      <c r="C565" s="8"/>
      <c r="D565" s="13" t="str">
        <f>IF(A565="","",SUMIFS(Base_Porao_Turno!$K:$K,Base_Porao_Turno!$A:$A,A565,Base_Porao_Turno!$E:$E,B565))</f>
        <v/>
      </c>
      <c r="E565" s="13" t="str">
        <f t="shared" si="24"/>
        <v/>
      </c>
      <c r="F565" s="14" t="str">
        <f t="shared" si="25"/>
        <v/>
      </c>
      <c r="G565" s="13" t="str">
        <f>IF(A565="","",SUMIFS(Base_Porao_Turno!$H:$H,Base_Porao_Turno!$A:$A,A565,Base_Porao_Turno!$E:$E,B565))</f>
        <v/>
      </c>
      <c r="H565" s="13" t="str">
        <f t="shared" si="26"/>
        <v/>
      </c>
    </row>
    <row r="566" spans="1:8" x14ac:dyDescent="0.3">
      <c r="A566" s="6"/>
      <c r="B566" s="6"/>
      <c r="C566" s="8"/>
      <c r="D566" s="13" t="str">
        <f>IF(A566="","",SUMIFS(Base_Porao_Turno!$K:$K,Base_Porao_Turno!$A:$A,A566,Base_Porao_Turno!$E:$E,B566))</f>
        <v/>
      </c>
      <c r="E566" s="13" t="str">
        <f t="shared" si="24"/>
        <v/>
      </c>
      <c r="F566" s="14" t="str">
        <f t="shared" si="25"/>
        <v/>
      </c>
      <c r="G566" s="13" t="str">
        <f>IF(A566="","",SUMIFS(Base_Porao_Turno!$H:$H,Base_Porao_Turno!$A:$A,A566,Base_Porao_Turno!$E:$E,B566))</f>
        <v/>
      </c>
      <c r="H566" s="13" t="str">
        <f t="shared" si="26"/>
        <v/>
      </c>
    </row>
    <row r="567" spans="1:8" x14ac:dyDescent="0.3">
      <c r="A567" s="6"/>
      <c r="B567" s="6"/>
      <c r="C567" s="8"/>
      <c r="D567" s="13" t="str">
        <f>IF(A567="","",SUMIFS(Base_Porao_Turno!$K:$K,Base_Porao_Turno!$A:$A,A567,Base_Porao_Turno!$E:$E,B567))</f>
        <v/>
      </c>
      <c r="E567" s="13" t="str">
        <f t="shared" si="24"/>
        <v/>
      </c>
      <c r="F567" s="14" t="str">
        <f t="shared" si="25"/>
        <v/>
      </c>
      <c r="G567" s="13" t="str">
        <f>IF(A567="","",SUMIFS(Base_Porao_Turno!$H:$H,Base_Porao_Turno!$A:$A,A567,Base_Porao_Turno!$E:$E,B567))</f>
        <v/>
      </c>
      <c r="H567" s="13" t="str">
        <f t="shared" si="26"/>
        <v/>
      </c>
    </row>
    <row r="568" spans="1:8" x14ac:dyDescent="0.3">
      <c r="A568" s="6"/>
      <c r="B568" s="6"/>
      <c r="C568" s="8"/>
      <c r="D568" s="13" t="str">
        <f>IF(A568="","",SUMIFS(Base_Porao_Turno!$K:$K,Base_Porao_Turno!$A:$A,A568,Base_Porao_Turno!$E:$E,B568))</f>
        <v/>
      </c>
      <c r="E568" s="13" t="str">
        <f t="shared" si="24"/>
        <v/>
      </c>
      <c r="F568" s="14" t="str">
        <f t="shared" si="25"/>
        <v/>
      </c>
      <c r="G568" s="13" t="str">
        <f>IF(A568="","",SUMIFS(Base_Porao_Turno!$H:$H,Base_Porao_Turno!$A:$A,A568,Base_Porao_Turno!$E:$E,B568))</f>
        <v/>
      </c>
      <c r="H568" s="13" t="str">
        <f t="shared" si="26"/>
        <v/>
      </c>
    </row>
    <row r="569" spans="1:8" x14ac:dyDescent="0.3">
      <c r="A569" s="6"/>
      <c r="B569" s="6"/>
      <c r="C569" s="8"/>
      <c r="D569" s="13" t="str">
        <f>IF(A569="","",SUMIFS(Base_Porao_Turno!$K:$K,Base_Porao_Turno!$A:$A,A569,Base_Porao_Turno!$E:$E,B569))</f>
        <v/>
      </c>
      <c r="E569" s="13" t="str">
        <f t="shared" si="24"/>
        <v/>
      </c>
      <c r="F569" s="14" t="str">
        <f t="shared" si="25"/>
        <v/>
      </c>
      <c r="G569" s="13" t="str">
        <f>IF(A569="","",SUMIFS(Base_Porao_Turno!$H:$H,Base_Porao_Turno!$A:$A,A569,Base_Porao_Turno!$E:$E,B569))</f>
        <v/>
      </c>
      <c r="H569" s="13" t="str">
        <f t="shared" si="26"/>
        <v/>
      </c>
    </row>
    <row r="570" spans="1:8" x14ac:dyDescent="0.3">
      <c r="A570" s="6"/>
      <c r="B570" s="6"/>
      <c r="C570" s="8"/>
      <c r="D570" s="13" t="str">
        <f>IF(A570="","",SUMIFS(Base_Porao_Turno!$K:$K,Base_Porao_Turno!$A:$A,A570,Base_Porao_Turno!$E:$E,B570))</f>
        <v/>
      </c>
      <c r="E570" s="13" t="str">
        <f t="shared" si="24"/>
        <v/>
      </c>
      <c r="F570" s="14" t="str">
        <f t="shared" si="25"/>
        <v/>
      </c>
      <c r="G570" s="13" t="str">
        <f>IF(A570="","",SUMIFS(Base_Porao_Turno!$H:$H,Base_Porao_Turno!$A:$A,A570,Base_Porao_Turno!$E:$E,B570))</f>
        <v/>
      </c>
      <c r="H570" s="13" t="str">
        <f t="shared" si="26"/>
        <v/>
      </c>
    </row>
    <row r="571" spans="1:8" x14ac:dyDescent="0.3">
      <c r="A571" s="6"/>
      <c r="B571" s="6"/>
      <c r="C571" s="8"/>
      <c r="D571" s="13" t="str">
        <f>IF(A571="","",SUMIFS(Base_Porao_Turno!$K:$K,Base_Porao_Turno!$A:$A,A571,Base_Porao_Turno!$E:$E,B571))</f>
        <v/>
      </c>
      <c r="E571" s="13" t="str">
        <f t="shared" si="24"/>
        <v/>
      </c>
      <c r="F571" s="14" t="str">
        <f t="shared" si="25"/>
        <v/>
      </c>
      <c r="G571" s="13" t="str">
        <f>IF(A571="","",SUMIFS(Base_Porao_Turno!$H:$H,Base_Porao_Turno!$A:$A,A571,Base_Porao_Turno!$E:$E,B571))</f>
        <v/>
      </c>
      <c r="H571" s="13" t="str">
        <f t="shared" si="26"/>
        <v/>
      </c>
    </row>
    <row r="572" spans="1:8" x14ac:dyDescent="0.3">
      <c r="A572" s="6"/>
      <c r="B572" s="6"/>
      <c r="C572" s="8"/>
      <c r="D572" s="13" t="str">
        <f>IF(A572="","",SUMIFS(Base_Porao_Turno!$K:$K,Base_Porao_Turno!$A:$A,A572,Base_Porao_Turno!$E:$E,B572))</f>
        <v/>
      </c>
      <c r="E572" s="13" t="str">
        <f t="shared" si="24"/>
        <v/>
      </c>
      <c r="F572" s="14" t="str">
        <f t="shared" si="25"/>
        <v/>
      </c>
      <c r="G572" s="13" t="str">
        <f>IF(A572="","",SUMIFS(Base_Porao_Turno!$H:$H,Base_Porao_Turno!$A:$A,A572,Base_Porao_Turno!$E:$E,B572))</f>
        <v/>
      </c>
      <c r="H572" s="13" t="str">
        <f t="shared" si="26"/>
        <v/>
      </c>
    </row>
    <row r="573" spans="1:8" x14ac:dyDescent="0.3">
      <c r="A573" s="6"/>
      <c r="B573" s="6"/>
      <c r="C573" s="8"/>
      <c r="D573" s="13" t="str">
        <f>IF(A573="","",SUMIFS(Base_Porao_Turno!$K:$K,Base_Porao_Turno!$A:$A,A573,Base_Porao_Turno!$E:$E,B573))</f>
        <v/>
      </c>
      <c r="E573" s="13" t="str">
        <f t="shared" si="24"/>
        <v/>
      </c>
      <c r="F573" s="14" t="str">
        <f t="shared" si="25"/>
        <v/>
      </c>
      <c r="G573" s="13" t="str">
        <f>IF(A573="","",SUMIFS(Base_Porao_Turno!$H:$H,Base_Porao_Turno!$A:$A,A573,Base_Porao_Turno!$E:$E,B573))</f>
        <v/>
      </c>
      <c r="H573" s="13" t="str">
        <f t="shared" si="26"/>
        <v/>
      </c>
    </row>
    <row r="574" spans="1:8" x14ac:dyDescent="0.3">
      <c r="A574" s="6"/>
      <c r="B574" s="6"/>
      <c r="C574" s="8"/>
      <c r="D574" s="13" t="str">
        <f>IF(A574="","",SUMIFS(Base_Porao_Turno!$K:$K,Base_Porao_Turno!$A:$A,A574,Base_Porao_Turno!$E:$E,B574))</f>
        <v/>
      </c>
      <c r="E574" s="13" t="str">
        <f t="shared" si="24"/>
        <v/>
      </c>
      <c r="F574" s="14" t="str">
        <f t="shared" si="25"/>
        <v/>
      </c>
      <c r="G574" s="13" t="str">
        <f>IF(A574="","",SUMIFS(Base_Porao_Turno!$H:$H,Base_Porao_Turno!$A:$A,A574,Base_Porao_Turno!$E:$E,B574))</f>
        <v/>
      </c>
      <c r="H574" s="13" t="str">
        <f t="shared" si="26"/>
        <v/>
      </c>
    </row>
    <row r="575" spans="1:8" x14ac:dyDescent="0.3">
      <c r="A575" s="6"/>
      <c r="B575" s="6"/>
      <c r="C575" s="8"/>
      <c r="D575" s="13" t="str">
        <f>IF(A575="","",SUMIFS(Base_Porao_Turno!$K:$K,Base_Porao_Turno!$A:$A,A575,Base_Porao_Turno!$E:$E,B575))</f>
        <v/>
      </c>
      <c r="E575" s="13" t="str">
        <f t="shared" si="24"/>
        <v/>
      </c>
      <c r="F575" s="14" t="str">
        <f t="shared" si="25"/>
        <v/>
      </c>
      <c r="G575" s="13" t="str">
        <f>IF(A575="","",SUMIFS(Base_Porao_Turno!$H:$H,Base_Porao_Turno!$A:$A,A575,Base_Porao_Turno!$E:$E,B575))</f>
        <v/>
      </c>
      <c r="H575" s="13" t="str">
        <f t="shared" si="26"/>
        <v/>
      </c>
    </row>
    <row r="576" spans="1:8" x14ac:dyDescent="0.3">
      <c r="A576" s="6"/>
      <c r="B576" s="6"/>
      <c r="C576" s="8"/>
      <c r="D576" s="13" t="str">
        <f>IF(A576="","",SUMIFS(Base_Porao_Turno!$K:$K,Base_Porao_Turno!$A:$A,A576,Base_Porao_Turno!$E:$E,B576))</f>
        <v/>
      </c>
      <c r="E576" s="13" t="str">
        <f t="shared" si="24"/>
        <v/>
      </c>
      <c r="F576" s="14" t="str">
        <f t="shared" si="25"/>
        <v/>
      </c>
      <c r="G576" s="13" t="str">
        <f>IF(A576="","",SUMIFS(Base_Porao_Turno!$H:$H,Base_Porao_Turno!$A:$A,A576,Base_Porao_Turno!$E:$E,B576))</f>
        <v/>
      </c>
      <c r="H576" s="13" t="str">
        <f t="shared" si="26"/>
        <v/>
      </c>
    </row>
    <row r="577" spans="1:8" x14ac:dyDescent="0.3">
      <c r="A577" s="6"/>
      <c r="B577" s="6"/>
      <c r="C577" s="8"/>
      <c r="D577" s="13" t="str">
        <f>IF(A577="","",SUMIFS(Base_Porao_Turno!$K:$K,Base_Porao_Turno!$A:$A,A577,Base_Porao_Turno!$E:$E,B577))</f>
        <v/>
      </c>
      <c r="E577" s="13" t="str">
        <f t="shared" si="24"/>
        <v/>
      </c>
      <c r="F577" s="14" t="str">
        <f t="shared" si="25"/>
        <v/>
      </c>
      <c r="G577" s="13" t="str">
        <f>IF(A577="","",SUMIFS(Base_Porao_Turno!$H:$H,Base_Porao_Turno!$A:$A,A577,Base_Porao_Turno!$E:$E,B577))</f>
        <v/>
      </c>
      <c r="H577" s="13" t="str">
        <f t="shared" si="26"/>
        <v/>
      </c>
    </row>
    <row r="578" spans="1:8" x14ac:dyDescent="0.3">
      <c r="A578" s="6"/>
      <c r="B578" s="6"/>
      <c r="C578" s="8"/>
      <c r="D578" s="13" t="str">
        <f>IF(A578="","",SUMIFS(Base_Porao_Turno!$K:$K,Base_Porao_Turno!$A:$A,A578,Base_Porao_Turno!$E:$E,B578))</f>
        <v/>
      </c>
      <c r="E578" s="13" t="str">
        <f t="shared" ref="E578:E601" si="27">IF(OR(C578="",D578=""),"",C578-D578)</f>
        <v/>
      </c>
      <c r="F578" s="14" t="str">
        <f t="shared" ref="F578:F601" si="28">IFERROR(D578/C578,"")</f>
        <v/>
      </c>
      <c r="G578" s="13" t="str">
        <f>IF(A578="","",SUMIFS(Base_Porao_Turno!$H:$H,Base_Porao_Turno!$A:$A,A578,Base_Porao_Turno!$E:$E,B578))</f>
        <v/>
      </c>
      <c r="H578" s="13" t="str">
        <f t="shared" ref="H578:H601" si="29">IFERROR(D578/G578,"")</f>
        <v/>
      </c>
    </row>
    <row r="579" spans="1:8" x14ac:dyDescent="0.3">
      <c r="A579" s="6"/>
      <c r="B579" s="6"/>
      <c r="C579" s="8"/>
      <c r="D579" s="13" t="str">
        <f>IF(A579="","",SUMIFS(Base_Porao_Turno!$K:$K,Base_Porao_Turno!$A:$A,A579,Base_Porao_Turno!$E:$E,B579))</f>
        <v/>
      </c>
      <c r="E579" s="13" t="str">
        <f t="shared" si="27"/>
        <v/>
      </c>
      <c r="F579" s="14" t="str">
        <f t="shared" si="28"/>
        <v/>
      </c>
      <c r="G579" s="13" t="str">
        <f>IF(A579="","",SUMIFS(Base_Porao_Turno!$H:$H,Base_Porao_Turno!$A:$A,A579,Base_Porao_Turno!$E:$E,B579))</f>
        <v/>
      </c>
      <c r="H579" s="13" t="str">
        <f t="shared" si="29"/>
        <v/>
      </c>
    </row>
    <row r="580" spans="1:8" x14ac:dyDescent="0.3">
      <c r="A580" s="6"/>
      <c r="B580" s="6"/>
      <c r="C580" s="8"/>
      <c r="D580" s="13" t="str">
        <f>IF(A580="","",SUMIFS(Base_Porao_Turno!$K:$K,Base_Porao_Turno!$A:$A,A580,Base_Porao_Turno!$E:$E,B580))</f>
        <v/>
      </c>
      <c r="E580" s="13" t="str">
        <f t="shared" si="27"/>
        <v/>
      </c>
      <c r="F580" s="14" t="str">
        <f t="shared" si="28"/>
        <v/>
      </c>
      <c r="G580" s="13" t="str">
        <f>IF(A580="","",SUMIFS(Base_Porao_Turno!$H:$H,Base_Porao_Turno!$A:$A,A580,Base_Porao_Turno!$E:$E,B580))</f>
        <v/>
      </c>
      <c r="H580" s="13" t="str">
        <f t="shared" si="29"/>
        <v/>
      </c>
    </row>
    <row r="581" spans="1:8" x14ac:dyDescent="0.3">
      <c r="A581" s="6"/>
      <c r="B581" s="6"/>
      <c r="C581" s="8"/>
      <c r="D581" s="13" t="str">
        <f>IF(A581="","",SUMIFS(Base_Porao_Turno!$K:$K,Base_Porao_Turno!$A:$A,A581,Base_Porao_Turno!$E:$E,B581))</f>
        <v/>
      </c>
      <c r="E581" s="13" t="str">
        <f t="shared" si="27"/>
        <v/>
      </c>
      <c r="F581" s="14" t="str">
        <f t="shared" si="28"/>
        <v/>
      </c>
      <c r="G581" s="13" t="str">
        <f>IF(A581="","",SUMIFS(Base_Porao_Turno!$H:$H,Base_Porao_Turno!$A:$A,A581,Base_Porao_Turno!$E:$E,B581))</f>
        <v/>
      </c>
      <c r="H581" s="13" t="str">
        <f t="shared" si="29"/>
        <v/>
      </c>
    </row>
    <row r="582" spans="1:8" x14ac:dyDescent="0.3">
      <c r="A582" s="6"/>
      <c r="B582" s="6"/>
      <c r="C582" s="8"/>
      <c r="D582" s="13" t="str">
        <f>IF(A582="","",SUMIFS(Base_Porao_Turno!$K:$K,Base_Porao_Turno!$A:$A,A582,Base_Porao_Turno!$E:$E,B582))</f>
        <v/>
      </c>
      <c r="E582" s="13" t="str">
        <f t="shared" si="27"/>
        <v/>
      </c>
      <c r="F582" s="14" t="str">
        <f t="shared" si="28"/>
        <v/>
      </c>
      <c r="G582" s="13" t="str">
        <f>IF(A582="","",SUMIFS(Base_Porao_Turno!$H:$H,Base_Porao_Turno!$A:$A,A582,Base_Porao_Turno!$E:$E,B582))</f>
        <v/>
      </c>
      <c r="H582" s="13" t="str">
        <f t="shared" si="29"/>
        <v/>
      </c>
    </row>
    <row r="583" spans="1:8" x14ac:dyDescent="0.3">
      <c r="A583" s="6"/>
      <c r="B583" s="6"/>
      <c r="C583" s="8"/>
      <c r="D583" s="13" t="str">
        <f>IF(A583="","",SUMIFS(Base_Porao_Turno!$K:$K,Base_Porao_Turno!$A:$A,A583,Base_Porao_Turno!$E:$E,B583))</f>
        <v/>
      </c>
      <c r="E583" s="13" t="str">
        <f t="shared" si="27"/>
        <v/>
      </c>
      <c r="F583" s="14" t="str">
        <f t="shared" si="28"/>
        <v/>
      </c>
      <c r="G583" s="13" t="str">
        <f>IF(A583="","",SUMIFS(Base_Porao_Turno!$H:$H,Base_Porao_Turno!$A:$A,A583,Base_Porao_Turno!$E:$E,B583))</f>
        <v/>
      </c>
      <c r="H583" s="13" t="str">
        <f t="shared" si="29"/>
        <v/>
      </c>
    </row>
    <row r="584" spans="1:8" x14ac:dyDescent="0.3">
      <c r="A584" s="6"/>
      <c r="B584" s="6"/>
      <c r="C584" s="8"/>
      <c r="D584" s="13" t="str">
        <f>IF(A584="","",SUMIFS(Base_Porao_Turno!$K:$K,Base_Porao_Turno!$A:$A,A584,Base_Porao_Turno!$E:$E,B584))</f>
        <v/>
      </c>
      <c r="E584" s="13" t="str">
        <f t="shared" si="27"/>
        <v/>
      </c>
      <c r="F584" s="14" t="str">
        <f t="shared" si="28"/>
        <v/>
      </c>
      <c r="G584" s="13" t="str">
        <f>IF(A584="","",SUMIFS(Base_Porao_Turno!$H:$H,Base_Porao_Turno!$A:$A,A584,Base_Porao_Turno!$E:$E,B584))</f>
        <v/>
      </c>
      <c r="H584" s="13" t="str">
        <f t="shared" si="29"/>
        <v/>
      </c>
    </row>
    <row r="585" spans="1:8" x14ac:dyDescent="0.3">
      <c r="A585" s="6"/>
      <c r="B585" s="6"/>
      <c r="C585" s="8"/>
      <c r="D585" s="13" t="str">
        <f>IF(A585="","",SUMIFS(Base_Porao_Turno!$K:$K,Base_Porao_Turno!$A:$A,A585,Base_Porao_Turno!$E:$E,B585))</f>
        <v/>
      </c>
      <c r="E585" s="13" t="str">
        <f t="shared" si="27"/>
        <v/>
      </c>
      <c r="F585" s="14" t="str">
        <f t="shared" si="28"/>
        <v/>
      </c>
      <c r="G585" s="13" t="str">
        <f>IF(A585="","",SUMIFS(Base_Porao_Turno!$H:$H,Base_Porao_Turno!$A:$A,A585,Base_Porao_Turno!$E:$E,B585))</f>
        <v/>
      </c>
      <c r="H585" s="13" t="str">
        <f t="shared" si="29"/>
        <v/>
      </c>
    </row>
    <row r="586" spans="1:8" x14ac:dyDescent="0.3">
      <c r="A586" s="6"/>
      <c r="B586" s="6"/>
      <c r="C586" s="8"/>
      <c r="D586" s="13" t="str">
        <f>IF(A586="","",SUMIFS(Base_Porao_Turno!$K:$K,Base_Porao_Turno!$A:$A,A586,Base_Porao_Turno!$E:$E,B586))</f>
        <v/>
      </c>
      <c r="E586" s="13" t="str">
        <f t="shared" si="27"/>
        <v/>
      </c>
      <c r="F586" s="14" t="str">
        <f t="shared" si="28"/>
        <v/>
      </c>
      <c r="G586" s="13" t="str">
        <f>IF(A586="","",SUMIFS(Base_Porao_Turno!$H:$H,Base_Porao_Turno!$A:$A,A586,Base_Porao_Turno!$E:$E,B586))</f>
        <v/>
      </c>
      <c r="H586" s="13" t="str">
        <f t="shared" si="29"/>
        <v/>
      </c>
    </row>
    <row r="587" spans="1:8" x14ac:dyDescent="0.3">
      <c r="A587" s="6"/>
      <c r="B587" s="6"/>
      <c r="C587" s="8"/>
      <c r="D587" s="13" t="str">
        <f>IF(A587="","",SUMIFS(Base_Porao_Turno!$K:$K,Base_Porao_Turno!$A:$A,A587,Base_Porao_Turno!$E:$E,B587))</f>
        <v/>
      </c>
      <c r="E587" s="13" t="str">
        <f t="shared" si="27"/>
        <v/>
      </c>
      <c r="F587" s="14" t="str">
        <f t="shared" si="28"/>
        <v/>
      </c>
      <c r="G587" s="13" t="str">
        <f>IF(A587="","",SUMIFS(Base_Porao_Turno!$H:$H,Base_Porao_Turno!$A:$A,A587,Base_Porao_Turno!$E:$E,B587))</f>
        <v/>
      </c>
      <c r="H587" s="13" t="str">
        <f t="shared" si="29"/>
        <v/>
      </c>
    </row>
    <row r="588" spans="1:8" x14ac:dyDescent="0.3">
      <c r="A588" s="6"/>
      <c r="B588" s="6"/>
      <c r="C588" s="8"/>
      <c r="D588" s="13" t="str">
        <f>IF(A588="","",SUMIFS(Base_Porao_Turno!$K:$K,Base_Porao_Turno!$A:$A,A588,Base_Porao_Turno!$E:$E,B588))</f>
        <v/>
      </c>
      <c r="E588" s="13" t="str">
        <f t="shared" si="27"/>
        <v/>
      </c>
      <c r="F588" s="14" t="str">
        <f t="shared" si="28"/>
        <v/>
      </c>
      <c r="G588" s="13" t="str">
        <f>IF(A588="","",SUMIFS(Base_Porao_Turno!$H:$H,Base_Porao_Turno!$A:$A,A588,Base_Porao_Turno!$E:$E,B588))</f>
        <v/>
      </c>
      <c r="H588" s="13" t="str">
        <f t="shared" si="29"/>
        <v/>
      </c>
    </row>
    <row r="589" spans="1:8" x14ac:dyDescent="0.3">
      <c r="A589" s="6"/>
      <c r="B589" s="6"/>
      <c r="C589" s="8"/>
      <c r="D589" s="13" t="str">
        <f>IF(A589="","",SUMIFS(Base_Porao_Turno!$K:$K,Base_Porao_Turno!$A:$A,A589,Base_Porao_Turno!$E:$E,B589))</f>
        <v/>
      </c>
      <c r="E589" s="13" t="str">
        <f t="shared" si="27"/>
        <v/>
      </c>
      <c r="F589" s="14" t="str">
        <f t="shared" si="28"/>
        <v/>
      </c>
      <c r="G589" s="13" t="str">
        <f>IF(A589="","",SUMIFS(Base_Porao_Turno!$H:$H,Base_Porao_Turno!$A:$A,A589,Base_Porao_Turno!$E:$E,B589))</f>
        <v/>
      </c>
      <c r="H589" s="13" t="str">
        <f t="shared" si="29"/>
        <v/>
      </c>
    </row>
    <row r="590" spans="1:8" x14ac:dyDescent="0.3">
      <c r="A590" s="6"/>
      <c r="B590" s="6"/>
      <c r="C590" s="8"/>
      <c r="D590" s="13" t="str">
        <f>IF(A590="","",SUMIFS(Base_Porao_Turno!$K:$K,Base_Porao_Turno!$A:$A,A590,Base_Porao_Turno!$E:$E,B590))</f>
        <v/>
      </c>
      <c r="E590" s="13" t="str">
        <f t="shared" si="27"/>
        <v/>
      </c>
      <c r="F590" s="14" t="str">
        <f t="shared" si="28"/>
        <v/>
      </c>
      <c r="G590" s="13" t="str">
        <f>IF(A590="","",SUMIFS(Base_Porao_Turno!$H:$H,Base_Porao_Turno!$A:$A,A590,Base_Porao_Turno!$E:$E,B590))</f>
        <v/>
      </c>
      <c r="H590" s="13" t="str">
        <f t="shared" si="29"/>
        <v/>
      </c>
    </row>
    <row r="591" spans="1:8" x14ac:dyDescent="0.3">
      <c r="A591" s="6"/>
      <c r="B591" s="6"/>
      <c r="C591" s="8"/>
      <c r="D591" s="13" t="str">
        <f>IF(A591="","",SUMIFS(Base_Porao_Turno!$K:$K,Base_Porao_Turno!$A:$A,A591,Base_Porao_Turno!$E:$E,B591))</f>
        <v/>
      </c>
      <c r="E591" s="13" t="str">
        <f t="shared" si="27"/>
        <v/>
      </c>
      <c r="F591" s="14" t="str">
        <f t="shared" si="28"/>
        <v/>
      </c>
      <c r="G591" s="13" t="str">
        <f>IF(A591="","",SUMIFS(Base_Porao_Turno!$H:$H,Base_Porao_Turno!$A:$A,A591,Base_Porao_Turno!$E:$E,B591))</f>
        <v/>
      </c>
      <c r="H591" s="13" t="str">
        <f t="shared" si="29"/>
        <v/>
      </c>
    </row>
    <row r="592" spans="1:8" x14ac:dyDescent="0.3">
      <c r="A592" s="6"/>
      <c r="B592" s="6"/>
      <c r="C592" s="8"/>
      <c r="D592" s="13" t="str">
        <f>IF(A592="","",SUMIFS(Base_Porao_Turno!$K:$K,Base_Porao_Turno!$A:$A,A592,Base_Porao_Turno!$E:$E,B592))</f>
        <v/>
      </c>
      <c r="E592" s="13" t="str">
        <f t="shared" si="27"/>
        <v/>
      </c>
      <c r="F592" s="14" t="str">
        <f t="shared" si="28"/>
        <v/>
      </c>
      <c r="G592" s="13" t="str">
        <f>IF(A592="","",SUMIFS(Base_Porao_Turno!$H:$H,Base_Porao_Turno!$A:$A,A592,Base_Porao_Turno!$E:$E,B592))</f>
        <v/>
      </c>
      <c r="H592" s="13" t="str">
        <f t="shared" si="29"/>
        <v/>
      </c>
    </row>
    <row r="593" spans="1:8" x14ac:dyDescent="0.3">
      <c r="A593" s="6"/>
      <c r="B593" s="6"/>
      <c r="C593" s="8"/>
      <c r="D593" s="13" t="str">
        <f>IF(A593="","",SUMIFS(Base_Porao_Turno!$K:$K,Base_Porao_Turno!$A:$A,A593,Base_Porao_Turno!$E:$E,B593))</f>
        <v/>
      </c>
      <c r="E593" s="13" t="str">
        <f t="shared" si="27"/>
        <v/>
      </c>
      <c r="F593" s="14" t="str">
        <f t="shared" si="28"/>
        <v/>
      </c>
      <c r="G593" s="13" t="str">
        <f>IF(A593="","",SUMIFS(Base_Porao_Turno!$H:$H,Base_Porao_Turno!$A:$A,A593,Base_Porao_Turno!$E:$E,B593))</f>
        <v/>
      </c>
      <c r="H593" s="13" t="str">
        <f t="shared" si="29"/>
        <v/>
      </c>
    </row>
    <row r="594" spans="1:8" x14ac:dyDescent="0.3">
      <c r="A594" s="6"/>
      <c r="B594" s="6"/>
      <c r="C594" s="8"/>
      <c r="D594" s="13" t="str">
        <f>IF(A594="","",SUMIFS(Base_Porao_Turno!$K:$K,Base_Porao_Turno!$A:$A,A594,Base_Porao_Turno!$E:$E,B594))</f>
        <v/>
      </c>
      <c r="E594" s="13" t="str">
        <f t="shared" si="27"/>
        <v/>
      </c>
      <c r="F594" s="14" t="str">
        <f t="shared" si="28"/>
        <v/>
      </c>
      <c r="G594" s="13" t="str">
        <f>IF(A594="","",SUMIFS(Base_Porao_Turno!$H:$H,Base_Porao_Turno!$A:$A,A594,Base_Porao_Turno!$E:$E,B594))</f>
        <v/>
      </c>
      <c r="H594" s="13" t="str">
        <f t="shared" si="29"/>
        <v/>
      </c>
    </row>
    <row r="595" spans="1:8" x14ac:dyDescent="0.3">
      <c r="A595" s="6"/>
      <c r="B595" s="6"/>
      <c r="C595" s="8"/>
      <c r="D595" s="13" t="str">
        <f>IF(A595="","",SUMIFS(Base_Porao_Turno!$K:$K,Base_Porao_Turno!$A:$A,A595,Base_Porao_Turno!$E:$E,B595))</f>
        <v/>
      </c>
      <c r="E595" s="13" t="str">
        <f t="shared" si="27"/>
        <v/>
      </c>
      <c r="F595" s="14" t="str">
        <f t="shared" si="28"/>
        <v/>
      </c>
      <c r="G595" s="13" t="str">
        <f>IF(A595="","",SUMIFS(Base_Porao_Turno!$H:$H,Base_Porao_Turno!$A:$A,A595,Base_Porao_Turno!$E:$E,B595))</f>
        <v/>
      </c>
      <c r="H595" s="13" t="str">
        <f t="shared" si="29"/>
        <v/>
      </c>
    </row>
    <row r="596" spans="1:8" x14ac:dyDescent="0.3">
      <c r="A596" s="6"/>
      <c r="B596" s="6"/>
      <c r="C596" s="8"/>
      <c r="D596" s="13" t="str">
        <f>IF(A596="","",SUMIFS(Base_Porao_Turno!$K:$K,Base_Porao_Turno!$A:$A,A596,Base_Porao_Turno!$E:$E,B596))</f>
        <v/>
      </c>
      <c r="E596" s="13" t="str">
        <f t="shared" si="27"/>
        <v/>
      </c>
      <c r="F596" s="14" t="str">
        <f t="shared" si="28"/>
        <v/>
      </c>
      <c r="G596" s="13" t="str">
        <f>IF(A596="","",SUMIFS(Base_Porao_Turno!$H:$H,Base_Porao_Turno!$A:$A,A596,Base_Porao_Turno!$E:$E,B596))</f>
        <v/>
      </c>
      <c r="H596" s="13" t="str">
        <f t="shared" si="29"/>
        <v/>
      </c>
    </row>
    <row r="597" spans="1:8" x14ac:dyDescent="0.3">
      <c r="A597" s="6"/>
      <c r="B597" s="6"/>
      <c r="C597" s="8"/>
      <c r="D597" s="13" t="str">
        <f>IF(A597="","",SUMIFS(Base_Porao_Turno!$K:$K,Base_Porao_Turno!$A:$A,A597,Base_Porao_Turno!$E:$E,B597))</f>
        <v/>
      </c>
      <c r="E597" s="13" t="str">
        <f t="shared" si="27"/>
        <v/>
      </c>
      <c r="F597" s="14" t="str">
        <f t="shared" si="28"/>
        <v/>
      </c>
      <c r="G597" s="13" t="str">
        <f>IF(A597="","",SUMIFS(Base_Porao_Turno!$H:$H,Base_Porao_Turno!$A:$A,A597,Base_Porao_Turno!$E:$E,B597))</f>
        <v/>
      </c>
      <c r="H597" s="13" t="str">
        <f t="shared" si="29"/>
        <v/>
      </c>
    </row>
    <row r="598" spans="1:8" x14ac:dyDescent="0.3">
      <c r="A598" s="6"/>
      <c r="B598" s="6"/>
      <c r="C598" s="8"/>
      <c r="D598" s="13" t="str">
        <f>IF(A598="","",SUMIFS(Base_Porao_Turno!$K:$K,Base_Porao_Turno!$A:$A,A598,Base_Porao_Turno!$E:$E,B598))</f>
        <v/>
      </c>
      <c r="E598" s="13" t="str">
        <f t="shared" si="27"/>
        <v/>
      </c>
      <c r="F598" s="14" t="str">
        <f t="shared" si="28"/>
        <v/>
      </c>
      <c r="G598" s="13" t="str">
        <f>IF(A598="","",SUMIFS(Base_Porao_Turno!$H:$H,Base_Porao_Turno!$A:$A,A598,Base_Porao_Turno!$E:$E,B598))</f>
        <v/>
      </c>
      <c r="H598" s="13" t="str">
        <f t="shared" si="29"/>
        <v/>
      </c>
    </row>
    <row r="599" spans="1:8" x14ac:dyDescent="0.3">
      <c r="A599" s="6"/>
      <c r="B599" s="6"/>
      <c r="C599" s="8"/>
      <c r="D599" s="13" t="str">
        <f>IF(A599="","",SUMIFS(Base_Porao_Turno!$K:$K,Base_Porao_Turno!$A:$A,A599,Base_Porao_Turno!$E:$E,B599))</f>
        <v/>
      </c>
      <c r="E599" s="13" t="str">
        <f t="shared" si="27"/>
        <v/>
      </c>
      <c r="F599" s="14" t="str">
        <f t="shared" si="28"/>
        <v/>
      </c>
      <c r="G599" s="13" t="str">
        <f>IF(A599="","",SUMIFS(Base_Porao_Turno!$H:$H,Base_Porao_Turno!$A:$A,A599,Base_Porao_Turno!$E:$E,B599))</f>
        <v/>
      </c>
      <c r="H599" s="13" t="str">
        <f t="shared" si="29"/>
        <v/>
      </c>
    </row>
    <row r="600" spans="1:8" x14ac:dyDescent="0.3">
      <c r="A600" s="6"/>
      <c r="B600" s="6"/>
      <c r="C600" s="8"/>
      <c r="D600" s="13" t="str">
        <f>IF(A600="","",SUMIFS(Base_Porao_Turno!$K:$K,Base_Porao_Turno!$A:$A,A600,Base_Porao_Turno!$E:$E,B600))</f>
        <v/>
      </c>
      <c r="E600" s="13" t="str">
        <f t="shared" si="27"/>
        <v/>
      </c>
      <c r="F600" s="14" t="str">
        <f t="shared" si="28"/>
        <v/>
      </c>
      <c r="G600" s="13" t="str">
        <f>IF(A600="","",SUMIFS(Base_Porao_Turno!$H:$H,Base_Porao_Turno!$A:$A,A600,Base_Porao_Turno!$E:$E,B600))</f>
        <v/>
      </c>
      <c r="H600" s="13" t="str">
        <f t="shared" si="29"/>
        <v/>
      </c>
    </row>
    <row r="601" spans="1:8" x14ac:dyDescent="0.3">
      <c r="A601" s="6"/>
      <c r="B601" s="6"/>
      <c r="C601" s="8"/>
      <c r="D601" s="13" t="str">
        <f>IF(A601="","",SUMIFS(Base_Porao_Turno!$K:$K,Base_Porao_Turno!$A:$A,A601,Base_Porao_Turno!$E:$E,B601))</f>
        <v/>
      </c>
      <c r="E601" s="13" t="str">
        <f t="shared" si="27"/>
        <v/>
      </c>
      <c r="F601" s="14" t="str">
        <f t="shared" si="28"/>
        <v/>
      </c>
      <c r="G601" s="13" t="str">
        <f>IF(A601="","",SUMIFS(Base_Porao_Turno!$H:$H,Base_Porao_Turno!$A:$A,A601,Base_Porao_Turno!$E:$E,B601))</f>
        <v/>
      </c>
      <c r="H601" s="13" t="str">
        <f t="shared" si="29"/>
        <v/>
      </c>
    </row>
  </sheetData>
  <phoneticPr fontId="9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showGridLines="0" workbookViewId="0">
      <pane ySplit="3" topLeftCell="A4" activePane="bottomLeft" state="frozen"/>
      <selection pane="bottomLeft" activeCell="B11" sqref="B11"/>
    </sheetView>
  </sheetViews>
  <sheetFormatPr defaultRowHeight="14.4" x14ac:dyDescent="0.3"/>
  <cols>
    <col min="1" max="1" width="28" customWidth="1"/>
    <col min="2" max="2" width="18" customWidth="1"/>
    <col min="3" max="4" width="5" customWidth="1"/>
  </cols>
  <sheetData>
    <row r="1" spans="1:4" ht="17.399999999999999" customHeight="1" x14ac:dyDescent="0.3">
      <c r="A1" s="31" t="s">
        <v>109</v>
      </c>
      <c r="B1" s="28"/>
      <c r="C1" s="28"/>
      <c r="D1" s="28"/>
    </row>
    <row r="2" spans="1:4" x14ac:dyDescent="0.3">
      <c r="A2" s="1" t="s">
        <v>110</v>
      </c>
      <c r="B2" t="s">
        <v>221</v>
      </c>
    </row>
    <row r="4" spans="1:4" x14ac:dyDescent="0.3">
      <c r="A4" s="15" t="s">
        <v>72</v>
      </c>
      <c r="B4" s="21">
        <f>Cadastro_Navio!I4</f>
        <v>46237</v>
      </c>
    </row>
    <row r="5" spans="1:4" x14ac:dyDescent="0.3">
      <c r="A5" s="15" t="s">
        <v>73</v>
      </c>
      <c r="B5" s="21">
        <f>Cadastro_Navio!J4</f>
        <v>46242</v>
      </c>
    </row>
    <row r="6" spans="1:4" x14ac:dyDescent="0.3">
      <c r="A6" s="15" t="s">
        <v>111</v>
      </c>
      <c r="B6" s="22">
        <f>Cadastro_Navio!K4</f>
        <v>44031.65</v>
      </c>
    </row>
    <row r="7" spans="1:4" x14ac:dyDescent="0.3">
      <c r="A7" s="15" t="s">
        <v>112</v>
      </c>
      <c r="B7" s="22">
        <f>SUMIFS(Base_Porao_Turno!$K:$K,Base_Porao_Turno!$A:$A,$B$2)</f>
        <v>6347.77</v>
      </c>
    </row>
    <row r="8" spans="1:4" x14ac:dyDescent="0.3">
      <c r="A8" s="15" t="s">
        <v>8</v>
      </c>
      <c r="B8" s="22">
        <f>SUMIFS(Base_Porao_Turno!$I:$I,Base_Porao_Turno!$A:$A,$B$2)</f>
        <v>6347.77</v>
      </c>
    </row>
    <row r="9" spans="1:4" x14ac:dyDescent="0.3">
      <c r="A9" s="15" t="s">
        <v>9</v>
      </c>
      <c r="B9" s="22">
        <f>SUMIFS(Base_Porao_Turno!$J:$J,Base_Porao_Turno!$A:$A,$B$2)</f>
        <v>0</v>
      </c>
    </row>
    <row r="10" spans="1:4" x14ac:dyDescent="0.3">
      <c r="A10" s="15" t="s">
        <v>113</v>
      </c>
      <c r="B10" s="22">
        <f>SUMIFS(Base_Porao_Turno!$H:$H,Base_Porao_Turno!$A:$A,$B$2)</f>
        <v>16.833333333333332</v>
      </c>
    </row>
    <row r="11" spans="1:4" x14ac:dyDescent="0.3">
      <c r="A11" s="15" t="s">
        <v>114</v>
      </c>
      <c r="B11" s="22">
        <f>SUMIFS(Base_Porao_Turno!$G:$G,Base_Porao_Turno!$A:$A,$B$2)</f>
        <v>1.1666666666666685</v>
      </c>
    </row>
    <row r="12" spans="1:4" x14ac:dyDescent="0.3">
      <c r="A12" s="15" t="s">
        <v>115</v>
      </c>
      <c r="B12" s="22">
        <f>SUMIFS(Base_Porao_Turno!$F:$F,Base_Porao_Turno!$A:$A,$B$2)</f>
        <v>18</v>
      </c>
    </row>
    <row r="13" spans="1:4" x14ac:dyDescent="0.3">
      <c r="A13" s="15" t="s">
        <v>116</v>
      </c>
      <c r="B13" s="23">
        <f>IFERROR(B11/B12,0)</f>
        <v>6.4814814814814922E-2</v>
      </c>
    </row>
    <row r="14" spans="1:4" x14ac:dyDescent="0.3">
      <c r="A14" s="15" t="s">
        <v>117</v>
      </c>
      <c r="B14" s="23">
        <f>IFERROR(B10/B12,0)</f>
        <v>0.93518518518518512</v>
      </c>
    </row>
    <row r="15" spans="1:4" x14ac:dyDescent="0.3">
      <c r="A15" s="15" t="s">
        <v>108</v>
      </c>
      <c r="B15" s="22">
        <f>IFERROR(B7/B10,0)</f>
        <v>377.09524752475255</v>
      </c>
    </row>
    <row r="16" spans="1:4" x14ac:dyDescent="0.3">
      <c r="A16" s="15" t="s">
        <v>118</v>
      </c>
      <c r="B16" s="22">
        <f>IFERROR(B7/(B12/24),0)</f>
        <v>8463.6933333333345</v>
      </c>
    </row>
    <row r="17" spans="1:2" x14ac:dyDescent="0.3">
      <c r="A17" s="15" t="s">
        <v>119</v>
      </c>
      <c r="B17" s="22">
        <f>IFERROR(AVERAGEIFS(Poroes_Resumo!$G:$G,Poroes_Resumo!$A:$A,$B$2,Poroes_Resumo!$D:$D,"&gt;0"),0)</f>
        <v>16.833333333333332</v>
      </c>
    </row>
    <row r="18" spans="1:2" x14ac:dyDescent="0.3">
      <c r="A18" s="15" t="s">
        <v>120</v>
      </c>
      <c r="B18" s="22">
        <f>COUNTIFS(Poroes_Resumo!$A:$A,$B$2,Poroes_Resumo!$D:$D,"&gt;0")</f>
        <v>1</v>
      </c>
    </row>
    <row r="19" spans="1:2" x14ac:dyDescent="0.3">
      <c r="A19" s="15" t="s">
        <v>121</v>
      </c>
      <c r="B19" s="23">
        <f>IFERROR(B7/B6,0)</f>
        <v>0.14416380035724302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22.6640625" bestFit="1" customWidth="1"/>
    <col min="2" max="2" width="66.6640625" bestFit="1" customWidth="1"/>
    <col min="3" max="3" width="30" customWidth="1"/>
    <col min="4" max="4" width="28" customWidth="1"/>
    <col min="5" max="5" width="38" customWidth="1"/>
  </cols>
  <sheetData>
    <row r="1" spans="1:5" ht="24" customHeight="1" x14ac:dyDescent="0.3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</row>
    <row r="2" spans="1:5" x14ac:dyDescent="0.3">
      <c r="A2" s="16" t="s">
        <v>112</v>
      </c>
      <c r="B2" s="16" t="s">
        <v>127</v>
      </c>
      <c r="C2" s="16" t="s">
        <v>128</v>
      </c>
      <c r="D2" s="16" t="s">
        <v>129</v>
      </c>
      <c r="E2" s="16" t="s">
        <v>130</v>
      </c>
    </row>
    <row r="3" spans="1:5" x14ac:dyDescent="0.3">
      <c r="A3" s="16" t="s">
        <v>108</v>
      </c>
      <c r="B3" s="16" t="s">
        <v>131</v>
      </c>
      <c r="C3" s="16" t="s">
        <v>132</v>
      </c>
      <c r="D3" s="16" t="s">
        <v>133</v>
      </c>
      <c r="E3" s="16" t="s">
        <v>134</v>
      </c>
    </row>
    <row r="4" spans="1:5" x14ac:dyDescent="0.3">
      <c r="A4" s="16" t="s">
        <v>118</v>
      </c>
      <c r="B4" s="16" t="s">
        <v>135</v>
      </c>
      <c r="C4" s="16" t="s">
        <v>136</v>
      </c>
      <c r="D4" s="16" t="s">
        <v>137</v>
      </c>
      <c r="E4" s="16" t="s">
        <v>138</v>
      </c>
    </row>
    <row r="5" spans="1:5" x14ac:dyDescent="0.3">
      <c r="A5" s="16" t="s">
        <v>119</v>
      </c>
      <c r="B5" s="16" t="s">
        <v>139</v>
      </c>
      <c r="C5" s="16" t="s">
        <v>140</v>
      </c>
      <c r="D5" s="16" t="s">
        <v>141</v>
      </c>
      <c r="E5" s="16" t="s">
        <v>142</v>
      </c>
    </row>
    <row r="6" spans="1:5" x14ac:dyDescent="0.3">
      <c r="A6" s="16" t="s">
        <v>114</v>
      </c>
      <c r="B6" s="16" t="s">
        <v>143</v>
      </c>
      <c r="C6" s="16" t="s">
        <v>144</v>
      </c>
      <c r="D6" s="16" t="s">
        <v>145</v>
      </c>
      <c r="E6" s="16" t="s">
        <v>146</v>
      </c>
    </row>
    <row r="7" spans="1:5" x14ac:dyDescent="0.3">
      <c r="A7" s="16" t="s">
        <v>116</v>
      </c>
      <c r="B7" s="16" t="s">
        <v>147</v>
      </c>
      <c r="C7" s="16" t="s">
        <v>148</v>
      </c>
      <c r="D7" s="16" t="s">
        <v>149</v>
      </c>
      <c r="E7" s="16" t="s">
        <v>150</v>
      </c>
    </row>
    <row r="8" spans="1:5" x14ac:dyDescent="0.3">
      <c r="A8" s="16" t="s">
        <v>117</v>
      </c>
      <c r="B8" s="16" t="s">
        <v>151</v>
      </c>
      <c r="C8" s="16" t="s">
        <v>148</v>
      </c>
      <c r="D8" s="16" t="s">
        <v>152</v>
      </c>
      <c r="E8" s="16" t="s">
        <v>153</v>
      </c>
    </row>
    <row r="9" spans="1:5" x14ac:dyDescent="0.3">
      <c r="A9" s="16" t="s">
        <v>121</v>
      </c>
      <c r="B9" s="16" t="s">
        <v>154</v>
      </c>
      <c r="C9" s="16" t="s">
        <v>155</v>
      </c>
      <c r="D9" s="16" t="s">
        <v>156</v>
      </c>
      <c r="E9" s="16" t="s">
        <v>157</v>
      </c>
    </row>
    <row r="10" spans="1:5" x14ac:dyDescent="0.3">
      <c r="A10" s="16" t="s">
        <v>158</v>
      </c>
      <c r="B10" s="16" t="s">
        <v>159</v>
      </c>
      <c r="C10" s="16" t="s">
        <v>160</v>
      </c>
      <c r="D10" s="16" t="s">
        <v>161</v>
      </c>
      <c r="E10" s="16" t="s">
        <v>162</v>
      </c>
    </row>
    <row r="11" spans="1:5" x14ac:dyDescent="0.3">
      <c r="A11" s="16" t="s">
        <v>163</v>
      </c>
      <c r="B11" s="16" t="s">
        <v>164</v>
      </c>
      <c r="C11" s="16" t="s">
        <v>165</v>
      </c>
      <c r="D11" s="16" t="s">
        <v>166</v>
      </c>
      <c r="E11" s="16" t="s">
        <v>167</v>
      </c>
    </row>
    <row r="12" spans="1:5" x14ac:dyDescent="0.3">
      <c r="A12" s="16"/>
      <c r="B12" s="16"/>
      <c r="C12" s="16"/>
      <c r="D12" s="16"/>
      <c r="E12" s="16"/>
    </row>
    <row r="13" spans="1:5" x14ac:dyDescent="0.3">
      <c r="A13" s="16"/>
      <c r="B13" s="16"/>
      <c r="C13" s="16"/>
      <c r="D13" s="16"/>
      <c r="E13" s="16"/>
    </row>
    <row r="14" spans="1:5" x14ac:dyDescent="0.3">
      <c r="A14" s="16"/>
      <c r="B14" s="16"/>
      <c r="C14" s="16"/>
      <c r="D14" s="16"/>
      <c r="E14" s="16"/>
    </row>
    <row r="15" spans="1:5" x14ac:dyDescent="0.3">
      <c r="A15" s="16"/>
      <c r="B15" s="16"/>
      <c r="C15" s="16"/>
      <c r="D15" s="16"/>
      <c r="E15" s="16"/>
    </row>
    <row r="16" spans="1:5" x14ac:dyDescent="0.3">
      <c r="A16" s="16"/>
      <c r="B16" s="16"/>
      <c r="C16" s="16"/>
      <c r="D16" s="16"/>
      <c r="E16" s="16"/>
    </row>
    <row r="17" spans="1:5" x14ac:dyDescent="0.3">
      <c r="A17" s="16"/>
      <c r="B17" s="16"/>
      <c r="C17" s="16"/>
      <c r="D17" s="16"/>
      <c r="E17" s="16"/>
    </row>
    <row r="18" spans="1:5" x14ac:dyDescent="0.3">
      <c r="A18" s="16"/>
      <c r="B18" s="16"/>
      <c r="C18" s="16"/>
      <c r="D18" s="16"/>
      <c r="E18" s="16"/>
    </row>
    <row r="19" spans="1:5" x14ac:dyDescent="0.3">
      <c r="A19" s="16"/>
      <c r="B19" s="16"/>
      <c r="C19" s="16"/>
      <c r="D19" s="16"/>
      <c r="E19" s="16"/>
    </row>
    <row r="20" spans="1:5" x14ac:dyDescent="0.3">
      <c r="A20" s="16"/>
      <c r="B20" s="16"/>
      <c r="C20" s="16"/>
      <c r="D20" s="16"/>
      <c r="E20" s="1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showGridLines="0" workbookViewId="0">
      <selection activeCell="E3" sqref="E3"/>
    </sheetView>
  </sheetViews>
  <sheetFormatPr defaultRowHeight="14.4" x14ac:dyDescent="0.3"/>
  <cols>
    <col min="1" max="2" width="12" customWidth="1"/>
    <col min="3" max="3" width="14" customWidth="1"/>
    <col min="4" max="4" width="12" customWidth="1"/>
    <col min="5" max="5" width="18" customWidth="1"/>
    <col min="6" max="6" width="3" customWidth="1"/>
    <col min="7" max="7" width="20" customWidth="1"/>
    <col min="8" max="8" width="16" customWidth="1"/>
    <col min="9" max="9" width="18" customWidth="1"/>
    <col min="10" max="10" width="16" customWidth="1"/>
    <col min="11" max="11" width="3.5546875" customWidth="1"/>
    <col min="12" max="12" width="3" customWidth="1"/>
  </cols>
  <sheetData>
    <row r="1" spans="1:12" ht="17.399999999999999" customHeight="1" x14ac:dyDescent="0.3">
      <c r="A1" s="31" t="s">
        <v>168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x14ac:dyDescent="0.3">
      <c r="A3" s="1" t="s">
        <v>169</v>
      </c>
      <c r="B3" s="17" t="str">
        <f>KPI_Resumo!B2</f>
        <v>OP-003</v>
      </c>
      <c r="D3" s="1" t="s">
        <v>66</v>
      </c>
      <c r="E3" s="17" t="str">
        <f>IFERROR(INDEX(Cadastro_Navio!$B$2:$B$198,MATCH($B$3,Cadastro_Navio!$A$2:$A$198,0)),"")</f>
        <v>IC Phoenix</v>
      </c>
      <c r="G3" s="1" t="s">
        <v>52</v>
      </c>
      <c r="H3" s="17" t="str">
        <f>IFERROR(INDEX(Cadastro_Navio!$E$2:$E$198,MATCH($B$3,Cadastro_Navio!$A$2:$A$198,0)),"")</f>
        <v>Imbituba</v>
      </c>
    </row>
    <row r="5" spans="1:12" x14ac:dyDescent="0.3">
      <c r="A5" s="30" t="s">
        <v>112</v>
      </c>
      <c r="B5" s="28"/>
      <c r="D5" s="30" t="s">
        <v>108</v>
      </c>
      <c r="E5" s="28"/>
      <c r="G5" s="30" t="s">
        <v>118</v>
      </c>
      <c r="H5" s="28"/>
      <c r="J5" s="30" t="s">
        <v>117</v>
      </c>
      <c r="K5" s="28"/>
    </row>
    <row r="6" spans="1:12" ht="24" customHeight="1" x14ac:dyDescent="0.3">
      <c r="A6" s="27">
        <f>KPI_Resumo!B7</f>
        <v>6347.77</v>
      </c>
      <c r="B6" s="28"/>
      <c r="D6" s="27">
        <f>KPI_Resumo!B15</f>
        <v>377.09524752475255</v>
      </c>
      <c r="E6" s="28"/>
      <c r="G6" s="27">
        <f>KPI_Resumo!B16</f>
        <v>8463.6933333333345</v>
      </c>
      <c r="H6" s="28"/>
      <c r="J6" s="29">
        <f>KPI_Resumo!B14</f>
        <v>0.93518518518518512</v>
      </c>
      <c r="K6" s="28"/>
    </row>
    <row r="7" spans="1:12" x14ac:dyDescent="0.3">
      <c r="A7" s="28"/>
      <c r="B7" s="28"/>
      <c r="D7" s="28"/>
      <c r="E7" s="28"/>
      <c r="G7" s="28"/>
      <c r="H7" s="28"/>
      <c r="J7" s="28"/>
      <c r="K7" s="28"/>
    </row>
    <row r="9" spans="1:12" x14ac:dyDescent="0.3">
      <c r="A9" s="30" t="s">
        <v>114</v>
      </c>
      <c r="B9" s="28"/>
      <c r="D9" s="30" t="s">
        <v>116</v>
      </c>
      <c r="E9" s="28"/>
      <c r="G9" s="30" t="s">
        <v>119</v>
      </c>
      <c r="H9" s="28"/>
      <c r="J9" s="30" t="s">
        <v>170</v>
      </c>
      <c r="K9" s="28"/>
    </row>
    <row r="10" spans="1:12" ht="24" customHeight="1" x14ac:dyDescent="0.3">
      <c r="A10" s="27">
        <f>KPI_Resumo!B11</f>
        <v>1.1666666666666685</v>
      </c>
      <c r="B10" s="28"/>
      <c r="D10" s="29">
        <f>KPI_Resumo!B13</f>
        <v>6.4814814814814922E-2</v>
      </c>
      <c r="E10" s="28"/>
      <c r="G10" s="27">
        <f>KPI_Resumo!B17</f>
        <v>16.833333333333332</v>
      </c>
      <c r="H10" s="28"/>
      <c r="J10" s="29">
        <f>KPI_Resumo!B19</f>
        <v>0.14416380035724302</v>
      </c>
      <c r="K10" s="28"/>
    </row>
    <row r="11" spans="1:12" x14ac:dyDescent="0.3">
      <c r="A11" s="28"/>
      <c r="B11" s="28"/>
      <c r="D11" s="28"/>
      <c r="E11" s="28"/>
      <c r="G11" s="28"/>
      <c r="H11" s="28"/>
      <c r="J11" s="28"/>
      <c r="K11" s="28"/>
    </row>
    <row r="14" spans="1:12" x14ac:dyDescent="0.3">
      <c r="A14" s="18" t="s">
        <v>4</v>
      </c>
      <c r="B14" s="18" t="s">
        <v>171</v>
      </c>
      <c r="C14" s="18" t="s">
        <v>172</v>
      </c>
      <c r="D14" s="18" t="s">
        <v>173</v>
      </c>
      <c r="E14" s="18" t="s">
        <v>174</v>
      </c>
      <c r="G14" s="18" t="s">
        <v>2</v>
      </c>
      <c r="H14" s="18" t="s">
        <v>175</v>
      </c>
      <c r="I14" s="18" t="s">
        <v>7</v>
      </c>
      <c r="J14" s="18" t="s">
        <v>174</v>
      </c>
    </row>
    <row r="15" spans="1:12" x14ac:dyDescent="0.3">
      <c r="A15" s="19">
        <v>1</v>
      </c>
      <c r="B15" s="19">
        <f>IFERROR(SUMIFS(Poroes_Resumo!$C:$C,Poroes_Resumo!$A:$A,$B$3,Poroes_Resumo!$B:$B,$A15),0)</f>
        <v>10939.98</v>
      </c>
      <c r="C15" s="19">
        <f>IFERROR(SUMIFS(Poroes_Resumo!$D:$D,Poroes_Resumo!$A:$A,$B$3,Poroes_Resumo!$B:$B,$A15),0)</f>
        <v>0</v>
      </c>
      <c r="D15" s="19">
        <f t="shared" ref="D15:D26" si="0">B15-C15</f>
        <v>10939.98</v>
      </c>
      <c r="E15" s="19">
        <f>IFERROR(SUMIFS(Poroes_Resumo!$H:$H,Poroes_Resumo!$A:$A,$B$3,Poroes_Resumo!$B:$B,$A15),0)</f>
        <v>0</v>
      </c>
      <c r="G15" s="19" t="s">
        <v>17</v>
      </c>
      <c r="H15" s="19">
        <f>IFERROR(SUMIFS(Base_Porao_Turno!$K:$K,Base_Porao_Turno!$A:$A,$B$3,Base_Porao_Turno!$C:$C,G15),0)</f>
        <v>2013.59</v>
      </c>
      <c r="I15" s="19">
        <f>IFERROR(SUMIFS(Base_Porao_Turno!$H:$H,Base_Porao_Turno!$A:$A,$B$3,Base_Porao_Turno!$C:$C,G15),0)</f>
        <v>5.166666666666667</v>
      </c>
      <c r="J15" s="19">
        <f>IFERROR(H15/I15,0)</f>
        <v>389.72709677419351</v>
      </c>
    </row>
    <row r="16" spans="1:12" x14ac:dyDescent="0.3">
      <c r="A16" s="19">
        <v>2</v>
      </c>
      <c r="B16" s="19">
        <f>IFERROR(SUMIFS(Poroes_Resumo!$C:$C,Poroes_Resumo!$A:$A,$B$3,Poroes_Resumo!$B:$B,$A16),0)</f>
        <v>11393.14</v>
      </c>
      <c r="C16" s="19">
        <f>IFERROR(SUMIFS(Poroes_Resumo!$D:$D,Poroes_Resumo!$A:$A,$B$3,Poroes_Resumo!$B:$B,$A16),0)</f>
        <v>6347.77</v>
      </c>
      <c r="D16" s="19">
        <f t="shared" si="0"/>
        <v>5045.369999999999</v>
      </c>
      <c r="E16" s="19">
        <f>IFERROR(SUMIFS(Poroes_Resumo!$H:$H,Poroes_Resumo!$A:$A,$B$3,Poroes_Resumo!$B:$B,$A16),0)</f>
        <v>377.09524752475255</v>
      </c>
      <c r="G16" s="19" t="s">
        <v>21</v>
      </c>
      <c r="H16" s="19">
        <f>IFERROR(SUMIFS(Base_Porao_Turno!$K:$K,Base_Porao_Turno!$A:$A,$B$3,Base_Porao_Turno!$C:$C,G16),0)</f>
        <v>0</v>
      </c>
      <c r="I16" s="19">
        <f>IFERROR(SUMIFS(Base_Porao_Turno!$H:$H,Base_Porao_Turno!$A:$A,$B$3,Base_Porao_Turno!$C:$C,G16),0)</f>
        <v>0</v>
      </c>
      <c r="J16" s="19">
        <f>IFERROR(H16/I16,0)</f>
        <v>0</v>
      </c>
    </row>
    <row r="17" spans="1:10" x14ac:dyDescent="0.3">
      <c r="A17" s="19">
        <v>3</v>
      </c>
      <c r="B17" s="19">
        <f>IFERROR(SUMIFS(Poroes_Resumo!$C:$C,Poroes_Resumo!$A:$A,$B$3,Poroes_Resumo!$B:$B,$A17),0)</f>
        <v>0</v>
      </c>
      <c r="C17" s="19">
        <f>IFERROR(SUMIFS(Poroes_Resumo!$D:$D,Poroes_Resumo!$A:$A,$B$3,Poroes_Resumo!$B:$B,$A17),0)</f>
        <v>0</v>
      </c>
      <c r="D17" s="19">
        <f t="shared" si="0"/>
        <v>0</v>
      </c>
      <c r="E17" s="19">
        <f>IFERROR(SUMIFS(Poroes_Resumo!$H:$H,Poroes_Resumo!$A:$A,$B$3,Poroes_Resumo!$B:$B,$A17),0)</f>
        <v>0</v>
      </c>
      <c r="G17" s="19" t="s">
        <v>23</v>
      </c>
      <c r="H17" s="19">
        <f>IFERROR(SUMIFS(Base_Porao_Turno!$K:$K,Base_Porao_Turno!$A:$A,$B$3,Base_Porao_Turno!$C:$C,G17),0)</f>
        <v>2219.11</v>
      </c>
      <c r="I17" s="19">
        <f>IFERROR(SUMIFS(Base_Porao_Turno!$H:$H,Base_Porao_Turno!$A:$A,$B$3,Base_Porao_Turno!$C:$C,G17),0)</f>
        <v>5.8333333333333313</v>
      </c>
      <c r="J17" s="19">
        <f>IFERROR(H17/I17,0)</f>
        <v>380.41885714285729</v>
      </c>
    </row>
    <row r="18" spans="1:10" x14ac:dyDescent="0.3">
      <c r="A18" s="19">
        <v>4</v>
      </c>
      <c r="B18" s="19">
        <f>IFERROR(SUMIFS(Poroes_Resumo!$C:$C,Poroes_Resumo!$A:$A,$B$3,Poroes_Resumo!$B:$B,$A18),0)</f>
        <v>10802.34</v>
      </c>
      <c r="C18" s="19">
        <f>IFERROR(SUMIFS(Poroes_Resumo!$D:$D,Poroes_Resumo!$A:$A,$B$3,Poroes_Resumo!$B:$B,$A18),0)</f>
        <v>0</v>
      </c>
      <c r="D18" s="19">
        <f t="shared" si="0"/>
        <v>10802.34</v>
      </c>
      <c r="E18" s="19">
        <f>IFERROR(SUMIFS(Poroes_Resumo!$H:$H,Poroes_Resumo!$A:$A,$B$3,Poroes_Resumo!$B:$B,$A18),0)</f>
        <v>0</v>
      </c>
      <c r="G18" s="19" t="s">
        <v>25</v>
      </c>
      <c r="H18" s="19">
        <f>IFERROR(SUMIFS(Base_Porao_Turno!$K:$K,Base_Porao_Turno!$A:$A,$B$3,Base_Porao_Turno!$C:$C,G18),0)</f>
        <v>2115.0700000000002</v>
      </c>
      <c r="I18" s="19">
        <f>IFERROR(SUMIFS(Base_Porao_Turno!$H:$H,Base_Porao_Turno!$A:$A,$B$3,Base_Porao_Turno!$C:$C,G18),0)</f>
        <v>5.833333333333333</v>
      </c>
      <c r="J18" s="19">
        <f>IFERROR(H18/I18,0)</f>
        <v>362.58342857142861</v>
      </c>
    </row>
    <row r="19" spans="1:10" x14ac:dyDescent="0.3">
      <c r="A19" s="19">
        <v>5</v>
      </c>
      <c r="B19" s="19">
        <f>IFERROR(SUMIFS(Poroes_Resumo!$C:$C,Poroes_Resumo!$A:$A,$B$3,Poroes_Resumo!$B:$B,$A19),0)</f>
        <v>10896.19</v>
      </c>
      <c r="C19" s="19">
        <f>IFERROR(SUMIFS(Poroes_Resumo!$D:$D,Poroes_Resumo!$A:$A,$B$3,Poroes_Resumo!$B:$B,$A19),0)</f>
        <v>0</v>
      </c>
      <c r="D19" s="19">
        <f t="shared" si="0"/>
        <v>10896.19</v>
      </c>
      <c r="E19" s="19">
        <f>IFERROR(SUMIFS(Poroes_Resumo!$H:$H,Poroes_Resumo!$A:$A,$B$3,Poroes_Resumo!$B:$B,$A19),0)</f>
        <v>0</v>
      </c>
    </row>
    <row r="20" spans="1:10" x14ac:dyDescent="0.3">
      <c r="A20" s="19">
        <v>6</v>
      </c>
      <c r="B20" s="19">
        <f>IFERROR(SUMIFS(Poroes_Resumo!$C:$C,Poroes_Resumo!$A:$A,$B$3,Poroes_Resumo!$B:$B,$A20),0)</f>
        <v>0</v>
      </c>
      <c r="C20" s="19">
        <f>IFERROR(SUMIFS(Poroes_Resumo!$D:$D,Poroes_Resumo!$A:$A,$B$3,Poroes_Resumo!$B:$B,$A20),0)</f>
        <v>0</v>
      </c>
      <c r="D20" s="19">
        <f t="shared" si="0"/>
        <v>0</v>
      </c>
      <c r="E20" s="19">
        <f>IFERROR(SUMIFS(Poroes_Resumo!$H:$H,Poroes_Resumo!$A:$A,$B$3,Poroes_Resumo!$B:$B,$A20),0)</f>
        <v>0</v>
      </c>
    </row>
    <row r="21" spans="1:10" x14ac:dyDescent="0.3">
      <c r="A21" s="19">
        <v>7</v>
      </c>
      <c r="B21" s="19">
        <f>IFERROR(SUMIFS(Poroes_Resumo!$C:$C,Poroes_Resumo!$A:$A,$B$3,Poroes_Resumo!$B:$B,$A21),0)</f>
        <v>0</v>
      </c>
      <c r="C21" s="19">
        <f>IFERROR(SUMIFS(Poroes_Resumo!$D:$D,Poroes_Resumo!$A:$A,$B$3,Poroes_Resumo!$B:$B,$A21),0)</f>
        <v>0</v>
      </c>
      <c r="D21" s="19">
        <f t="shared" si="0"/>
        <v>0</v>
      </c>
      <c r="E21" s="19">
        <f>IFERROR(SUMIFS(Poroes_Resumo!$H:$H,Poroes_Resumo!$A:$A,$B$3,Poroes_Resumo!$B:$B,$A21),0)</f>
        <v>0</v>
      </c>
      <c r="G21" s="18" t="s">
        <v>86</v>
      </c>
      <c r="H21" s="18" t="s">
        <v>176</v>
      </c>
    </row>
    <row r="22" spans="1:10" x14ac:dyDescent="0.3">
      <c r="A22" s="19">
        <v>8</v>
      </c>
      <c r="B22" s="19">
        <f>IFERROR(SUMIFS(Poroes_Resumo!$C:$C,Poroes_Resumo!$A:$A,$B$3,Poroes_Resumo!$B:$B,$A22),0)</f>
        <v>0</v>
      </c>
      <c r="C22" s="19">
        <f>IFERROR(SUMIFS(Poroes_Resumo!$D:$D,Poroes_Resumo!$A:$A,$B$3,Poroes_Resumo!$B:$B,$A22),0)</f>
        <v>0</v>
      </c>
      <c r="D22" s="19">
        <f t="shared" si="0"/>
        <v>0</v>
      </c>
      <c r="E22" s="19">
        <f>IFERROR(SUMIFS(Poroes_Resumo!$H:$H,Poroes_Resumo!$A:$A,$B$3,Poroes_Resumo!$B:$B,$A22),0)</f>
        <v>0</v>
      </c>
      <c r="G22" s="20" t="s">
        <v>51</v>
      </c>
      <c r="H22" s="20">
        <f>IFERROR(SUMIFS(Paradas_Detalhadas!$I:$I,Paradas_Detalhadas!$A:$A,$B$3,Paradas_Detalhadas!$E:$E,G22),0)</f>
        <v>0.16666666666666607</v>
      </c>
    </row>
    <row r="23" spans="1:10" x14ac:dyDescent="0.3">
      <c r="A23" s="19">
        <v>9</v>
      </c>
      <c r="B23" s="19">
        <f>IFERROR(SUMIFS(Poroes_Resumo!$C:$C,Poroes_Resumo!$A:$A,$B$3,Poroes_Resumo!$B:$B,$A23),0)</f>
        <v>0</v>
      </c>
      <c r="C23" s="19">
        <f>IFERROR(SUMIFS(Poroes_Resumo!$D:$D,Poroes_Resumo!$A:$A,$B$3,Poroes_Resumo!$B:$B,$A23),0)</f>
        <v>0</v>
      </c>
      <c r="D23" s="19">
        <f t="shared" si="0"/>
        <v>0</v>
      </c>
      <c r="E23" s="19">
        <f>IFERROR(SUMIFS(Poroes_Resumo!$H:$H,Poroes_Resumo!$A:$A,$B$3,Poroes_Resumo!$B:$B,$A23),0)</f>
        <v>0</v>
      </c>
      <c r="G23" s="20" t="s">
        <v>55</v>
      </c>
      <c r="H23" s="20">
        <f>IFERROR(SUMIFS(Paradas_Detalhadas!$I:$I,Paradas_Detalhadas!$A:$A,$B$3,Paradas_Detalhadas!$E:$E,G23),0)</f>
        <v>0</v>
      </c>
    </row>
    <row r="24" spans="1:10" x14ac:dyDescent="0.3">
      <c r="A24" s="19">
        <v>10</v>
      </c>
      <c r="B24" s="19">
        <f>IFERROR(SUMIFS(Poroes_Resumo!$C:$C,Poroes_Resumo!$A:$A,$B$3,Poroes_Resumo!$B:$B,$A24),0)</f>
        <v>0</v>
      </c>
      <c r="C24" s="19">
        <f>IFERROR(SUMIFS(Poroes_Resumo!$D:$D,Poroes_Resumo!$A:$A,$B$3,Poroes_Resumo!$B:$B,$A24),0)</f>
        <v>0</v>
      </c>
      <c r="D24" s="19">
        <f t="shared" si="0"/>
        <v>0</v>
      </c>
      <c r="E24" s="19">
        <f>IFERROR(SUMIFS(Poroes_Resumo!$H:$H,Poroes_Resumo!$A:$A,$B$3,Poroes_Resumo!$B:$B,$A24),0)</f>
        <v>0</v>
      </c>
      <c r="G24" s="20" t="s">
        <v>19</v>
      </c>
      <c r="H24" s="20">
        <f>IFERROR(SUMIFS(Paradas_Detalhadas!$I:$I,Paradas_Detalhadas!$A:$A,$B$3,Paradas_Detalhadas!$E:$E,G24),0)</f>
        <v>0.50000000000000089</v>
      </c>
    </row>
    <row r="25" spans="1:10" x14ac:dyDescent="0.3">
      <c r="A25" s="19">
        <v>11</v>
      </c>
      <c r="B25" s="19">
        <f>IFERROR(SUMIFS(Poroes_Resumo!$C:$C,Poroes_Resumo!$A:$A,$B$3,Poroes_Resumo!$B:$B,$A25),0)</f>
        <v>0</v>
      </c>
      <c r="C25" s="19">
        <f>IFERROR(SUMIFS(Poroes_Resumo!$D:$D,Poroes_Resumo!$A:$A,$B$3,Poroes_Resumo!$B:$B,$A25),0)</f>
        <v>0</v>
      </c>
      <c r="D25" s="19">
        <f t="shared" si="0"/>
        <v>0</v>
      </c>
      <c r="E25" s="19">
        <f>IFERROR(SUMIFS(Poroes_Resumo!$H:$H,Poroes_Resumo!$A:$A,$B$3,Poroes_Resumo!$B:$B,$A25),0)</f>
        <v>0</v>
      </c>
      <c r="G25" s="20" t="s">
        <v>62</v>
      </c>
      <c r="H25" s="20">
        <f>IFERROR(SUMIFS(Paradas_Detalhadas!$I:$I,Paradas_Detalhadas!$A:$A,$B$3,Paradas_Detalhadas!$E:$E,G25),0)</f>
        <v>0</v>
      </c>
    </row>
    <row r="26" spans="1:10" x14ac:dyDescent="0.3">
      <c r="A26" s="19">
        <v>12</v>
      </c>
      <c r="B26" s="19">
        <f>IFERROR(SUMIFS(Poroes_Resumo!$C:$C,Poroes_Resumo!$A:$A,$B$3,Poroes_Resumo!$B:$B,$A26),0)</f>
        <v>0</v>
      </c>
      <c r="C26" s="19">
        <f>IFERROR(SUMIFS(Poroes_Resumo!$D:$D,Poroes_Resumo!$A:$A,$B$3,Poroes_Resumo!$B:$B,$A26),0)</f>
        <v>0</v>
      </c>
      <c r="D26" s="19">
        <f t="shared" si="0"/>
        <v>0</v>
      </c>
      <c r="E26" s="19">
        <f>IFERROR(SUMIFS(Poroes_Resumo!$H:$H,Poroes_Resumo!$A:$A,$B$3,Poroes_Resumo!$B:$B,$A26),0)</f>
        <v>0</v>
      </c>
      <c r="G26" s="20" t="s">
        <v>64</v>
      </c>
      <c r="H26" s="20">
        <f>IFERROR(SUMIFS(Paradas_Detalhadas!$I:$I,Paradas_Detalhadas!$A:$A,$B$3,Paradas_Detalhadas!$E:$E,G26),0)</f>
        <v>0</v>
      </c>
    </row>
    <row r="27" spans="1:10" x14ac:dyDescent="0.3">
      <c r="G27" s="20" t="s">
        <v>177</v>
      </c>
      <c r="H27" s="20">
        <f>IFERROR(SUMIFS(Paradas_Detalhadas!$I:$I,Paradas_Detalhadas!$A:$A,$B$3,Paradas_Detalhadas!$E:$E,G27),0)</f>
        <v>0</v>
      </c>
    </row>
    <row r="28" spans="1:10" x14ac:dyDescent="0.3">
      <c r="G28" s="20" t="s">
        <v>29</v>
      </c>
      <c r="H28" s="20">
        <f>IFERROR(SUMIFS(Paradas_Detalhadas!$I:$I,Paradas_Detalhadas!$A:$A,$B$3,Paradas_Detalhadas!$E:$E,G28),0)</f>
        <v>0.50000000000000155</v>
      </c>
    </row>
    <row r="29" spans="1:10" x14ac:dyDescent="0.3">
      <c r="G29" s="20" t="s">
        <v>65</v>
      </c>
      <c r="H29" s="20">
        <f>IFERROR(SUMIFS(Paradas_Detalhadas!$I:$I,Paradas_Detalhadas!$A:$A,$B$3,Paradas_Detalhadas!$E:$E,G29),0)</f>
        <v>0</v>
      </c>
    </row>
    <row r="30" spans="1:10" x14ac:dyDescent="0.3">
      <c r="G30" s="20" t="s">
        <v>28</v>
      </c>
      <c r="H30" s="20">
        <f>IFERROR(SUMIFS(Paradas_Detalhadas!$I:$I,Paradas_Detalhadas!$A:$A,$B$3,Paradas_Detalhadas!$E:$E,G30),0)</f>
        <v>0</v>
      </c>
    </row>
  </sheetData>
  <mergeCells count="17">
    <mergeCell ref="J5:K5"/>
    <mergeCell ref="G6:H7"/>
    <mergeCell ref="J6:K7"/>
    <mergeCell ref="A1:L1"/>
    <mergeCell ref="D5:E5"/>
    <mergeCell ref="A5:B5"/>
    <mergeCell ref="A6:B7"/>
    <mergeCell ref="G5:H5"/>
    <mergeCell ref="D6:E7"/>
    <mergeCell ref="A10:B11"/>
    <mergeCell ref="G10:H11"/>
    <mergeCell ref="J10:K11"/>
    <mergeCell ref="D10:E11"/>
    <mergeCell ref="A9:B9"/>
    <mergeCell ref="G9:H9"/>
    <mergeCell ref="D9:E9"/>
    <mergeCell ref="J9:K9"/>
  </mergeCells>
  <pageMargins left="0.75" right="0.75" top="1" bottom="1" header="0.5" footer="0.5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8" customWidth="1"/>
    <col min="3" max="4" width="42" customWidth="1"/>
  </cols>
  <sheetData>
    <row r="1" spans="1:4" x14ac:dyDescent="0.3">
      <c r="A1" s="24" t="s">
        <v>178</v>
      </c>
      <c r="B1" s="24" t="s">
        <v>179</v>
      </c>
      <c r="C1" s="24" t="s">
        <v>180</v>
      </c>
      <c r="D1" s="24" t="s">
        <v>181</v>
      </c>
    </row>
    <row r="2" spans="1:4" x14ac:dyDescent="0.3">
      <c r="A2" t="s">
        <v>0</v>
      </c>
      <c r="B2" t="s">
        <v>182</v>
      </c>
      <c r="C2" t="s">
        <v>183</v>
      </c>
      <c r="D2" t="s">
        <v>16</v>
      </c>
    </row>
    <row r="3" spans="1:4" x14ac:dyDescent="0.3">
      <c r="A3" t="s">
        <v>0</v>
      </c>
      <c r="B3" t="s">
        <v>184</v>
      </c>
      <c r="C3" t="s">
        <v>185</v>
      </c>
      <c r="D3" t="s">
        <v>16</v>
      </c>
    </row>
    <row r="4" spans="1:4" x14ac:dyDescent="0.3">
      <c r="A4" t="s">
        <v>73</v>
      </c>
      <c r="B4" t="s">
        <v>186</v>
      </c>
      <c r="C4" t="s">
        <v>187</v>
      </c>
      <c r="D4" t="s">
        <v>188</v>
      </c>
    </row>
    <row r="5" spans="1:4" x14ac:dyDescent="0.3">
      <c r="A5" t="s">
        <v>116</v>
      </c>
      <c r="B5" t="s">
        <v>189</v>
      </c>
      <c r="C5" t="s">
        <v>190</v>
      </c>
      <c r="D5" t="s">
        <v>191</v>
      </c>
    </row>
    <row r="6" spans="1:4" x14ac:dyDescent="0.3">
      <c r="A6" t="s">
        <v>192</v>
      </c>
      <c r="B6" t="s">
        <v>193</v>
      </c>
      <c r="C6" t="s">
        <v>194</v>
      </c>
      <c r="D6" t="s">
        <v>195</v>
      </c>
    </row>
    <row r="7" spans="1:4" x14ac:dyDescent="0.3">
      <c r="A7" t="s">
        <v>196</v>
      </c>
      <c r="B7" t="s">
        <v>197</v>
      </c>
      <c r="C7" t="s">
        <v>198</v>
      </c>
      <c r="D7" t="s">
        <v>199</v>
      </c>
    </row>
    <row r="8" spans="1:4" x14ac:dyDescent="0.3">
      <c r="A8" t="s">
        <v>200</v>
      </c>
      <c r="B8" t="s">
        <v>201</v>
      </c>
      <c r="C8" t="s">
        <v>202</v>
      </c>
      <c r="D8" t="s">
        <v>203</v>
      </c>
    </row>
    <row r="9" spans="1:4" x14ac:dyDescent="0.3">
      <c r="A9" t="s">
        <v>204</v>
      </c>
      <c r="B9" t="s">
        <v>205</v>
      </c>
      <c r="C9" t="s">
        <v>206</v>
      </c>
      <c r="D9" t="s">
        <v>207</v>
      </c>
    </row>
    <row r="10" spans="1:4" x14ac:dyDescent="0.3">
      <c r="A10" t="s">
        <v>208</v>
      </c>
      <c r="B10" t="s">
        <v>209</v>
      </c>
      <c r="C10" t="s">
        <v>210</v>
      </c>
      <c r="D10" t="s">
        <v>211</v>
      </c>
    </row>
    <row r="11" spans="1:4" x14ac:dyDescent="0.3">
      <c r="A11" t="s">
        <v>212</v>
      </c>
      <c r="B11" t="s">
        <v>213</v>
      </c>
      <c r="C11" t="s">
        <v>210</v>
      </c>
      <c r="D11" t="s">
        <v>214</v>
      </c>
    </row>
    <row r="12" spans="1:4" x14ac:dyDescent="0.3">
      <c r="A12" t="s">
        <v>7</v>
      </c>
      <c r="B12" t="s">
        <v>215</v>
      </c>
      <c r="C12" t="s">
        <v>216</v>
      </c>
      <c r="D12" t="s">
        <v>217</v>
      </c>
    </row>
    <row r="13" spans="1:4" x14ac:dyDescent="0.3">
      <c r="A13" t="s">
        <v>27</v>
      </c>
      <c r="B13" t="s">
        <v>218</v>
      </c>
      <c r="C13" t="s">
        <v>219</v>
      </c>
      <c r="D13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7</vt:i4>
      </vt:variant>
    </vt:vector>
  </HeadingPairs>
  <TitlesOfParts>
    <vt:vector size="17" baseType="lpstr">
      <vt:lpstr>Instrucoes</vt:lpstr>
      <vt:lpstr>Parametros</vt:lpstr>
      <vt:lpstr>Cadastro_Navio</vt:lpstr>
      <vt:lpstr>Base_Porao_Turno</vt:lpstr>
      <vt:lpstr>Paradas_Detalhadas</vt:lpstr>
      <vt:lpstr>Poroes_Resumo</vt:lpstr>
      <vt:lpstr>KPI_Resumo</vt:lpstr>
      <vt:lpstr>Metodologia_KPIs</vt:lpstr>
      <vt:lpstr>Dashboard</vt:lpstr>
      <vt:lpstr>Auditoria_Correcoes</vt:lpstr>
      <vt:lpstr>Bercos</vt:lpstr>
      <vt:lpstr>Categorias_Parada</vt:lpstr>
      <vt:lpstr>Janelas</vt:lpstr>
      <vt:lpstr>Poroes</vt:lpstr>
      <vt:lpstr>Terminais</vt:lpstr>
      <vt:lpstr>Tipos_Operacao</vt:lpstr>
      <vt:lpstr>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Elson Silva</cp:lastModifiedBy>
  <dcterms:created xsi:type="dcterms:W3CDTF">2026-03-17T14:20:53Z</dcterms:created>
  <dcterms:modified xsi:type="dcterms:W3CDTF">2026-08-04T16:38:54Z</dcterms:modified>
</cp:coreProperties>
</file>